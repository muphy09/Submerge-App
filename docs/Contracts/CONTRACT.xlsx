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dev\Submerge\docs\Contracts\"/>
    </mc:Choice>
  </mc:AlternateContent>
  <xr:revisionPtr revIDLastSave="0" documentId="13_ncr:1_{0A768F72-F39F-419D-8516-7D56C1F2FD2D}" xr6:coauthVersionLast="47" xr6:coauthVersionMax="47" xr10:uidLastSave="{00000000-0000-0000-0000-000000000000}"/>
  <bookViews>
    <workbookView xWindow="30612" yWindow="-7752" windowWidth="17496" windowHeight="30936"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 l="1"/>
  <c r="P15" i="1"/>
  <c r="F67" i="1"/>
  <c r="F2" i="1"/>
  <c r="AC31" i="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Q81" i="1"/>
  <c r="D190" i="1"/>
  <c r="I106" i="1"/>
  <c r="P72" i="1"/>
  <c r="H72" i="1"/>
  <c r="R69" i="1"/>
  <c r="R68" i="1"/>
  <c r="N70" i="1"/>
  <c r="I70" i="1"/>
  <c r="I69" i="1"/>
  <c r="I68" i="1"/>
  <c r="L50" i="1"/>
  <c r="A54" i="1"/>
  <c r="L33" i="1"/>
  <c r="G28" i="1"/>
  <c r="L190" i="1" s="1"/>
  <c r="A30" i="1"/>
  <c r="D192" i="1" s="1"/>
  <c r="A31" i="1"/>
  <c r="D193" i="1" s="1"/>
  <c r="A32" i="1"/>
  <c r="D194" i="1" s="1"/>
  <c r="A29" i="1"/>
  <c r="D191" i="1" s="1"/>
  <c r="O146" i="1" l="1"/>
  <c r="AH30" i="1"/>
  <c r="G31" i="1" s="1"/>
  <c r="L193" i="1" s="1"/>
  <c r="AC29" i="1"/>
  <c r="AH31" i="1"/>
  <c r="G32" i="1" s="1"/>
  <c r="L194" i="1" s="1"/>
  <c r="AH29" i="1"/>
  <c r="L191" i="1"/>
  <c r="G30" i="1" l="1"/>
  <c r="L192" i="1" s="1"/>
</calcChain>
</file>

<file path=xl/sharedStrings.xml><?xml version="1.0" encoding="utf-8"?>
<sst xmlns="http://schemas.openxmlformats.org/spreadsheetml/2006/main" count="568" uniqueCount="399">
  <si>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</si>
  <si>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</si>
  <si>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</si>
  <si>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</si>
  <si>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</si>
  <si>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</si>
  <si>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</si>
  <si>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</si>
  <si>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</si>
  <si>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</si>
  <si>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</si>
  <si>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</si>
  <si>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</si>
  <si>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</si>
  <si>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</si>
  <si>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</si>
  <si>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</si>
  <si>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</si>
  <si>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</si>
  <si>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</si>
  <si>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</si>
  <si>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</si>
  <si>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</si>
  <si>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</si>
  <si>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</si>
  <si>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</si>
  <si>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</si>
  <si>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</si>
  <si>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</si>
  <si>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</si>
  <si>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</si>
  <si>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</si>
  <si>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</si>
  <si>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</si>
  <si>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</si>
  <si>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</si>
  <si>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</si>
  <si>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</si>
  <si>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</si>
  <si>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</si>
  <si>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</si>
  <si>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</si>
  <si>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</si>
  <si>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</si>
  <si>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</si>
  <si>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</si>
  <si>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</si>
  <si>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</si>
  <si>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</si>
  <si>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</si>
  <si>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</si>
  <si>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</si>
  <si>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</si>
  <si>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</si>
  <si>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</si>
  <si>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</si>
  <si>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</si>
  <si>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</si>
  <si>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</si>
  <si>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</si>
  <si>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</si>
  <si>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</si>
  <si>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</si>
  <si>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</si>
  <si>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</si>
  <si>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</si>
  <si>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</si>
  <si>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</si>
  <si>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</si>
  <si>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</si>
  <si>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</si>
  <si>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</si>
  <si>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</si>
  <si>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</si>
  <si>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</si>
  <si>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</si>
  <si>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</si>
  <si>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</si>
  <si>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</si>
  <si>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</si>
  <si>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</si>
  <si>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</si>
  <si>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</si>
  <si>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</si>
  <si>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</si>
  <si>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</si>
  <si>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</si>
  <si>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</si>
  <si>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</si>
  <si>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</si>
  <si>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</si>
  <si>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</si>
  <si>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</si>
  <si>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</si>
  <si>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</si>
  <si>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</si>
  <si>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</si>
  <si>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</si>
  <si>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</si>
  <si>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</si>
  <si>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</si>
  <si>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</si>
  <si>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</si>
  <si>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</si>
  <si>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</si>
  <si>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</si>
  <si>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</si>
  <si>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</si>
  <si>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</si>
  <si>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</si>
  <si>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</si>
  <si>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</si>
  <si>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</si>
  <si>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</si>
  <si>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</si>
  <si>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</si>
  <si>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</si>
  <si>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</si>
  <si>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</si>
  <si>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</si>
  <si>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</si>
  <si>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</si>
  <si>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</si>
  <si>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</si>
  <si>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</si>
  <si>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</si>
  <si>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</si>
  <si>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</si>
  <si>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</si>
  <si>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</si>
  <si>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</si>
  <si>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</si>
  <si>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</si>
  <si>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</si>
  <si>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</si>
  <si>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</si>
  <si>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</si>
  <si>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</si>
  <si>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</si>
  <si>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</si>
  <si>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</si>
  <si>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</si>
  <si>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</si>
  <si>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</si>
  <si>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</si>
  <si>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</si>
  <si>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</si>
  <si>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</si>
  <si>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</si>
  <si>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</si>
  <si>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</si>
  <si>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</si>
  <si>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</si>
  <si>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</si>
  <si>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</si>
  <si>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</si>
  <si>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</si>
  <si>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</si>
  <si>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</si>
  <si>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</si>
  <si>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</si>
  <si>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</si>
  <si>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</si>
  <si>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</si>
  <si>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</si>
  <si>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</si>
  <si>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</si>
  <si>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</si>
  <si>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</si>
  <si>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</si>
  <si>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</si>
  <si>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</si>
  <si>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</si>
  <si>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</si>
  <si>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</si>
  <si>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</si>
  <si>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</si>
  <si>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</si>
  <si>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</si>
  <si>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</si>
  <si>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</si>
  <si>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</si>
  <si>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</si>
  <si>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</si>
  <si>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</si>
  <si>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</si>
  <si>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</si>
  <si>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</si>
  <si>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</si>
  <si>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</si>
  <si>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</si>
  <si>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</si>
  <si>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</si>
  <si>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</si>
  <si>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</si>
  <si>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</si>
  <si>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</si>
  <si>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</si>
  <si>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</si>
  <si>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</si>
  <si>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</si>
  <si>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</si>
  <si>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</si>
  <si>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</si>
  <si>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</si>
  <si>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</si>
  <si>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</si>
  <si>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</si>
  <si>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</si>
  <si>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</si>
  <si>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</si>
  <si>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</si>
  <si>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</si>
  <si>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</si>
  <si>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</si>
  <si>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</si>
  <si>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</si>
  <si>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</si>
  <si>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</si>
  <si>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</si>
  <si>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</si>
  <si>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</si>
  <si>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</si>
  <si>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</si>
  <si>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</si>
  <si>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</si>
  <si>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</si>
  <si>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</si>
  <si>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</si>
  <si>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</si>
  <si>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</si>
  <si>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</si>
  <si>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</si>
  <si>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</si>
  <si>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</si>
  <si>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</si>
  <si>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</si>
  <si>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</si>
  <si>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</si>
  <si>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</si>
  <si>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</si>
  <si>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</si>
  <si>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</si>
  <si>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</si>
  <si>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</si>
  <si>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</si>
  <si>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</si>
  <si>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</si>
  <si>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</si>
  <si>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</si>
  <si>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</si>
  <si>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</si>
  <si>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</si>
  <si>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</si>
  <si>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</si>
  <si>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</si>
  <si>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</si>
  <si>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</si>
  <si>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</si>
  <si>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</si>
  <si>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</si>
  <si>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</si>
  <si>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</si>
  <si>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</si>
  <si>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</si>
  <si>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</si>
  <si>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</si>
  <si>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</si>
  <si>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</si>
  <si>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</si>
  <si>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</si>
  <si>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</si>
  <si>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</si>
  <si>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</si>
  <si>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</si>
  <si>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</si>
  <si>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</si>
  <si>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</si>
  <si>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</si>
  <si>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</si>
  <si>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</si>
  <si>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</si>
  <si>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</si>
  <si>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</si>
  <si>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</si>
  <si>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</si>
  <si>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</si>
  <si>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</si>
  <si>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</si>
  <si>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</si>
  <si>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</si>
  <si>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</si>
  <si>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</si>
  <si>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</si>
  <si>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</si>
  <si>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</si>
  <si>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</si>
  <si>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</si>
  <si>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</si>
  <si>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</si>
  <si>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</si>
  <si>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</si>
  <si>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</si>
  <si>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</si>
  <si>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</si>
  <si>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</si>
  <si>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</si>
  <si>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</si>
  <si>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</si>
  <si>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</si>
  <si>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</si>
  <si>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</si>
  <si>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</si>
  <si>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</si>
  <si>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</si>
  <si>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</si>
  <si>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</si>
  <si>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</si>
  <si>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</si>
  <si>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</si>
  <si>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</si>
  <si>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</si>
  <si>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</si>
  <si>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</si>
  <si>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</si>
  <si>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</si>
  <si>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</si>
  <si>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</si>
  <si>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</si>
  <si>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</si>
  <si>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</si>
  <si>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</si>
  <si>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</si>
  <si>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</si>
  <si>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</si>
  <si>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</si>
  <si>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</si>
  <si>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</si>
  <si>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</si>
  <si>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</si>
  <si>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</si>
  <si>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</si>
  <si>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</si>
  <si>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</si>
  <si>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</si>
  <si>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</si>
  <si>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</si>
  <si>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</si>
  <si>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</si>
  <si>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</si>
  <si>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</si>
  <si>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</si>
  <si>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</si>
  <si>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</si>
  <si>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</si>
  <si>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</si>
  <si>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</si>
  <si>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</si>
  <si>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</si>
  <si>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</si>
  <si>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</si>
  <si>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</si>
  <si>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</si>
  <si>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</si>
  <si>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</si>
  <si>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</si>
  <si>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</si>
  <si>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</si>
  <si>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</si>
  <si>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</si>
  <si>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</si>
  <si>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</si>
  <si>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</si>
  <si>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</si>
  <si>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</si>
  <si>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</si>
  <si>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</si>
  <si>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</si>
  <si>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</si>
  <si>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</si>
  <si>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</si>
  <si>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</si>
  <si>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</si>
  <si>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</si>
  <si>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</si>
  <si>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</si>
  <si>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</si>
  <si>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</si>
  <si>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</si>
  <si>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</si>
  <si>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</si>
  <si>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</si>
  <si>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SF</t>
  </si>
  <si>
    <t>Approx SF</t>
  </si>
  <si>
    <t>40. Downspout Drainage</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</si>
  <si>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</si>
  <si>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</si>
  <si>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15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</si>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</sst>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7">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0" fillId="6" borderId="1" xfId="0" applyFill="1" applyBorder="1" applyAlignment="1">
      <alignment horizontal="center"/>
    </xf>
    <xf numFmtId="0" fontId="4" fillId="5" borderId="0" xfId="0" applyFont="1" applyFill="1" applyAlignment="1">
      <alignment horizontal="center"/>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xf>
    <xf numFmtId="0" fontId="0" fillId="0" borderId="0" xfId="0" applyAlignment="1">
      <alignment horizontal="center"/>
    </xf>
    <xf numFmtId="0" fontId="3" fillId="0" borderId="0" xfId="0" applyFont="1" applyAlignment="1">
      <alignment horizontal="center"/>
    </xf>
    <xf numFmtId="0" fontId="0" fillId="0" borderId="11" xfId="0" applyBorder="1" applyAlignment="1">
      <alignment horizontal="right" vertical="center"/>
    </xf>
    <xf numFmtId="0" fontId="0" fillId="0" borderId="10" xfId="0" applyBorder="1" applyAlignment="1">
      <alignment horizontal="right" vertical="center"/>
    </xf>
    <xf numFmtId="0" fontId="0" fillId="2" borderId="9" xfId="0" applyFill="1" applyBorder="1" applyAlignment="1">
      <alignment horizontal="center" vertical="center"/>
    </xf>
    <xf numFmtId="0" fontId="0" fillId="6" borderId="0" xfId="0" applyFill="1" applyAlignment="1">
      <alignment horizontal="center" vertical="center"/>
    </xf>
    <xf numFmtId="0" fontId="0" fillId="0" borderId="7" xfId="0" applyBorder="1" applyAlignment="1">
      <alignment horizontal="right" vertical="center"/>
    </xf>
    <xf numFmtId="0" fontId="0" fillId="0" borderId="0" xfId="0" applyAlignment="1">
      <alignment horizontal="right"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4" fillId="2" borderId="0" xfId="0" applyFont="1" applyFill="1" applyAlignment="1">
      <alignment horizontal="center"/>
    </xf>
    <xf numFmtId="0" fontId="13" fillId="0" borderId="0" xfId="0" applyFont="1" applyAlignment="1">
      <alignment horizontal="center" vertical="center" wrapText="1"/>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4" xfId="0" applyBorder="1" applyAlignment="1">
      <alignment horizontal="right" vertical="center"/>
    </xf>
    <xf numFmtId="0" fontId="0" fillId="0" borderId="20" xfId="0" applyBorder="1" applyAlignment="1">
      <alignment horizontal="right" vertical="center"/>
    </xf>
    <xf numFmtId="0" fontId="4" fillId="0" borderId="0" xfId="0" applyFont="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6" borderId="17" xfId="0" applyFill="1" applyBorder="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0" fillId="6" borderId="1" xfId="0" applyFill="1" applyBorder="1" applyAlignment="1">
      <alignment horizontal="center" vertical="center"/>
    </xf>
    <xf numFmtId="0" fontId="0" fillId="0" borderId="0" xfId="0" applyAlignment="1">
      <alignment horizontal="center" vertic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0" fillId="0" borderId="0" xfId="0" applyAlignment="1">
      <alignment horizontal="left" vertical="top" wrapText="1"/>
    </xf>
    <xf numFmtId="0" fontId="9" fillId="0" borderId="0" xfId="0" applyFont="1" applyAlignment="1">
      <alignment horizontal="left" vertical="top" wrapText="1"/>
    </xf>
    <xf numFmtId="165" fontId="0" fillId="0" borderId="0" xfId="0" applyNumberFormat="1" applyAlignment="1">
      <alignment horizontal="center"/>
    </xf>
    <xf numFmtId="0" fontId="17" fillId="0" borderId="0" xfId="0" applyFont="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14" xfId="0" applyBorder="1" applyAlignment="1">
      <alignment horizontal="left"/>
    </xf>
    <xf numFmtId="0" fontId="4" fillId="0" borderId="2" xfId="0" applyFont="1" applyBorder="1" applyAlignment="1">
      <alignment horizontal="center"/>
    </xf>
    <xf numFmtId="0" fontId="2" fillId="0" borderId="0" xfId="0" applyFont="1" applyAlignment="1">
      <alignment horizontal="left" vertical="top" wrapText="1"/>
    </xf>
    <xf numFmtId="0" fontId="2" fillId="0" borderId="14" xfId="0" applyFont="1" applyBorder="1" applyAlignment="1">
      <alignment horizontal="left"/>
    </xf>
    <xf numFmtId="0" fontId="4" fillId="0" borderId="0" xfId="0" applyFont="1" applyAlignment="1">
      <alignment horizontal="center"/>
    </xf>
    <xf numFmtId="0" fontId="4" fillId="0" borderId="0" xfId="0" applyFont="1" applyAlignment="1">
      <alignment horizontal="center"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19" fillId="3" borderId="7" xfId="0" applyFont="1" applyFill="1" applyBorder="1" applyAlignment="1">
      <alignment horizontal="center"/>
    </xf>
    <xf numFmtId="0" fontId="19" fillId="3" borderId="0" xfId="0" applyFont="1" applyFill="1" applyAlignment="1">
      <alignment horizont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0" fillId="0" borderId="0" xfId="0" quotePrefix="1" applyAlignment="1">
      <alignment horizontal="left" vertic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23" fillId="0" borderId="14" xfId="0" applyFont="1" applyBorder="1" applyAlignment="1">
      <alignment horizontal="left"/>
    </xf>
    <xf numFmtId="0" fontId="23" fillId="0" borderId="0" xfId="0" applyFont="1" applyAlignment="1">
      <alignment horizontal="left"/>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https://d.docs.live.n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pageSetUpPr fitToPage="1"/>
  </sheetPr>
  <dimension ref="A1:AK312"/>
  <sheetViews>
    <sheetView showGridLines="0" tabSelected="1" view="pageBreakPreview" zoomScale="70" zoomScaleNormal="110" zoomScaleSheetLayoutView="70" workbookViewId="0">
      <selection activeCell="Q16" sqref="Q16:T16"/>
    </sheetView>
  </sheetViews>
  <sheetFormatPr defaultRowHeight="13.2"/>
  <cols>
    <col min="1" max="7" width="5.88671875" customWidth="1"/>
    <col min="8" max="8" width="6" customWidth="1"/>
    <col min="9" max="10" width="5.88671875" customWidth="1"/>
    <col min="11" max="11" width="2.5546875" customWidth="1"/>
    <col min="12" max="18" width="5.88671875" customWidth="1"/>
    <col min="19" max="19" width="6" customWidth="1"/>
    <col min="20" max="20" width="5.88671875" customWidth="1"/>
    <col min="21" max="21" width="16.44140625" customWidth="1"/>
    <col min="22" max="22" width="5.5546875" customWidth="1"/>
    <col min="23" max="23" width="6.88671875" hidden="1" customWidth="1"/>
    <col min="24" max="24" width="8.5546875" hidden="1" customWidth="1"/>
    <col min="25" max="25" width="5.5546875" hidden="1" customWidth="1"/>
    <col min="26" max="26" width="12.6640625" hidden="1" customWidth="1"/>
    <col min="27" max="27" width="6.5546875" hidden="1" customWidth="1"/>
    <col min="28" max="28" width="5.5546875" hidden="1" customWidth="1"/>
    <col min="29" max="29" width="9.88671875" hidden="1" customWidth="1"/>
    <col min="30" max="30" width="5.5546875" hidden="1" customWidth="1"/>
    <col min="31" max="31" width="9.109375" hidden="1" customWidth="1"/>
    <col min="32" max="32" width="12.33203125" hidden="1" customWidth="1"/>
    <col min="33" max="33" width="11.44140625" hidden="1" customWidth="1"/>
    <col min="34" max="34" width="11.6640625" hidden="1" customWidth="1"/>
    <col min="35" max="36" width="10.5546875" hidden="1" customWidth="1"/>
    <col min="37" max="37" width="0" hidden="1" customWidth="1"/>
  </cols>
  <sheetData>
    <row r="1" spans="1:26" ht="22.8">
      <c r="A1" s="154" t="s">
        <v>160</v>
      </c>
      <c r="B1" s="155"/>
      <c r="C1" s="155"/>
      <c r="D1" s="155"/>
      <c r="E1" s="155"/>
      <c r="F1" s="155"/>
      <c r="G1" s="155"/>
      <c r="H1" s="155"/>
      <c r="I1" s="155"/>
      <c r="J1" s="155"/>
      <c r="K1" s="155"/>
      <c r="L1" s="155"/>
      <c r="M1" s="155"/>
      <c r="N1" s="155"/>
      <c r="O1" s="155"/>
      <c r="P1" s="155"/>
      <c r="Q1" s="155"/>
      <c r="R1" s="155"/>
      <c r="S1" s="155"/>
      <c r="T1" s="155"/>
      <c r="U1" s="155"/>
    </row>
    <row r="2" spans="1:26" ht="16.2" thickBot="1">
      <c r="F2" s="86" t="str">
        <f>IF(A1=W3,"North Carolina Construction Contract - Home Improvement - Fiberglass Swimming Pool","North Carolina Construction Contract - Home Improvement - Shotcrete Swimming Pool")</f>
        <v>North Carolina Construction Contract - Home Improvement - Shotcrete Swimming Pool</v>
      </c>
      <c r="G2" s="86"/>
      <c r="H2" s="86"/>
      <c r="I2" s="86"/>
      <c r="J2" s="86"/>
      <c r="K2" s="86"/>
      <c r="L2" s="86"/>
      <c r="M2" s="86"/>
      <c r="N2" s="86"/>
      <c r="O2" s="86"/>
      <c r="P2" s="86"/>
      <c r="Q2" s="86"/>
      <c r="R2" s="86"/>
      <c r="S2" s="86"/>
      <c r="T2" s="86"/>
      <c r="U2" s="86"/>
      <c r="W2" s="149" t="s">
        <v>302</v>
      </c>
      <c r="X2" s="151"/>
      <c r="Z2" s="70" t="s">
        <v>303</v>
      </c>
    </row>
    <row r="3" spans="1:26" ht="16.5" customHeight="1" thickBot="1">
      <c r="F3" s="87" t="s">
        <v>161</v>
      </c>
      <c r="G3" s="88"/>
      <c r="H3" s="88"/>
      <c r="I3" s="131"/>
      <c r="J3" s="131"/>
      <c r="K3" s="131"/>
      <c r="L3" s="131"/>
      <c r="M3" s="131"/>
      <c r="N3" s="131"/>
      <c r="O3" s="131"/>
      <c r="P3" s="88" t="s">
        <v>163</v>
      </c>
      <c r="Q3" s="88"/>
      <c r="R3" s="132"/>
      <c r="S3" s="133"/>
      <c r="T3" s="133"/>
      <c r="U3" s="134"/>
      <c r="W3" s="60" t="s">
        <v>159</v>
      </c>
      <c r="X3" s="49"/>
      <c r="Z3" s="66" t="s">
        <v>31</v>
      </c>
    </row>
    <row r="4" spans="1:26" ht="15.9" customHeight="1">
      <c r="F4" s="91" t="s">
        <v>164</v>
      </c>
      <c r="G4" s="92"/>
      <c r="H4" s="92"/>
      <c r="I4" s="136"/>
      <c r="J4" s="136"/>
      <c r="K4" s="136"/>
      <c r="L4" s="136"/>
      <c r="M4" s="136"/>
      <c r="N4" s="136"/>
      <c r="O4" s="136"/>
      <c r="P4" s="88" t="s">
        <v>165</v>
      </c>
      <c r="Q4" s="88"/>
      <c r="R4" s="138"/>
      <c r="S4" s="139"/>
      <c r="T4" s="139"/>
      <c r="U4" s="140"/>
      <c r="W4" s="63" t="s">
        <v>160</v>
      </c>
      <c r="X4" s="64"/>
      <c r="Z4" s="67" t="s">
        <v>34</v>
      </c>
    </row>
    <row r="5" spans="1:26" ht="15.9" customHeight="1">
      <c r="F5" s="91" t="s">
        <v>166</v>
      </c>
      <c r="G5" s="92"/>
      <c r="H5" s="92"/>
      <c r="I5" s="136"/>
      <c r="J5" s="136"/>
      <c r="K5" s="136"/>
      <c r="L5" s="136"/>
      <c r="M5" t="s">
        <v>167</v>
      </c>
      <c r="N5" s="136"/>
      <c r="O5" s="136"/>
      <c r="U5" s="20"/>
      <c r="Z5" s="55" t="s">
        <v>62</v>
      </c>
    </row>
    <row r="6" spans="1:26" ht="6.9" customHeight="1">
      <c r="F6" s="19"/>
      <c r="U6" s="20"/>
    </row>
    <row r="7" spans="1:26" ht="15.9" customHeight="1">
      <c r="F7" s="91" t="s">
        <v>162</v>
      </c>
      <c r="G7" s="92"/>
      <c r="H7" s="135"/>
      <c r="I7" s="136"/>
      <c r="J7" s="136"/>
      <c r="K7" s="136"/>
      <c r="L7" s="136"/>
      <c r="M7" s="136"/>
      <c r="N7" s="92" t="s">
        <v>168</v>
      </c>
      <c r="O7" s="92"/>
      <c r="P7" s="135"/>
      <c r="Q7" s="136"/>
      <c r="R7" s="136"/>
      <c r="S7" s="136"/>
      <c r="T7" s="136"/>
      <c r="U7" s="137"/>
    </row>
    <row r="8" spans="1:26" ht="5.4" customHeight="1" thickBot="1">
      <c r="F8" s="5"/>
      <c r="G8" s="4"/>
      <c r="H8" s="4"/>
      <c r="I8" s="4"/>
      <c r="J8" s="4"/>
      <c r="K8" s="4"/>
      <c r="L8" s="4"/>
      <c r="M8" s="4"/>
      <c r="N8" s="4"/>
      <c r="O8" s="4"/>
      <c r="P8" s="4"/>
      <c r="Q8" s="4"/>
      <c r="R8" s="4"/>
      <c r="S8" s="4"/>
      <c r="T8" s="4"/>
      <c r="U8" s="3"/>
    </row>
    <row r="9" spans="1:26" ht="5.0999999999999996" customHeight="1"/>
    <row r="10" spans="1:26">
      <c r="C10" s="129" t="s">
        <v>111</v>
      </c>
      <c r="D10" s="129"/>
      <c r="E10" s="129"/>
      <c r="F10" s="129"/>
      <c r="P10" s="129"/>
      <c r="Q10" s="129"/>
      <c r="R10" s="129"/>
      <c r="S10" s="129"/>
    </row>
    <row r="11" spans="1:26">
      <c r="B11" s="85" t="s">
        <v>383</v>
      </c>
      <c r="C11" s="85"/>
      <c r="D11" s="85"/>
      <c r="E11" s="85"/>
      <c r="F11" s="85"/>
      <c r="G11" s="85"/>
      <c r="H11" s="129" t="s">
        <v>386</v>
      </c>
      <c r="I11" s="129"/>
      <c r="J11" s="129"/>
      <c r="K11" s="129"/>
      <c r="L11" s="129"/>
      <c r="M11" s="129"/>
      <c r="N11" s="129"/>
      <c r="O11" s="85"/>
      <c r="P11" s="85"/>
      <c r="Q11" s="85"/>
      <c r="R11" s="85"/>
      <c r="S11" s="85"/>
      <c r="T11" s="85"/>
    </row>
    <row r="12" spans="1:26">
      <c r="B12" s="85" t="s">
        <v>384</v>
      </c>
      <c r="C12" s="85"/>
      <c r="D12" s="85"/>
      <c r="E12" s="85"/>
      <c r="F12" s="85"/>
      <c r="G12" s="85"/>
      <c r="H12" s="129" t="s">
        <v>169</v>
      </c>
      <c r="I12" s="129"/>
      <c r="J12" s="129"/>
      <c r="K12" s="129"/>
      <c r="L12" s="129"/>
      <c r="M12" s="129"/>
      <c r="N12" s="129"/>
      <c r="O12" s="85"/>
      <c r="P12" s="85"/>
      <c r="Q12" s="85"/>
      <c r="R12" s="85"/>
      <c r="S12" s="85"/>
      <c r="T12" s="85"/>
    </row>
    <row r="13" spans="1:26">
      <c r="B13" s="85" t="s">
        <v>385</v>
      </c>
      <c r="C13" s="85"/>
      <c r="D13" s="85"/>
      <c r="E13" s="85"/>
      <c r="F13" s="85"/>
      <c r="G13" s="85"/>
      <c r="H13" s="129"/>
      <c r="I13" s="129"/>
      <c r="J13" s="129"/>
      <c r="K13" s="129"/>
      <c r="L13" s="129"/>
      <c r="M13" s="129"/>
      <c r="N13" s="129"/>
      <c r="O13" s="85"/>
      <c r="P13" s="85"/>
      <c r="Q13" s="85"/>
      <c r="R13" s="85"/>
      <c r="S13" s="85"/>
      <c r="T13" s="85"/>
    </row>
    <row r="14" spans="1:26" ht="21" customHeight="1">
      <c r="B14" s="130" t="s">
        <v>223</v>
      </c>
      <c r="C14" s="130"/>
      <c r="D14" s="130"/>
      <c r="E14" s="130"/>
      <c r="F14" s="130"/>
      <c r="G14" s="130"/>
      <c r="H14" s="130"/>
      <c r="I14" s="130"/>
      <c r="J14" s="130"/>
      <c r="K14" s="130"/>
      <c r="L14" s="130"/>
      <c r="M14" s="130"/>
      <c r="N14" s="130"/>
      <c r="O14" s="130"/>
      <c r="P14" s="130"/>
      <c r="Q14" s="130"/>
      <c r="R14" s="130"/>
      <c r="S14" s="130"/>
      <c r="T14" s="130"/>
    </row>
    <row r="15" spans="1:26">
      <c r="A15" t="s">
        <v>170</v>
      </c>
      <c r="P15" s="126">
        <f>I3</f>
        <v>0</v>
      </c>
      <c r="Q15" s="126"/>
      <c r="R15" s="126"/>
      <c r="S15" s="126"/>
      <c r="T15" t="s">
        <v>171</v>
      </c>
    </row>
    <row r="16" spans="1:26">
      <c r="A16" t="s">
        <v>172</v>
      </c>
      <c r="I16" s="126">
        <f>I4</f>
        <v>0</v>
      </c>
      <c r="J16" s="126"/>
      <c r="K16" s="126"/>
      <c r="L16" s="126"/>
      <c r="M16" s="126"/>
      <c r="N16" t="s">
        <v>173</v>
      </c>
      <c r="Q16" s="142">
        <v>0</v>
      </c>
      <c r="R16" s="142"/>
      <c r="S16" s="142"/>
      <c r="T16" s="142"/>
      <c r="U16" t="s">
        <v>174</v>
      </c>
    </row>
    <row r="17" spans="1:37">
      <c r="A17" t="s">
        <v>175</v>
      </c>
      <c r="I17" s="8"/>
      <c r="J17" s="8"/>
      <c r="K17" s="8"/>
      <c r="L17" s="8"/>
      <c r="M17" s="8"/>
      <c r="Q17" s="143">
        <v>0</v>
      </c>
      <c r="R17" s="143"/>
      <c r="S17" s="143"/>
      <c r="T17" s="143"/>
      <c r="U17" t="s">
        <v>176</v>
      </c>
    </row>
    <row r="18" spans="1:37">
      <c r="A18" t="s">
        <v>177</v>
      </c>
      <c r="G18" s="11">
        <v>4</v>
      </c>
      <c r="H18" t="s">
        <v>185</v>
      </c>
      <c r="I18" s="8"/>
      <c r="J18" s="8"/>
      <c r="K18" s="8"/>
      <c r="L18" s="8"/>
      <c r="M18" s="8"/>
      <c r="Q18" s="8"/>
      <c r="R18" s="8"/>
      <c r="S18" s="8"/>
      <c r="T18" s="8"/>
    </row>
    <row r="19" spans="1:37" ht="7.5" customHeight="1">
      <c r="G19" s="8"/>
      <c r="I19" s="8"/>
      <c r="J19" s="8"/>
      <c r="K19" s="8"/>
      <c r="L19" s="8"/>
      <c r="M19" s="8"/>
      <c r="Q19" s="8"/>
      <c r="R19" s="8"/>
      <c r="S19" s="8"/>
      <c r="T19" s="8"/>
    </row>
    <row r="20" spans="1:37">
      <c r="A20" t="s">
        <v>178</v>
      </c>
      <c r="G20" s="8"/>
      <c r="I20" s="144">
        <v>45717</v>
      </c>
      <c r="J20" s="144"/>
      <c r="K20" s="144"/>
      <c r="L20" s="144"/>
      <c r="M20" s="144"/>
      <c r="N20" s="144"/>
      <c r="Q20" s="8"/>
      <c r="R20" s="8"/>
      <c r="S20" s="8"/>
      <c r="T20" s="8"/>
    </row>
    <row r="21" spans="1:37">
      <c r="A21" t="s">
        <v>179</v>
      </c>
      <c r="G21" s="8"/>
      <c r="I21" s="144">
        <v>45901</v>
      </c>
      <c r="J21" s="144"/>
      <c r="K21" s="144"/>
      <c r="L21" s="144"/>
      <c r="M21" s="144"/>
      <c r="N21" s="144"/>
      <c r="Q21" s="8"/>
      <c r="R21" s="8"/>
      <c r="S21" s="8"/>
      <c r="T21" s="8"/>
    </row>
    <row r="22" spans="1:37" ht="7.5" customHeight="1">
      <c r="G22" s="8"/>
      <c r="I22" s="8"/>
      <c r="J22" s="8"/>
      <c r="K22" s="8"/>
      <c r="L22" s="8"/>
      <c r="M22" s="8"/>
      <c r="N22" s="8"/>
      <c r="Q22" s="8"/>
      <c r="R22" s="8"/>
      <c r="S22" s="8"/>
      <c r="T22" s="8"/>
    </row>
    <row r="23" spans="1:37" ht="51" customHeight="1">
      <c r="A23" s="103" t="s">
        <v>180</v>
      </c>
      <c r="B23" s="145"/>
      <c r="C23" s="145"/>
      <c r="D23" s="145"/>
      <c r="E23" s="145"/>
      <c r="F23" s="145"/>
      <c r="G23" s="145"/>
      <c r="H23" s="145"/>
      <c r="I23" s="145"/>
      <c r="J23" s="145"/>
      <c r="K23" s="145"/>
      <c r="L23" s="145"/>
      <c r="M23" s="145"/>
      <c r="N23" s="145"/>
      <c r="O23" s="145"/>
      <c r="P23" s="145"/>
      <c r="Q23" s="145"/>
      <c r="R23" s="145"/>
      <c r="S23" s="145"/>
      <c r="T23" s="145"/>
      <c r="U23" s="145"/>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00000000000006" customHeight="1">
      <c r="A25" s="103" t="s">
        <v>188</v>
      </c>
      <c r="B25" s="103"/>
      <c r="C25" s="103"/>
      <c r="D25" s="103"/>
      <c r="E25" s="103"/>
      <c r="F25" s="103"/>
      <c r="G25" s="103"/>
      <c r="H25" s="103"/>
      <c r="I25" s="103"/>
      <c r="J25" s="103"/>
      <c r="K25" s="103"/>
      <c r="L25" s="103"/>
      <c r="M25" s="103"/>
      <c r="N25" s="103"/>
      <c r="O25" s="103"/>
      <c r="P25" s="103"/>
      <c r="Q25" s="103"/>
      <c r="R25" s="103"/>
      <c r="S25" s="103"/>
      <c r="T25" s="103"/>
      <c r="U25" s="103"/>
    </row>
    <row r="26" spans="1:37" ht="12.9" customHeight="1">
      <c r="A26" s="14"/>
      <c r="B26" s="24"/>
      <c r="C26" s="24"/>
      <c r="D26" s="24"/>
      <c r="E26" s="24"/>
      <c r="F26" s="24"/>
      <c r="G26" s="24"/>
      <c r="H26" s="24"/>
      <c r="I26" s="24"/>
      <c r="J26" s="24"/>
      <c r="K26" s="24"/>
      <c r="L26" s="24"/>
      <c r="M26" s="24"/>
      <c r="N26" s="24"/>
      <c r="O26" s="24"/>
      <c r="P26" s="24"/>
      <c r="Q26" s="24"/>
      <c r="R26" s="24"/>
      <c r="S26" s="24"/>
      <c r="T26" s="24"/>
      <c r="U26" s="24"/>
    </row>
    <row r="27" spans="1:37">
      <c r="A27" s="77" t="s">
        <v>184</v>
      </c>
      <c r="B27" s="77"/>
      <c r="C27" s="77"/>
      <c r="D27" s="77"/>
      <c r="E27" s="77"/>
      <c r="F27" s="77"/>
      <c r="G27" s="77"/>
      <c r="H27" s="77"/>
      <c r="I27" s="77"/>
      <c r="J27" s="77"/>
      <c r="K27" s="8"/>
      <c r="L27" s="77" t="s">
        <v>181</v>
      </c>
      <c r="M27" s="77"/>
      <c r="N27" s="77"/>
      <c r="O27" s="77"/>
      <c r="P27" s="77"/>
      <c r="Q27" s="77"/>
      <c r="R27" s="77"/>
      <c r="S27" s="77"/>
      <c r="T27" s="77"/>
      <c r="U27" s="77"/>
      <c r="W27" s="85" t="s">
        <v>159</v>
      </c>
      <c r="X27" s="85"/>
      <c r="Y27" s="85"/>
      <c r="Z27" s="85"/>
      <c r="AA27" s="85"/>
      <c r="AB27" s="85"/>
      <c r="AC27" s="6"/>
      <c r="AE27" s="85" t="s">
        <v>160</v>
      </c>
      <c r="AF27" s="85"/>
      <c r="AG27" s="85"/>
      <c r="AH27" s="85"/>
      <c r="AI27" s="45" t="s">
        <v>248</v>
      </c>
      <c r="AJ27" s="59" t="s">
        <v>249</v>
      </c>
      <c r="AK27" s="52" t="s">
        <v>247</v>
      </c>
    </row>
    <row r="28" spans="1:37" ht="14.4" customHeight="1">
      <c r="A28" t="s">
        <v>182</v>
      </c>
      <c r="G28" s="121">
        <f>Q17</f>
        <v>0</v>
      </c>
      <c r="H28" s="85"/>
      <c r="I28" s="85"/>
      <c r="J28" s="85"/>
      <c r="K28" s="8"/>
      <c r="L28" s="9" t="s">
        <v>107</v>
      </c>
      <c r="M28" s="8"/>
      <c r="N28" s="83"/>
      <c r="O28" s="83"/>
      <c r="P28" s="16" t="s">
        <v>186</v>
      </c>
      <c r="Q28" s="8"/>
      <c r="R28" s="8"/>
      <c r="S28" s="141"/>
      <c r="T28" s="141"/>
      <c r="U28" s="9" t="s">
        <v>106</v>
      </c>
      <c r="W28" s="16" t="s">
        <v>371</v>
      </c>
      <c r="AC28" s="21">
        <f>(($Q$16-$Q$17)*0.3)</f>
        <v>0</v>
      </c>
      <c r="AE28" s="16" t="s">
        <v>390</v>
      </c>
      <c r="AH28" s="21">
        <f>(($Q$16-$Q$17)*0.3)</f>
        <v>0</v>
      </c>
      <c r="AI28" s="53">
        <v>1</v>
      </c>
      <c r="AJ28" s="53">
        <v>3</v>
      </c>
      <c r="AK28" s="56">
        <v>1</v>
      </c>
    </row>
    <row r="29" spans="1:37" ht="14.4" customHeight="1">
      <c r="A29" t="str">
        <f>IF($A$1=$W$3,W28,AE28)</f>
        <v>30% - Prior to Excavation</v>
      </c>
      <c r="G29" s="121">
        <f>IF($A$1=$W$3,AC28,AH28)</f>
        <v>0</v>
      </c>
      <c r="H29" s="121"/>
      <c r="I29" s="121"/>
      <c r="J29" s="121"/>
      <c r="K29" s="8"/>
      <c r="L29" s="6"/>
      <c r="M29" s="6"/>
      <c r="Q29" s="6"/>
      <c r="R29" s="6"/>
      <c r="S29" s="6"/>
      <c r="T29" s="6"/>
      <c r="W29" s="16" t="s">
        <v>183</v>
      </c>
      <c r="AC29" s="21">
        <f>((Q$16-Q$17)*0.3)</f>
        <v>0</v>
      </c>
      <c r="AE29" s="16" t="s">
        <v>387</v>
      </c>
      <c r="AH29" s="21">
        <f>(($Q$16-$Q$17)*0.3)</f>
        <v>0</v>
      </c>
      <c r="AI29" s="54">
        <v>2</v>
      </c>
      <c r="AJ29" s="54">
        <v>4</v>
      </c>
      <c r="AK29" s="57">
        <v>2</v>
      </c>
    </row>
    <row r="30" spans="1:37" ht="14.4" customHeight="1">
      <c r="A30" t="str">
        <f>IF($A$1=$W$3,W29,AE29)</f>
        <v xml:space="preserve">30% - Prior to Shotcete </v>
      </c>
      <c r="G30" s="121">
        <f>IF(A$1=W$3,AC29,AH29)</f>
        <v>0</v>
      </c>
      <c r="H30" s="121"/>
      <c r="I30" s="121"/>
      <c r="J30" s="121"/>
      <c r="K30" s="8"/>
      <c r="L30" s="9" t="s">
        <v>105</v>
      </c>
      <c r="M30" s="6"/>
      <c r="N30" s="50"/>
      <c r="O30" s="23" t="s">
        <v>187</v>
      </c>
      <c r="P30" s="69"/>
      <c r="Q30" s="23" t="s">
        <v>103</v>
      </c>
      <c r="T30" s="23"/>
      <c r="W30" s="16" t="s">
        <v>370</v>
      </c>
      <c r="AC30" s="21">
        <f>((Q$16-Q$17)*0.3)</f>
        <v>0</v>
      </c>
      <c r="AE30" s="16" t="s">
        <v>388</v>
      </c>
      <c r="AH30" s="21">
        <f>(($Q$16-$Q$17)*0.3)</f>
        <v>0</v>
      </c>
      <c r="AI30" s="54">
        <v>3</v>
      </c>
      <c r="AJ30" s="54">
        <v>5</v>
      </c>
      <c r="AK30" s="57">
        <v>3</v>
      </c>
    </row>
    <row r="31" spans="1:37" ht="14.4" customHeight="1">
      <c r="A31" t="str">
        <f>IF($A$1=$W$3,W30,AE30)</f>
        <v>30% - Prior to Decking</v>
      </c>
      <c r="G31" s="121">
        <f>IF(A$1=W$3,AC30,AH30)</f>
        <v>0</v>
      </c>
      <c r="H31" s="121"/>
      <c r="I31" s="121"/>
      <c r="J31" s="121"/>
      <c r="K31" s="8"/>
      <c r="L31" s="6"/>
      <c r="M31" s="6"/>
      <c r="Q31" s="6"/>
      <c r="R31" s="6"/>
      <c r="S31" s="6"/>
      <c r="T31" s="6"/>
      <c r="W31" s="16" t="s">
        <v>391</v>
      </c>
      <c r="AC31" s="21">
        <f>((Q$16-Q$17)*0.1)</f>
        <v>0</v>
      </c>
      <c r="AE31" s="16" t="s">
        <v>389</v>
      </c>
      <c r="AH31" s="21">
        <f>(($Q$16-$Q$17)*0.1)</f>
        <v>0</v>
      </c>
      <c r="AI31" s="55"/>
      <c r="AJ31" s="55"/>
      <c r="AK31" s="57">
        <v>4</v>
      </c>
    </row>
    <row r="32" spans="1:37" ht="14.4" customHeight="1">
      <c r="A32" t="str">
        <f>IF($A$1=$W$3,W31,AE31)</f>
        <v xml:space="preserve">10% - Prior to Interior Finish </v>
      </c>
      <c r="G32" s="121">
        <f>IF(A$1=W$3,AC31,AH31)</f>
        <v>0</v>
      </c>
      <c r="H32" s="121"/>
      <c r="I32" s="121"/>
      <c r="J32" s="121"/>
      <c r="K32" s="8"/>
      <c r="L32" s="9" t="s">
        <v>104</v>
      </c>
      <c r="M32" s="6"/>
      <c r="N32" s="72"/>
      <c r="O32" s="23" t="s">
        <v>187</v>
      </c>
      <c r="P32" s="73"/>
      <c r="Q32" s="23" t="s">
        <v>187</v>
      </c>
      <c r="R32" s="73"/>
      <c r="S32" s="23" t="s">
        <v>103</v>
      </c>
      <c r="T32" s="6"/>
      <c r="AK32" s="57">
        <v>5</v>
      </c>
    </row>
    <row r="33" spans="1:37" ht="14.4" customHeight="1" thickBot="1">
      <c r="G33" s="22"/>
      <c r="H33" s="22"/>
      <c r="I33" s="22"/>
      <c r="J33" s="22"/>
      <c r="K33" s="8"/>
      <c r="L33" s="85" t="str">
        <f>IF(R32&lt;8.5,"Pool Depth Does NOT Permit Diving","")</f>
        <v>Pool Depth Does NOT Permit Diving</v>
      </c>
      <c r="M33" s="85"/>
      <c r="N33" s="85"/>
      <c r="O33" s="85"/>
      <c r="P33" s="85"/>
      <c r="Q33" s="85"/>
      <c r="R33" s="85"/>
      <c r="S33" s="85"/>
      <c r="T33" s="85"/>
      <c r="U33" s="85"/>
      <c r="AK33" s="58"/>
    </row>
    <row r="34" spans="1:37" ht="6" customHeight="1" thickBot="1">
      <c r="A34" s="159"/>
      <c r="B34" s="160"/>
      <c r="C34" s="160"/>
      <c r="D34" s="160"/>
      <c r="E34" s="160"/>
      <c r="F34" s="160"/>
      <c r="G34" s="160"/>
      <c r="H34" s="160"/>
      <c r="I34" s="160"/>
      <c r="J34" s="160"/>
      <c r="K34" s="160"/>
      <c r="L34" s="160"/>
      <c r="M34" s="160"/>
      <c r="N34" s="160"/>
      <c r="O34" s="160"/>
      <c r="P34" s="160"/>
      <c r="Q34" s="160"/>
      <c r="R34" s="160"/>
      <c r="S34" s="160"/>
      <c r="T34" s="160"/>
      <c r="U34" s="161"/>
    </row>
    <row r="35" spans="1:37" ht="13.8" thickBot="1">
      <c r="A35" s="19"/>
      <c r="B35" t="s">
        <v>189</v>
      </c>
      <c r="G35" s="34"/>
      <c r="H35" s="25" t="s">
        <v>109</v>
      </c>
      <c r="I35" s="34"/>
      <c r="J35" s="25" t="s">
        <v>110</v>
      </c>
      <c r="K35" s="8"/>
      <c r="L35" s="6"/>
      <c r="M35" t="s">
        <v>190</v>
      </c>
      <c r="R35" s="34"/>
      <c r="S35" s="25" t="s">
        <v>109</v>
      </c>
      <c r="T35" s="34"/>
      <c r="U35" s="26" t="s">
        <v>110</v>
      </c>
    </row>
    <row r="36" spans="1:37" ht="6" customHeight="1" thickBot="1">
      <c r="A36" s="162"/>
      <c r="B36" s="163"/>
      <c r="C36" s="163"/>
      <c r="D36" s="163"/>
      <c r="E36" s="163"/>
      <c r="F36" s="163"/>
      <c r="G36" s="163"/>
      <c r="H36" s="163"/>
      <c r="I36" s="163"/>
      <c r="J36" s="163"/>
      <c r="K36" s="163"/>
      <c r="L36" s="163"/>
      <c r="M36" s="163"/>
      <c r="N36" s="163"/>
      <c r="O36" s="163"/>
      <c r="P36" s="163"/>
      <c r="Q36" s="163"/>
      <c r="R36" s="163"/>
      <c r="S36" s="163"/>
      <c r="T36" s="163"/>
      <c r="U36" s="164"/>
    </row>
    <row r="37" spans="1:37" ht="6" customHeight="1">
      <c r="A37" s="6"/>
      <c r="B37" s="6"/>
      <c r="C37" s="6"/>
      <c r="D37" s="6"/>
      <c r="E37" s="6"/>
      <c r="F37" s="6"/>
      <c r="G37" s="6"/>
      <c r="H37" s="6"/>
      <c r="I37" s="6"/>
      <c r="J37" s="6"/>
      <c r="K37" s="6"/>
      <c r="L37" s="6"/>
      <c r="M37" s="6"/>
      <c r="N37" s="6"/>
      <c r="O37" s="6"/>
      <c r="P37" s="6"/>
      <c r="Q37" s="6"/>
      <c r="R37" s="6"/>
      <c r="S37" s="6"/>
      <c r="T37" s="6"/>
      <c r="U37" s="6"/>
    </row>
    <row r="38" spans="1:37" ht="14.4" customHeight="1">
      <c r="A38" s="77" t="s">
        <v>102</v>
      </c>
      <c r="B38" s="77"/>
      <c r="C38" s="77"/>
      <c r="D38" s="77"/>
      <c r="E38" s="77"/>
      <c r="F38" s="77"/>
      <c r="G38" s="77"/>
      <c r="H38" s="77"/>
      <c r="I38" s="77"/>
      <c r="J38" s="77"/>
      <c r="K38" s="6"/>
      <c r="L38" s="77" t="s">
        <v>203</v>
      </c>
      <c r="M38" s="77"/>
      <c r="N38" s="77"/>
      <c r="O38" s="77"/>
      <c r="P38" s="77"/>
      <c r="Q38" s="77"/>
      <c r="R38" s="77"/>
      <c r="S38" s="77"/>
      <c r="T38" s="77"/>
      <c r="U38" s="77"/>
      <c r="W38" s="149" t="s">
        <v>232</v>
      </c>
      <c r="X38" s="150"/>
      <c r="Y38" s="150"/>
      <c r="Z38" s="151"/>
      <c r="AA38" s="149" t="s">
        <v>233</v>
      </c>
      <c r="AB38" s="150"/>
      <c r="AC38" s="151"/>
      <c r="AD38" s="149" t="s">
        <v>237</v>
      </c>
      <c r="AE38" s="150"/>
      <c r="AF38" s="151"/>
      <c r="AG38" s="149" t="s">
        <v>238</v>
      </c>
      <c r="AH38" s="151"/>
      <c r="AI38" s="146" t="s">
        <v>241</v>
      </c>
      <c r="AJ38" s="147"/>
      <c r="AK38" s="148"/>
    </row>
    <row r="39" spans="1:37" s="17" customFormat="1" ht="14.4" customHeight="1">
      <c r="A39" s="17" t="s">
        <v>101</v>
      </c>
      <c r="I39" s="116" t="s">
        <v>34</v>
      </c>
      <c r="J39" s="116"/>
      <c r="L39" s="17" t="s">
        <v>204</v>
      </c>
      <c r="Q39" s="78" t="s">
        <v>31</v>
      </c>
      <c r="R39" s="78"/>
      <c r="S39" s="78"/>
      <c r="T39" s="78"/>
      <c r="U39" s="78"/>
      <c r="W39" s="37" t="s">
        <v>31</v>
      </c>
      <c r="X39" s="38"/>
      <c r="Y39" s="38"/>
      <c r="Z39" s="38"/>
      <c r="AA39" s="37" t="s">
        <v>31</v>
      </c>
      <c r="AB39" s="38"/>
      <c r="AC39" s="39"/>
      <c r="AD39" s="40" t="s">
        <v>31</v>
      </c>
      <c r="AF39" s="41"/>
      <c r="AG39" s="37" t="s">
        <v>31</v>
      </c>
      <c r="AH39" s="39"/>
      <c r="AI39" s="38" t="s">
        <v>31</v>
      </c>
      <c r="AJ39" s="38"/>
      <c r="AK39" s="39"/>
    </row>
    <row r="40" spans="1:37" s="17" customFormat="1" ht="14.4" customHeight="1">
      <c r="A40" s="17" t="s">
        <v>99</v>
      </c>
      <c r="I40" s="116" t="s">
        <v>34</v>
      </c>
      <c r="J40" s="116"/>
      <c r="L40" s="17" t="s">
        <v>205</v>
      </c>
      <c r="Q40" s="112" t="s">
        <v>31</v>
      </c>
      <c r="R40" s="113"/>
      <c r="S40" s="113"/>
      <c r="T40" s="113"/>
      <c r="U40" s="114"/>
      <c r="W40" s="40" t="s">
        <v>230</v>
      </c>
      <c r="AA40" s="40" t="s">
        <v>234</v>
      </c>
      <c r="AC40" s="41"/>
      <c r="AD40" s="40" t="s">
        <v>44</v>
      </c>
      <c r="AF40" s="41"/>
      <c r="AG40" s="40" t="s">
        <v>42</v>
      </c>
      <c r="AH40" s="41"/>
      <c r="AI40" s="17" t="s">
        <v>244</v>
      </c>
      <c r="AK40" s="41"/>
    </row>
    <row r="41" spans="1:37" s="17" customFormat="1" ht="14.4" customHeight="1">
      <c r="A41" s="17" t="s">
        <v>98</v>
      </c>
      <c r="I41" s="116" t="s">
        <v>34</v>
      </c>
      <c r="J41" s="116"/>
      <c r="L41" s="17" t="s">
        <v>45</v>
      </c>
      <c r="Q41" s="78" t="s">
        <v>35</v>
      </c>
      <c r="R41" s="78"/>
      <c r="S41" s="78"/>
      <c r="T41" s="78"/>
      <c r="U41" s="78"/>
      <c r="W41" s="40" t="s">
        <v>231</v>
      </c>
      <c r="AA41" s="40" t="s">
        <v>219</v>
      </c>
      <c r="AC41" s="41"/>
      <c r="AD41" s="40" t="s">
        <v>40</v>
      </c>
      <c r="AF41" s="41"/>
      <c r="AG41" s="40" t="s">
        <v>239</v>
      </c>
      <c r="AH41" s="41"/>
      <c r="AI41" s="17" t="s">
        <v>245</v>
      </c>
      <c r="AK41" s="41"/>
    </row>
    <row r="42" spans="1:37" s="17" customFormat="1" ht="14.4" customHeight="1">
      <c r="A42" s="17" t="s">
        <v>94</v>
      </c>
      <c r="I42" s="116" t="s">
        <v>62</v>
      </c>
      <c r="J42" s="116"/>
      <c r="L42" s="17" t="s">
        <v>41</v>
      </c>
      <c r="Q42" s="112" t="s">
        <v>31</v>
      </c>
      <c r="R42" s="113"/>
      <c r="S42" s="113"/>
      <c r="T42" s="113"/>
      <c r="U42" s="114"/>
      <c r="W42" s="42"/>
      <c r="X42" s="43"/>
      <c r="Y42" s="43"/>
      <c r="Z42" s="43"/>
      <c r="AA42" s="40" t="s">
        <v>235</v>
      </c>
      <c r="AC42" s="41"/>
      <c r="AD42" s="40" t="s">
        <v>39</v>
      </c>
      <c r="AF42" s="41"/>
      <c r="AG42" s="40" t="s">
        <v>38</v>
      </c>
      <c r="AH42" s="41"/>
      <c r="AI42" s="17" t="s">
        <v>246</v>
      </c>
      <c r="AK42" s="41"/>
    </row>
    <row r="43" spans="1:37" s="17" customFormat="1" ht="14.4" customHeight="1">
      <c r="A43" s="17" t="s">
        <v>93</v>
      </c>
      <c r="I43" s="116" t="s">
        <v>62</v>
      </c>
      <c r="J43" s="116"/>
      <c r="L43" s="17" t="s">
        <v>206</v>
      </c>
      <c r="Q43" s="112" t="s">
        <v>31</v>
      </c>
      <c r="R43" s="113"/>
      <c r="S43" s="113"/>
      <c r="T43" s="113"/>
      <c r="U43" s="114"/>
      <c r="AA43" s="40" t="s">
        <v>236</v>
      </c>
      <c r="AC43" s="41"/>
      <c r="AD43" s="40" t="s">
        <v>36</v>
      </c>
      <c r="AF43" s="41"/>
      <c r="AG43" s="40" t="s">
        <v>240</v>
      </c>
      <c r="AH43" s="41"/>
      <c r="AI43" s="43"/>
      <c r="AJ43" s="43"/>
      <c r="AK43" s="44"/>
    </row>
    <row r="44" spans="1:37" s="17" customFormat="1" ht="14.4" customHeight="1">
      <c r="A44" s="17" t="s">
        <v>88</v>
      </c>
      <c r="I44" s="116" t="s">
        <v>62</v>
      </c>
      <c r="J44" s="116"/>
      <c r="L44" s="17" t="s">
        <v>207</v>
      </c>
      <c r="Q44" s="78" t="s">
        <v>31</v>
      </c>
      <c r="R44" s="78"/>
      <c r="S44" s="78"/>
      <c r="T44" s="78"/>
      <c r="U44" s="78"/>
      <c r="W44" s="156" t="s">
        <v>306</v>
      </c>
      <c r="X44" s="157"/>
      <c r="AA44" s="40" t="s">
        <v>52</v>
      </c>
      <c r="AC44" s="41"/>
      <c r="AD44" s="40" t="s">
        <v>35</v>
      </c>
      <c r="AF44" s="41"/>
      <c r="AG44" s="42"/>
      <c r="AH44" s="44"/>
    </row>
    <row r="45" spans="1:37" s="17" customFormat="1" ht="14.4" customHeight="1">
      <c r="A45" s="18" t="s">
        <v>87</v>
      </c>
      <c r="L45" s="17" t="s">
        <v>208</v>
      </c>
      <c r="Q45" s="78" t="s">
        <v>31</v>
      </c>
      <c r="R45" s="78"/>
      <c r="S45" s="78"/>
      <c r="T45" s="78"/>
      <c r="U45" s="78"/>
      <c r="W45" s="37" t="s">
        <v>31</v>
      </c>
      <c r="X45" s="39"/>
      <c r="AA45" s="40" t="s">
        <v>50</v>
      </c>
      <c r="AC45" s="41"/>
      <c r="AD45" s="42"/>
      <c r="AE45" s="43"/>
      <c r="AF45" s="44"/>
    </row>
    <row r="46" spans="1:37" s="17" customFormat="1" ht="14.4" customHeight="1">
      <c r="A46" s="17" t="s">
        <v>83</v>
      </c>
      <c r="I46" s="116" t="s">
        <v>62</v>
      </c>
      <c r="J46" s="116"/>
      <c r="L46" s="18" t="s">
        <v>304</v>
      </c>
      <c r="Q46" s="112" t="s">
        <v>31</v>
      </c>
      <c r="R46" s="113"/>
      <c r="S46" s="113"/>
      <c r="T46" s="113"/>
      <c r="U46" s="114"/>
      <c r="W46" s="40" t="s">
        <v>243</v>
      </c>
      <c r="X46" s="41"/>
      <c r="AA46" s="42"/>
      <c r="AB46" s="43"/>
      <c r="AC46" s="44"/>
    </row>
    <row r="47" spans="1:37" s="17" customFormat="1" ht="14.4" customHeight="1">
      <c r="A47" s="17" t="s">
        <v>80</v>
      </c>
      <c r="I47" s="116" t="s">
        <v>62</v>
      </c>
      <c r="J47" s="116"/>
      <c r="L47" s="17" t="s">
        <v>305</v>
      </c>
      <c r="Q47" s="112" t="s">
        <v>31</v>
      </c>
      <c r="R47" s="113"/>
      <c r="S47" s="113"/>
      <c r="T47" s="113"/>
      <c r="U47" s="114"/>
      <c r="W47" s="42" t="s">
        <v>242</v>
      </c>
      <c r="X47" s="44"/>
    </row>
    <row r="48" spans="1:37" s="17" customFormat="1" ht="14.4" customHeight="1" thickBot="1">
      <c r="A48" s="17" t="s">
        <v>78</v>
      </c>
      <c r="I48" s="116" t="s">
        <v>62</v>
      </c>
      <c r="J48" s="116"/>
    </row>
    <row r="49" spans="1:35" s="17" customFormat="1" ht="14.4" customHeight="1" thickBot="1">
      <c r="A49" s="17" t="s">
        <v>76</v>
      </c>
      <c r="F49" s="51">
        <v>1</v>
      </c>
      <c r="G49" s="17" t="s">
        <v>191</v>
      </c>
      <c r="L49" s="77" t="s">
        <v>209</v>
      </c>
      <c r="M49" s="77"/>
      <c r="N49" s="77"/>
      <c r="O49" s="77"/>
      <c r="P49" s="77"/>
      <c r="Q49" s="77"/>
      <c r="R49" s="77"/>
      <c r="S49" s="77"/>
      <c r="T49" s="77"/>
      <c r="U49" s="77"/>
      <c r="AI49" s="17" t="s">
        <v>34</v>
      </c>
    </row>
    <row r="50" spans="1:35" s="17" customFormat="1" ht="14.4" customHeight="1">
      <c r="A50" s="17" t="s">
        <v>192</v>
      </c>
      <c r="L50" s="21" t="str">
        <f>IF($A$1=$W$3,W50,AE50)</f>
        <v>31. Pneumatically applied shotcrete shell - Per Code</v>
      </c>
      <c r="M50" s="21"/>
      <c r="N50" s="21"/>
      <c r="O50" s="21"/>
      <c r="T50" s="116"/>
      <c r="U50" s="116"/>
      <c r="W50" s="17" t="s">
        <v>308</v>
      </c>
      <c r="AE50" s="17" t="s">
        <v>309</v>
      </c>
    </row>
    <row r="51" spans="1:35" s="17" customFormat="1" ht="14.4" customHeight="1">
      <c r="A51" s="17" t="s">
        <v>193</v>
      </c>
      <c r="L51" s="17" t="s">
        <v>310</v>
      </c>
      <c r="T51" s="90" t="s">
        <v>251</v>
      </c>
      <c r="U51" s="90"/>
    </row>
    <row r="52" spans="1:35" s="17" customFormat="1" ht="14.4" customHeight="1">
      <c r="A52" s="18" t="s">
        <v>68</v>
      </c>
      <c r="L52" s="17" t="s">
        <v>311</v>
      </c>
      <c r="T52" s="90" t="s">
        <v>31</v>
      </c>
      <c r="U52" s="90"/>
    </row>
    <row r="53" spans="1:35" s="17" customFormat="1" ht="14.4" customHeight="1">
      <c r="A53" s="158" t="s">
        <v>194</v>
      </c>
      <c r="B53" s="158"/>
      <c r="C53" s="158"/>
      <c r="D53" s="158"/>
      <c r="E53" s="158"/>
      <c r="F53" s="158"/>
      <c r="G53" s="158"/>
      <c r="H53" s="158"/>
      <c r="L53" s="17" t="s">
        <v>312</v>
      </c>
      <c r="W53" s="17" t="s">
        <v>307</v>
      </c>
      <c r="AE53" s="17" t="s">
        <v>195</v>
      </c>
    </row>
    <row r="54" spans="1:35" ht="14.4" customHeight="1">
      <c r="A54" s="21" t="str">
        <f>IF($A$1=$W$3,W53,AE53)</f>
        <v>14. Steel reinforcing as per Plan.</v>
      </c>
      <c r="B54" s="21"/>
      <c r="C54" s="21"/>
      <c r="D54" s="21"/>
      <c r="L54" s="17"/>
      <c r="M54" s="30" t="s">
        <v>158</v>
      </c>
      <c r="N54" s="29" t="s">
        <v>92</v>
      </c>
      <c r="O54" s="30" t="s">
        <v>158</v>
      </c>
      <c r="P54" s="29" t="s">
        <v>91</v>
      </c>
      <c r="Q54" s="30" t="s">
        <v>158</v>
      </c>
      <c r="R54" s="29" t="s">
        <v>220</v>
      </c>
      <c r="S54" s="30" t="s">
        <v>158</v>
      </c>
      <c r="T54" s="29" t="s">
        <v>90</v>
      </c>
      <c r="U54" s="17"/>
    </row>
    <row r="55" spans="1:35" ht="14.4" customHeight="1">
      <c r="M55" s="30" t="s">
        <v>158</v>
      </c>
      <c r="N55" s="29" t="s">
        <v>86</v>
      </c>
      <c r="O55" s="30" t="s">
        <v>158</v>
      </c>
      <c r="P55" s="29" t="s">
        <v>85</v>
      </c>
      <c r="Q55" s="27" t="s">
        <v>158</v>
      </c>
      <c r="R55" s="29" t="s">
        <v>221</v>
      </c>
      <c r="S55" s="27" t="s">
        <v>158</v>
      </c>
      <c r="T55" s="29" t="s">
        <v>84</v>
      </c>
      <c r="W55" s="45" t="s">
        <v>250</v>
      </c>
      <c r="X55" s="46"/>
      <c r="Y55" s="45" t="s">
        <v>252</v>
      </c>
      <c r="Z55" s="46"/>
      <c r="AA55" s="47" t="s">
        <v>254</v>
      </c>
      <c r="AB55" s="49"/>
      <c r="AC55" s="47" t="s">
        <v>256</v>
      </c>
      <c r="AD55" s="48"/>
      <c r="AE55" s="49"/>
      <c r="AF55" s="45" t="s">
        <v>0</v>
      </c>
      <c r="AG55" s="59"/>
    </row>
    <row r="56" spans="1:35" ht="14.4" customHeight="1">
      <c r="A56" s="77" t="s">
        <v>196</v>
      </c>
      <c r="B56" s="77"/>
      <c r="C56" s="77"/>
      <c r="D56" s="77"/>
      <c r="E56" s="77"/>
      <c r="F56" s="77"/>
      <c r="G56" s="77"/>
      <c r="H56" s="77"/>
      <c r="I56" s="77"/>
      <c r="J56" s="77"/>
      <c r="L56" s="17" t="s">
        <v>313</v>
      </c>
      <c r="Q56" s="80" t="s">
        <v>31</v>
      </c>
      <c r="R56" s="81"/>
      <c r="S56" s="81"/>
      <c r="T56" s="81"/>
      <c r="U56" s="82"/>
      <c r="W56" s="60" t="s">
        <v>31</v>
      </c>
      <c r="X56" s="48"/>
      <c r="Y56" s="60" t="s">
        <v>31</v>
      </c>
      <c r="Z56" s="48"/>
      <c r="AA56" s="60" t="s">
        <v>31</v>
      </c>
      <c r="AB56" s="49"/>
      <c r="AC56" s="48" t="s">
        <v>31</v>
      </c>
      <c r="AD56" s="48"/>
      <c r="AE56" s="49"/>
      <c r="AF56" s="60" t="s">
        <v>31</v>
      </c>
      <c r="AG56" s="49"/>
    </row>
    <row r="57" spans="1:35" ht="14.4" customHeight="1">
      <c r="A57" t="s">
        <v>197</v>
      </c>
      <c r="E57" s="31" t="s">
        <v>48</v>
      </c>
      <c r="F57" s="50">
        <v>1</v>
      </c>
      <c r="G57" t="s">
        <v>61</v>
      </c>
      <c r="I57" s="116" t="s">
        <v>34</v>
      </c>
      <c r="J57" s="116"/>
      <c r="L57" s="17" t="s">
        <v>314</v>
      </c>
      <c r="Q57" s="80" t="s">
        <v>31</v>
      </c>
      <c r="R57" s="81"/>
      <c r="S57" s="81"/>
      <c r="T57" s="81"/>
      <c r="U57" s="82"/>
      <c r="W57" s="61" t="s">
        <v>251</v>
      </c>
      <c r="Y57" s="61" t="s">
        <v>96</v>
      </c>
      <c r="AA57" s="61" t="s">
        <v>95</v>
      </c>
      <c r="AB57" s="62"/>
      <c r="AC57" t="s">
        <v>257</v>
      </c>
      <c r="AE57" s="62"/>
      <c r="AF57" s="61" t="s">
        <v>259</v>
      </c>
      <c r="AG57" s="62"/>
    </row>
    <row r="58" spans="1:35" ht="14.4" customHeight="1">
      <c r="A58" t="s">
        <v>198</v>
      </c>
      <c r="E58" s="31" t="s">
        <v>48</v>
      </c>
      <c r="F58" s="50">
        <v>3</v>
      </c>
      <c r="G58" t="s">
        <v>61</v>
      </c>
      <c r="I58" s="116" t="s">
        <v>34</v>
      </c>
      <c r="J58" s="116"/>
      <c r="L58" s="17" t="s">
        <v>315</v>
      </c>
      <c r="Q58" s="80" t="s">
        <v>59</v>
      </c>
      <c r="R58" s="81"/>
      <c r="S58" s="81"/>
      <c r="T58" s="81"/>
      <c r="U58" s="82"/>
      <c r="W58" s="63"/>
      <c r="X58" s="65"/>
      <c r="Y58" s="61" t="s">
        <v>253</v>
      </c>
      <c r="AA58" s="61" t="s">
        <v>58</v>
      </c>
      <c r="AB58" s="62"/>
      <c r="AC58" t="s">
        <v>59</v>
      </c>
      <c r="AE58" s="62"/>
      <c r="AF58" s="61" t="s">
        <v>260</v>
      </c>
      <c r="AG58" s="62"/>
    </row>
    <row r="59" spans="1:35" ht="14.4" customHeight="1">
      <c r="A59" t="s">
        <v>199</v>
      </c>
      <c r="I59" s="116" t="s">
        <v>62</v>
      </c>
      <c r="J59" s="116"/>
      <c r="L59" s="17" t="s">
        <v>316</v>
      </c>
      <c r="P59" t="s">
        <v>392</v>
      </c>
      <c r="Q59" s="80" t="s">
        <v>58</v>
      </c>
      <c r="R59" s="81"/>
      <c r="S59" s="81"/>
      <c r="T59" s="81"/>
      <c r="U59" s="82"/>
      <c r="Y59" s="63"/>
      <c r="Z59" s="65"/>
      <c r="AA59" s="61" t="s">
        <v>255</v>
      </c>
      <c r="AB59" s="62"/>
      <c r="AC59" t="s">
        <v>56</v>
      </c>
      <c r="AE59" s="62"/>
      <c r="AF59" s="61" t="s">
        <v>58</v>
      </c>
      <c r="AG59" s="62"/>
    </row>
    <row r="60" spans="1:35" ht="14.4" customHeight="1">
      <c r="A60" t="s">
        <v>200</v>
      </c>
      <c r="I60" s="116" t="s">
        <v>34</v>
      </c>
      <c r="J60" s="116"/>
      <c r="L60" s="17" t="s">
        <v>72</v>
      </c>
      <c r="T60" s="115" t="s">
        <v>34</v>
      </c>
      <c r="U60" s="115"/>
      <c r="AA60" s="61" t="s">
        <v>89</v>
      </c>
      <c r="AB60" s="62"/>
      <c r="AC60" t="s">
        <v>258</v>
      </c>
      <c r="AE60" s="62"/>
      <c r="AF60" s="61" t="s">
        <v>258</v>
      </c>
      <c r="AG60" s="62"/>
    </row>
    <row r="61" spans="1:35" ht="14.4" customHeight="1">
      <c r="A61" t="s">
        <v>201</v>
      </c>
      <c r="I61" s="116" t="s">
        <v>34</v>
      </c>
      <c r="J61" s="116"/>
      <c r="L61" s="17" t="s">
        <v>394</v>
      </c>
      <c r="R61" t="s">
        <v>393</v>
      </c>
      <c r="T61" s="90" t="s">
        <v>62</v>
      </c>
      <c r="U61" s="90"/>
      <c r="AA61" s="63"/>
      <c r="AB61" s="64"/>
      <c r="AC61" t="s">
        <v>51</v>
      </c>
      <c r="AE61" s="62"/>
      <c r="AF61" s="61" t="s">
        <v>51</v>
      </c>
      <c r="AG61" s="62"/>
    </row>
    <row r="62" spans="1:35" ht="14.4" customHeight="1">
      <c r="A62" t="s">
        <v>202</v>
      </c>
      <c r="F62" s="79" t="s">
        <v>231</v>
      </c>
      <c r="G62" s="79"/>
      <c r="H62" s="79"/>
      <c r="I62" s="79"/>
      <c r="J62" s="79"/>
      <c r="L62" s="103" t="s">
        <v>210</v>
      </c>
      <c r="M62" s="103"/>
      <c r="N62" s="103"/>
      <c r="O62" s="103"/>
      <c r="P62" s="103"/>
      <c r="Q62" s="103"/>
      <c r="R62" s="103"/>
      <c r="S62" s="103"/>
      <c r="T62" s="103"/>
      <c r="U62" s="103"/>
      <c r="AC62" s="63"/>
      <c r="AD62" s="65"/>
      <c r="AE62" s="64"/>
      <c r="AF62" s="63"/>
      <c r="AG62" s="64"/>
    </row>
    <row r="63" spans="1:35" ht="14.4" customHeight="1">
      <c r="A63" t="s">
        <v>55</v>
      </c>
      <c r="F63" s="79" t="s">
        <v>236</v>
      </c>
      <c r="G63" s="79"/>
      <c r="H63" s="79"/>
      <c r="I63" s="79"/>
      <c r="J63" s="79"/>
      <c r="L63" s="103"/>
      <c r="M63" s="103"/>
      <c r="N63" s="103"/>
      <c r="O63" s="103"/>
      <c r="P63" s="103"/>
      <c r="Q63" s="103"/>
      <c r="R63" s="103"/>
      <c r="S63" s="103"/>
      <c r="T63" s="103"/>
      <c r="U63" s="103"/>
    </row>
    <row r="64" spans="1:35" ht="14.4" customHeight="1">
      <c r="F64" s="6"/>
      <c r="G64" s="6"/>
      <c r="H64" s="6"/>
      <c r="I64" s="6"/>
      <c r="J64" s="6"/>
      <c r="L64" s="103"/>
      <c r="M64" s="103"/>
      <c r="N64" s="103"/>
      <c r="O64" s="103"/>
      <c r="P64" s="103"/>
      <c r="Q64" s="103"/>
      <c r="R64" s="103"/>
      <c r="S64" s="103"/>
      <c r="T64" s="103"/>
      <c r="U64" s="103"/>
    </row>
    <row r="65" spans="1:35" ht="14.4" customHeight="1">
      <c r="F65" s="6"/>
      <c r="G65" s="6"/>
      <c r="H65" s="6"/>
      <c r="I65" s="6"/>
      <c r="J65" s="6"/>
      <c r="L65" s="14"/>
      <c r="M65" s="14"/>
      <c r="N65" s="14"/>
      <c r="O65" s="32" t="s">
        <v>6</v>
      </c>
      <c r="P65" s="74"/>
      <c r="Q65" s="75"/>
      <c r="R65" s="33"/>
      <c r="S65" s="32" t="s">
        <v>6</v>
      </c>
      <c r="T65" s="74"/>
      <c r="U65" s="75"/>
    </row>
    <row r="66" spans="1:35" ht="14.4" customHeight="1">
      <c r="A66" s="85" t="s">
        <v>369</v>
      </c>
      <c r="B66" s="85"/>
      <c r="C66" s="85"/>
      <c r="D66" s="85"/>
      <c r="E66" s="85"/>
      <c r="F66" s="85"/>
      <c r="G66" s="85"/>
      <c r="H66" s="85"/>
      <c r="I66" s="85"/>
      <c r="J66" s="85"/>
      <c r="K66" s="85"/>
      <c r="L66" s="85"/>
      <c r="M66" s="85"/>
      <c r="N66" s="85"/>
      <c r="O66" s="85"/>
      <c r="P66" s="85"/>
      <c r="Q66" s="85"/>
      <c r="R66" s="85"/>
      <c r="S66" s="85"/>
      <c r="T66" s="85"/>
      <c r="U66" s="85"/>
      <c r="W66" s="70" t="s">
        <v>339</v>
      </c>
    </row>
    <row r="67" spans="1:35" ht="14.4" customHeight="1" thickBot="1">
      <c r="F67" s="86" t="str">
        <f>IF(A1=W3,"NORTH CAROLINA Construction Contract - Home Improvement - Fiberglass Swimming Pool","NORTH CAROLINA Construction Contract - Home Improvement - Shotcrete Swimming Pool")</f>
        <v>NORTH CAROLINA Construction Contract - Home Improvement - Shotcrete Swimming Pool</v>
      </c>
      <c r="G67" s="86"/>
      <c r="H67" s="86"/>
      <c r="I67" s="86"/>
      <c r="J67" s="86"/>
      <c r="K67" s="86"/>
      <c r="L67" s="86"/>
      <c r="M67" s="86"/>
      <c r="N67" s="86"/>
      <c r="O67" s="86"/>
      <c r="P67" s="86"/>
      <c r="Q67" s="86"/>
      <c r="R67" s="86"/>
      <c r="S67" s="86"/>
      <c r="T67" s="86"/>
      <c r="U67" s="86"/>
      <c r="W67" s="53">
        <v>0</v>
      </c>
    </row>
    <row r="68" spans="1:35" ht="14.4" customHeight="1">
      <c r="F68" s="87" t="s">
        <v>161</v>
      </c>
      <c r="G68" s="88"/>
      <c r="H68" s="88"/>
      <c r="I68" s="89">
        <f>I3</f>
        <v>0</v>
      </c>
      <c r="J68" s="89"/>
      <c r="K68" s="89"/>
      <c r="L68" s="89"/>
      <c r="M68" s="89"/>
      <c r="N68" s="89"/>
      <c r="O68" s="89"/>
      <c r="P68" s="88" t="s">
        <v>163</v>
      </c>
      <c r="Q68" s="88"/>
      <c r="R68" s="152">
        <f>R3</f>
        <v>0</v>
      </c>
      <c r="S68" s="152"/>
      <c r="T68" s="152"/>
      <c r="U68" s="153"/>
      <c r="W68" s="54">
        <v>1</v>
      </c>
    </row>
    <row r="69" spans="1:35" ht="14.4" customHeight="1">
      <c r="F69" s="91" t="s">
        <v>164</v>
      </c>
      <c r="G69" s="92"/>
      <c r="H69" s="92"/>
      <c r="I69" s="93">
        <f>I4</f>
        <v>0</v>
      </c>
      <c r="J69" s="93"/>
      <c r="K69" s="93"/>
      <c r="L69" s="93"/>
      <c r="M69" s="93"/>
      <c r="N69" s="93"/>
      <c r="O69" s="93"/>
      <c r="P69" s="92" t="s">
        <v>165</v>
      </c>
      <c r="Q69" s="92"/>
      <c r="R69" s="93">
        <f>R4</f>
        <v>0</v>
      </c>
      <c r="S69" s="93"/>
      <c r="T69" s="93"/>
      <c r="U69" s="94"/>
      <c r="W69" s="54">
        <v>2</v>
      </c>
    </row>
    <row r="70" spans="1:35" ht="14.4" customHeight="1">
      <c r="F70" s="91" t="s">
        <v>166</v>
      </c>
      <c r="G70" s="92"/>
      <c r="H70" s="92"/>
      <c r="I70" s="93">
        <f>I5</f>
        <v>0</v>
      </c>
      <c r="J70" s="93"/>
      <c r="K70" s="93"/>
      <c r="L70" s="93"/>
      <c r="M70" t="s">
        <v>167</v>
      </c>
      <c r="N70" s="93">
        <f>N5</f>
        <v>0</v>
      </c>
      <c r="O70" s="93"/>
      <c r="U70" s="20"/>
      <c r="W70" s="54">
        <v>3</v>
      </c>
    </row>
    <row r="71" spans="1:35" ht="14.4" customHeight="1">
      <c r="F71" s="19"/>
      <c r="U71" s="20"/>
      <c r="W71" s="54">
        <v>4</v>
      </c>
    </row>
    <row r="72" spans="1:35" ht="14.4" customHeight="1">
      <c r="F72" s="91" t="s">
        <v>162</v>
      </c>
      <c r="G72" s="92"/>
      <c r="H72" s="93">
        <f>H7</f>
        <v>0</v>
      </c>
      <c r="I72" s="93"/>
      <c r="J72" s="93"/>
      <c r="K72" s="93"/>
      <c r="L72" s="93"/>
      <c r="M72" s="93"/>
      <c r="N72" s="92" t="s">
        <v>168</v>
      </c>
      <c r="O72" s="92"/>
      <c r="P72" s="93">
        <f>P7</f>
        <v>0</v>
      </c>
      <c r="Q72" s="93"/>
      <c r="R72" s="93"/>
      <c r="S72" s="93"/>
      <c r="T72" s="93"/>
      <c r="U72" s="94"/>
      <c r="W72" s="54">
        <v>5</v>
      </c>
    </row>
    <row r="73" spans="1:35" ht="14.4" customHeight="1" thickBot="1">
      <c r="F73" s="5"/>
      <c r="G73" s="4"/>
      <c r="H73" s="4"/>
      <c r="I73" s="4"/>
      <c r="J73" s="4"/>
      <c r="K73" s="4"/>
      <c r="L73" s="4"/>
      <c r="M73" s="4"/>
      <c r="N73" s="4"/>
      <c r="O73" s="4"/>
      <c r="P73" s="4"/>
      <c r="Q73" s="4"/>
      <c r="R73" s="4"/>
      <c r="S73" s="4"/>
      <c r="T73" s="4"/>
      <c r="U73" s="3"/>
      <c r="W73" s="55"/>
    </row>
    <row r="74" spans="1:35" ht="14.4" customHeight="1">
      <c r="A74" s="129" t="s">
        <v>223</v>
      </c>
      <c r="B74" s="129"/>
      <c r="C74" s="129"/>
      <c r="D74" s="129"/>
      <c r="E74" s="129"/>
      <c r="F74" s="129"/>
      <c r="G74" s="129"/>
      <c r="H74" s="129"/>
      <c r="I74" s="129"/>
      <c r="J74" s="129"/>
      <c r="K74" s="129"/>
      <c r="L74" s="129"/>
      <c r="M74" s="129"/>
      <c r="N74" s="129"/>
      <c r="O74" s="129"/>
      <c r="P74" s="129"/>
      <c r="Q74" s="129"/>
      <c r="R74" s="129"/>
      <c r="S74" s="129"/>
      <c r="T74" s="129"/>
      <c r="U74" s="129"/>
    </row>
    <row r="75" spans="1:35" ht="15" customHeight="1"/>
    <row r="76" spans="1:35" ht="14.4" customHeight="1">
      <c r="A76" s="77" t="s">
        <v>211</v>
      </c>
      <c r="B76" s="77"/>
      <c r="C76" s="77"/>
      <c r="D76" s="77"/>
      <c r="E76" s="77"/>
      <c r="F76" s="77"/>
      <c r="G76" s="77"/>
      <c r="H76" s="77"/>
      <c r="I76" s="77"/>
      <c r="J76" s="77"/>
      <c r="L76" s="77" t="s">
        <v>79</v>
      </c>
      <c r="M76" s="77"/>
      <c r="N76" s="77"/>
      <c r="O76" s="77"/>
      <c r="P76" s="77"/>
      <c r="Q76" s="77"/>
      <c r="R76" s="77"/>
      <c r="S76" s="77"/>
      <c r="T76" s="77"/>
      <c r="U76" s="77"/>
    </row>
    <row r="77" spans="1:35" ht="14.4" customHeight="1">
      <c r="A77" s="9" t="s">
        <v>67</v>
      </c>
      <c r="I77" s="90" t="s">
        <v>34</v>
      </c>
      <c r="J77" s="90"/>
      <c r="L77" t="s">
        <v>77</v>
      </c>
      <c r="T77" s="31" t="s">
        <v>33</v>
      </c>
      <c r="U77" s="69" t="s">
        <v>158</v>
      </c>
    </row>
    <row r="78" spans="1:35" ht="14.4" customHeight="1">
      <c r="A78" s="16" t="s">
        <v>66</v>
      </c>
      <c r="L78" t="s">
        <v>75</v>
      </c>
      <c r="P78" s="78" t="s">
        <v>31</v>
      </c>
      <c r="Q78" s="78"/>
      <c r="R78" s="78"/>
      <c r="S78" s="78"/>
      <c r="T78" s="31" t="s">
        <v>48</v>
      </c>
      <c r="U78" s="69">
        <v>0</v>
      </c>
      <c r="W78" s="149" t="s">
        <v>261</v>
      </c>
      <c r="X78" s="150"/>
      <c r="Y78" s="151"/>
      <c r="Z78" s="149" t="s">
        <v>264</v>
      </c>
      <c r="AA78" s="150"/>
      <c r="AB78" s="151"/>
      <c r="AC78" s="149" t="s">
        <v>271</v>
      </c>
      <c r="AD78" s="151"/>
      <c r="AE78" s="149" t="s">
        <v>276</v>
      </c>
      <c r="AF78" s="151"/>
      <c r="AG78" s="68" t="s">
        <v>278</v>
      </c>
      <c r="AH78" s="68" t="s">
        <v>280</v>
      </c>
      <c r="AI78" s="52" t="s">
        <v>282</v>
      </c>
    </row>
    <row r="79" spans="1:35" ht="14.4" customHeight="1">
      <c r="A79" t="s">
        <v>64</v>
      </c>
      <c r="I79" s="90" t="s">
        <v>34</v>
      </c>
      <c r="J79" s="90"/>
      <c r="L79" t="s">
        <v>74</v>
      </c>
      <c r="Q79" s="79" t="s">
        <v>31</v>
      </c>
      <c r="R79" s="79"/>
      <c r="S79" s="79"/>
      <c r="T79" s="79"/>
      <c r="U79" s="79"/>
      <c r="W79" s="60" t="s">
        <v>31</v>
      </c>
      <c r="X79" s="48"/>
      <c r="Y79" s="48"/>
      <c r="Z79" s="60" t="s">
        <v>31</v>
      </c>
      <c r="AA79" s="48"/>
      <c r="AB79" s="49"/>
      <c r="AC79" s="60" t="s">
        <v>31</v>
      </c>
      <c r="AD79" s="49"/>
      <c r="AE79" s="60" t="s">
        <v>31</v>
      </c>
      <c r="AF79" s="49"/>
      <c r="AG79" s="66" t="s">
        <v>31</v>
      </c>
      <c r="AH79" s="60" t="s">
        <v>31</v>
      </c>
      <c r="AI79" s="66" t="s">
        <v>31</v>
      </c>
    </row>
    <row r="80" spans="1:35" ht="14.4" customHeight="1">
      <c r="A80" t="s">
        <v>63</v>
      </c>
      <c r="I80" s="90" t="s">
        <v>62</v>
      </c>
      <c r="J80" s="90"/>
      <c r="L80" t="s">
        <v>73</v>
      </c>
      <c r="T80" s="76" t="s">
        <v>213</v>
      </c>
      <c r="U80" s="76"/>
      <c r="W80" s="61" t="s">
        <v>262</v>
      </c>
      <c r="Z80" s="61" t="s">
        <v>265</v>
      </c>
      <c r="AB80" s="62"/>
      <c r="AC80" s="61" t="s">
        <v>272</v>
      </c>
      <c r="AD80" s="62"/>
      <c r="AE80" s="61" t="s">
        <v>60</v>
      </c>
      <c r="AF80" s="62"/>
      <c r="AG80" s="67" t="s">
        <v>279</v>
      </c>
      <c r="AH80" s="61" t="s">
        <v>281</v>
      </c>
      <c r="AI80" s="67" t="s">
        <v>279</v>
      </c>
    </row>
    <row r="81" spans="1:35" ht="14.4" customHeight="1">
      <c r="A81" s="16" t="s">
        <v>212</v>
      </c>
      <c r="L81" t="s">
        <v>71</v>
      </c>
      <c r="Q81" s="80" t="str">
        <f>IF(U77="-","None",F102)</f>
        <v>None</v>
      </c>
      <c r="R81" s="81"/>
      <c r="S81" s="81"/>
      <c r="T81" s="81"/>
      <c r="U81" s="82"/>
      <c r="W81" s="61" t="s">
        <v>263</v>
      </c>
      <c r="Z81" s="61" t="s">
        <v>266</v>
      </c>
      <c r="AB81" s="62"/>
      <c r="AC81" s="61" t="s">
        <v>273</v>
      </c>
      <c r="AD81" s="62"/>
      <c r="AE81" s="61" t="s">
        <v>277</v>
      </c>
      <c r="AF81" s="62"/>
      <c r="AG81" s="55"/>
      <c r="AH81" s="63"/>
      <c r="AI81" s="67" t="s">
        <v>277</v>
      </c>
    </row>
    <row r="82" spans="1:35" ht="14.4" customHeight="1">
      <c r="A82" t="s">
        <v>317</v>
      </c>
      <c r="E82" s="79" t="s">
        <v>263</v>
      </c>
      <c r="F82" s="79"/>
      <c r="G82" s="79"/>
      <c r="H82" s="79"/>
      <c r="I82" s="31" t="s">
        <v>48</v>
      </c>
      <c r="J82" s="50">
        <v>3</v>
      </c>
      <c r="L82" s="16" t="s">
        <v>70</v>
      </c>
      <c r="T82" s="83" t="s">
        <v>213</v>
      </c>
      <c r="U82" s="83"/>
      <c r="W82" s="63" t="s">
        <v>398</v>
      </c>
      <c r="X82" s="65"/>
      <c r="Y82" s="65"/>
      <c r="Z82" s="61" t="s">
        <v>267</v>
      </c>
      <c r="AB82" s="62"/>
      <c r="AC82" s="61" t="s">
        <v>222</v>
      </c>
      <c r="AD82" s="62"/>
      <c r="AE82" s="61" t="s">
        <v>51</v>
      </c>
      <c r="AF82" s="62"/>
      <c r="AI82" s="55"/>
    </row>
    <row r="83" spans="1:35" ht="14.4" customHeight="1">
      <c r="A83" t="s">
        <v>318</v>
      </c>
      <c r="E83" s="79" t="s">
        <v>31</v>
      </c>
      <c r="F83" s="111"/>
      <c r="G83" s="111"/>
      <c r="H83" s="111"/>
      <c r="I83" s="31" t="s">
        <v>48</v>
      </c>
      <c r="J83" s="50">
        <v>0</v>
      </c>
      <c r="L83" s="16" t="s">
        <v>69</v>
      </c>
      <c r="T83" s="81" t="s">
        <v>213</v>
      </c>
      <c r="U83" s="81"/>
      <c r="Z83" s="61" t="s">
        <v>268</v>
      </c>
      <c r="AB83" s="62"/>
      <c r="AC83" s="61" t="s">
        <v>274</v>
      </c>
      <c r="AD83" s="62"/>
      <c r="AE83" s="63"/>
      <c r="AF83" s="64"/>
    </row>
    <row r="84" spans="1:35" ht="14.4" customHeight="1">
      <c r="A84" t="s">
        <v>319</v>
      </c>
      <c r="F84" s="79" t="s">
        <v>31</v>
      </c>
      <c r="G84" s="79"/>
      <c r="H84" s="79"/>
      <c r="I84" s="79"/>
      <c r="J84" s="79"/>
      <c r="L84" t="s">
        <v>336</v>
      </c>
      <c r="T84" s="76" t="s">
        <v>213</v>
      </c>
      <c r="U84" s="76"/>
      <c r="W84" s="149" t="s">
        <v>299</v>
      </c>
      <c r="X84" s="150"/>
      <c r="Y84" s="151"/>
      <c r="Z84" s="61" t="s">
        <v>269</v>
      </c>
      <c r="AB84" s="62"/>
      <c r="AC84" s="61" t="s">
        <v>275</v>
      </c>
      <c r="AD84" s="62"/>
    </row>
    <row r="85" spans="1:35" ht="14.4" customHeight="1">
      <c r="A85" t="s">
        <v>320</v>
      </c>
      <c r="I85" s="81" t="s">
        <v>213</v>
      </c>
      <c r="J85" s="81"/>
      <c r="L85" t="s">
        <v>337</v>
      </c>
      <c r="Q85" s="80" t="s">
        <v>31</v>
      </c>
      <c r="R85" s="81"/>
      <c r="S85" s="81"/>
      <c r="T85" s="81"/>
      <c r="U85" s="82"/>
      <c r="W85" s="60" t="s">
        <v>213</v>
      </c>
      <c r="X85" s="48"/>
      <c r="Y85" s="49"/>
      <c r="Z85" s="61" t="s">
        <v>270</v>
      </c>
      <c r="AB85" s="62"/>
      <c r="AC85" s="63"/>
      <c r="AD85" s="64"/>
    </row>
    <row r="86" spans="1:35" ht="14.4" customHeight="1">
      <c r="L86" s="16"/>
      <c r="W86" s="61" t="s">
        <v>109</v>
      </c>
      <c r="Y86" s="62"/>
      <c r="Z86" s="61" t="s">
        <v>395</v>
      </c>
      <c r="AB86" s="62"/>
    </row>
    <row r="87" spans="1:35" ht="14.4" customHeight="1">
      <c r="A87" s="77" t="s">
        <v>54</v>
      </c>
      <c r="B87" s="77"/>
      <c r="C87" s="77"/>
      <c r="D87" s="77"/>
      <c r="E87" s="77"/>
      <c r="F87" s="77"/>
      <c r="G87" s="77"/>
      <c r="H87" s="77"/>
      <c r="I87" s="77"/>
      <c r="J87" s="77"/>
      <c r="L87" s="77" t="s">
        <v>65</v>
      </c>
      <c r="M87" s="77"/>
      <c r="N87" s="77"/>
      <c r="O87" s="77"/>
      <c r="P87" s="77"/>
      <c r="Q87" s="77"/>
      <c r="R87" s="77"/>
      <c r="S87" s="77"/>
      <c r="T87" s="77"/>
      <c r="U87" s="77"/>
      <c r="W87" s="63"/>
      <c r="X87" s="65"/>
      <c r="Y87" s="64"/>
      <c r="Z87" s="61" t="s">
        <v>51</v>
      </c>
      <c r="AA87" s="65"/>
      <c r="AB87" s="64"/>
    </row>
    <row r="88" spans="1:35" ht="14.4" customHeight="1">
      <c r="A88" t="s">
        <v>321</v>
      </c>
      <c r="E88" s="79" t="s">
        <v>31</v>
      </c>
      <c r="F88" s="79"/>
      <c r="G88" s="79"/>
      <c r="H88" s="79"/>
      <c r="I88" s="31" t="s">
        <v>48</v>
      </c>
      <c r="J88" s="50">
        <v>0</v>
      </c>
    </row>
    <row r="89" spans="1:35" ht="14.4" customHeight="1">
      <c r="A89" t="s">
        <v>322</v>
      </c>
      <c r="E89" s="79" t="s">
        <v>31</v>
      </c>
      <c r="F89" s="79"/>
      <c r="G89" s="79"/>
      <c r="H89" s="79"/>
      <c r="I89" s="31" t="s">
        <v>48</v>
      </c>
      <c r="J89" s="50">
        <v>0</v>
      </c>
      <c r="L89" s="16" t="s">
        <v>57</v>
      </c>
      <c r="M89" s="84" t="s">
        <v>3</v>
      </c>
      <c r="N89" s="84"/>
      <c r="O89" s="84"/>
      <c r="P89" s="84"/>
      <c r="Q89" s="84"/>
      <c r="R89" s="84"/>
      <c r="S89" s="84"/>
      <c r="T89" s="84"/>
      <c r="U89" s="84"/>
      <c r="W89" s="146" t="s">
        <v>283</v>
      </c>
      <c r="X89" s="147"/>
      <c r="Y89" s="148"/>
      <c r="Z89" s="149" t="s">
        <v>293</v>
      </c>
      <c r="AA89" s="151"/>
      <c r="AB89" s="149" t="s">
        <v>297</v>
      </c>
      <c r="AC89" s="151"/>
      <c r="AD89" s="149" t="s">
        <v>298</v>
      </c>
      <c r="AE89" s="151"/>
      <c r="AF89" s="52" t="s">
        <v>300</v>
      </c>
    </row>
    <row r="90" spans="1:35" ht="14.4" customHeight="1">
      <c r="A90" t="s">
        <v>323</v>
      </c>
      <c r="E90" s="79" t="s">
        <v>31</v>
      </c>
      <c r="F90" s="79"/>
      <c r="G90" s="79"/>
      <c r="H90" s="79"/>
      <c r="I90" s="31" t="s">
        <v>48</v>
      </c>
      <c r="J90" s="50">
        <v>0</v>
      </c>
      <c r="W90" s="60" t="s">
        <v>31</v>
      </c>
      <c r="X90" s="48"/>
      <c r="Y90" s="49"/>
      <c r="Z90" s="60" t="s">
        <v>31</v>
      </c>
      <c r="AA90" s="49"/>
      <c r="AB90" s="60" t="s">
        <v>108</v>
      </c>
      <c r="AC90" s="49"/>
      <c r="AD90" s="60" t="s">
        <v>31</v>
      </c>
      <c r="AE90" s="48"/>
      <c r="AF90" s="66" t="s">
        <v>31</v>
      </c>
    </row>
    <row r="91" spans="1:35" ht="14.4" customHeight="1">
      <c r="A91" t="s">
        <v>324</v>
      </c>
      <c r="E91" s="79" t="s">
        <v>31</v>
      </c>
      <c r="F91" s="79"/>
      <c r="G91" s="79"/>
      <c r="H91" s="79"/>
      <c r="I91" s="31" t="s">
        <v>48</v>
      </c>
      <c r="J91" s="50">
        <v>0</v>
      </c>
      <c r="L91" s="16" t="s">
        <v>53</v>
      </c>
      <c r="M91" s="84" t="s">
        <v>3</v>
      </c>
      <c r="N91" s="84"/>
      <c r="O91" s="84"/>
      <c r="P91" s="84"/>
      <c r="Q91" s="84"/>
      <c r="R91" s="84"/>
      <c r="S91" s="84"/>
      <c r="T91" s="84"/>
      <c r="U91" s="84"/>
      <c r="W91" s="61" t="s">
        <v>284</v>
      </c>
      <c r="Y91" s="62"/>
      <c r="Z91" s="61" t="s">
        <v>294</v>
      </c>
      <c r="AA91" s="62"/>
      <c r="AB91" s="61" t="s">
        <v>100</v>
      </c>
      <c r="AC91" s="62"/>
      <c r="AD91" s="61" t="s">
        <v>95</v>
      </c>
      <c r="AF91" s="67" t="s">
        <v>95</v>
      </c>
    </row>
    <row r="92" spans="1:35" ht="14.4" customHeight="1">
      <c r="A92" t="s">
        <v>325</v>
      </c>
      <c r="E92" s="79" t="s">
        <v>31</v>
      </c>
      <c r="F92" s="79"/>
      <c r="G92" s="79"/>
      <c r="H92" s="79"/>
      <c r="I92" s="31" t="s">
        <v>48</v>
      </c>
      <c r="J92" s="50">
        <v>0</v>
      </c>
      <c r="W92" s="61" t="s">
        <v>285</v>
      </c>
      <c r="Y92" s="62"/>
      <c r="Z92" s="61" t="s">
        <v>295</v>
      </c>
      <c r="AA92" s="62"/>
      <c r="AB92" s="61" t="s">
        <v>215</v>
      </c>
      <c r="AC92" s="62"/>
      <c r="AD92" s="61" t="s">
        <v>58</v>
      </c>
      <c r="AF92" s="67" t="s">
        <v>58</v>
      </c>
    </row>
    <row r="93" spans="1:35" ht="14.4" customHeight="1">
      <c r="A93" t="s">
        <v>326</v>
      </c>
      <c r="E93" s="79" t="s">
        <v>31</v>
      </c>
      <c r="F93" s="79"/>
      <c r="G93" s="79"/>
      <c r="H93" s="79"/>
      <c r="I93" s="31" t="s">
        <v>48</v>
      </c>
      <c r="J93" s="50">
        <v>0</v>
      </c>
      <c r="L93" s="16" t="s">
        <v>49</v>
      </c>
      <c r="M93" s="84" t="s">
        <v>3</v>
      </c>
      <c r="N93" s="84"/>
      <c r="O93" s="84"/>
      <c r="P93" s="84"/>
      <c r="Q93" s="84"/>
      <c r="R93" s="84"/>
      <c r="S93" s="84"/>
      <c r="T93" s="84"/>
      <c r="U93" s="84"/>
      <c r="W93" s="61" t="s">
        <v>286</v>
      </c>
      <c r="Y93" s="62"/>
      <c r="Z93" s="61" t="s">
        <v>296</v>
      </c>
      <c r="AA93" s="62"/>
      <c r="AB93" s="61" t="s">
        <v>97</v>
      </c>
      <c r="AC93" s="62"/>
      <c r="AD93" s="61" t="s">
        <v>216</v>
      </c>
      <c r="AF93" s="67" t="s">
        <v>255</v>
      </c>
    </row>
    <row r="94" spans="1:35" ht="14.4" customHeight="1">
      <c r="W94" s="61" t="s">
        <v>287</v>
      </c>
      <c r="Y94" s="62"/>
      <c r="Z94" s="63"/>
      <c r="AA94" s="64"/>
      <c r="AB94" s="63"/>
      <c r="AC94" s="64"/>
      <c r="AD94" s="63"/>
      <c r="AE94" s="65"/>
      <c r="AF94" s="67" t="s">
        <v>89</v>
      </c>
    </row>
    <row r="95" spans="1:35" ht="14.4" customHeight="1">
      <c r="A95" s="77" t="s">
        <v>46</v>
      </c>
      <c r="B95" s="77"/>
      <c r="C95" s="77"/>
      <c r="D95" s="77"/>
      <c r="E95" s="77"/>
      <c r="F95" s="77"/>
      <c r="G95" s="77"/>
      <c r="H95" s="77"/>
      <c r="I95" s="77"/>
      <c r="J95" s="77"/>
      <c r="L95" s="16" t="s">
        <v>47</v>
      </c>
      <c r="M95" s="84" t="s">
        <v>3</v>
      </c>
      <c r="N95" s="84"/>
      <c r="O95" s="84"/>
      <c r="P95" s="84"/>
      <c r="Q95" s="84"/>
      <c r="R95" s="84"/>
      <c r="S95" s="84"/>
      <c r="T95" s="84"/>
      <c r="U95" s="84"/>
      <c r="W95" s="61" t="s">
        <v>288</v>
      </c>
      <c r="Y95" s="62"/>
      <c r="AF95" s="55"/>
    </row>
    <row r="96" spans="1:35" ht="14.4" customHeight="1">
      <c r="A96" t="s">
        <v>327</v>
      </c>
      <c r="E96" s="79" t="s">
        <v>31</v>
      </c>
      <c r="F96" s="79"/>
      <c r="G96" s="79"/>
      <c r="H96" s="79"/>
      <c r="I96" s="31" t="s">
        <v>48</v>
      </c>
      <c r="J96" s="50">
        <v>0</v>
      </c>
      <c r="W96" s="61" t="s">
        <v>289</v>
      </c>
      <c r="Y96" s="62"/>
    </row>
    <row r="97" spans="1:25" ht="14.4" customHeight="1">
      <c r="A97" t="s">
        <v>328</v>
      </c>
      <c r="E97" s="79" t="s">
        <v>31</v>
      </c>
      <c r="F97" s="79"/>
      <c r="G97" s="79"/>
      <c r="H97" s="79"/>
      <c r="I97" s="31" t="s">
        <v>48</v>
      </c>
      <c r="J97" s="50">
        <v>0</v>
      </c>
      <c r="L97" s="16" t="s">
        <v>43</v>
      </c>
      <c r="M97" s="84" t="s">
        <v>3</v>
      </c>
      <c r="N97" s="84"/>
      <c r="O97" s="84"/>
      <c r="P97" s="84"/>
      <c r="Q97" s="84"/>
      <c r="R97" s="84"/>
      <c r="S97" s="84"/>
      <c r="T97" s="84"/>
      <c r="U97" s="84"/>
      <c r="W97" s="61" t="s">
        <v>290</v>
      </c>
      <c r="Y97" s="62"/>
    </row>
    <row r="98" spans="1:25" ht="14.4" customHeight="1">
      <c r="A98" t="s">
        <v>329</v>
      </c>
      <c r="E98" s="79" t="s">
        <v>31</v>
      </c>
      <c r="F98" s="79"/>
      <c r="G98" s="79"/>
      <c r="H98" s="79"/>
      <c r="I98" s="31" t="s">
        <v>33</v>
      </c>
      <c r="J98" s="50">
        <v>0</v>
      </c>
      <c r="W98" s="61" t="s">
        <v>291</v>
      </c>
      <c r="Y98" s="62"/>
    </row>
    <row r="99" spans="1:25" ht="14.4" customHeight="1">
      <c r="A99" t="s">
        <v>330</v>
      </c>
      <c r="E99" s="79" t="s">
        <v>31</v>
      </c>
      <c r="F99" s="79"/>
      <c r="G99" s="79"/>
      <c r="H99" s="79"/>
      <c r="I99" s="31" t="s">
        <v>33</v>
      </c>
      <c r="J99" s="50">
        <v>0</v>
      </c>
      <c r="L99" s="16" t="s">
        <v>37</v>
      </c>
      <c r="M99" s="84" t="s">
        <v>3</v>
      </c>
      <c r="N99" s="84"/>
      <c r="O99" s="84"/>
      <c r="P99" s="84"/>
      <c r="Q99" s="84"/>
      <c r="R99" s="84"/>
      <c r="S99" s="84"/>
      <c r="T99" s="84"/>
      <c r="U99" s="84"/>
      <c r="W99" s="61" t="s">
        <v>292</v>
      </c>
      <c r="Y99" s="62"/>
    </row>
    <row r="100" spans="1:25" ht="14.4" customHeight="1">
      <c r="W100" s="61" t="s">
        <v>51</v>
      </c>
      <c r="Y100" s="62"/>
    </row>
    <row r="101" spans="1:25" ht="14.4" customHeight="1">
      <c r="A101" s="77" t="s">
        <v>214</v>
      </c>
      <c r="B101" s="77"/>
      <c r="C101" s="77"/>
      <c r="D101" s="77"/>
      <c r="E101" s="77"/>
      <c r="F101" s="77"/>
      <c r="G101" s="77"/>
      <c r="H101" s="77"/>
      <c r="I101" s="77"/>
      <c r="J101" s="77"/>
      <c r="L101" s="16" t="s">
        <v>32</v>
      </c>
      <c r="M101" s="84" t="s">
        <v>3</v>
      </c>
      <c r="N101" s="84"/>
      <c r="O101" s="84"/>
      <c r="P101" s="84"/>
      <c r="Q101" s="84"/>
      <c r="R101" s="84"/>
      <c r="S101" s="84"/>
      <c r="T101" s="84"/>
      <c r="U101" s="84"/>
      <c r="W101" s="63"/>
      <c r="X101" s="65"/>
      <c r="Y101" s="64"/>
    </row>
    <row r="102" spans="1:25" ht="14.4" customHeight="1">
      <c r="A102" t="s">
        <v>331</v>
      </c>
      <c r="F102" s="80" t="s">
        <v>215</v>
      </c>
      <c r="G102" s="81"/>
      <c r="H102" s="81"/>
      <c r="I102" s="81"/>
      <c r="J102" s="82"/>
      <c r="W102" t="s">
        <v>108</v>
      </c>
    </row>
    <row r="103" spans="1:25" ht="14.4" customHeight="1">
      <c r="A103" t="s">
        <v>332</v>
      </c>
      <c r="I103" s="90" t="s">
        <v>34</v>
      </c>
      <c r="J103" s="90"/>
      <c r="L103" s="16" t="s">
        <v>30</v>
      </c>
      <c r="M103" s="84" t="s">
        <v>3</v>
      </c>
      <c r="N103" s="84"/>
      <c r="O103" s="84"/>
      <c r="P103" s="84"/>
      <c r="Q103" s="84"/>
      <c r="R103" s="84"/>
      <c r="S103" s="84"/>
      <c r="T103" s="84"/>
      <c r="U103" s="84"/>
      <c r="W103" t="s">
        <v>100</v>
      </c>
    </row>
    <row r="104" spans="1:25" ht="14.4" customHeight="1">
      <c r="A104" t="s">
        <v>333</v>
      </c>
      <c r="I104" s="90" t="s">
        <v>62</v>
      </c>
      <c r="J104" s="90"/>
      <c r="W104" t="s">
        <v>215</v>
      </c>
    </row>
    <row r="105" spans="1:25" ht="14.4" customHeight="1">
      <c r="A105" t="s">
        <v>334</v>
      </c>
      <c r="I105" s="90" t="s">
        <v>34</v>
      </c>
      <c r="J105" s="90"/>
      <c r="L105" s="16" t="s">
        <v>301</v>
      </c>
      <c r="M105" s="84" t="s">
        <v>3</v>
      </c>
      <c r="N105" s="84"/>
      <c r="O105" s="84"/>
      <c r="P105" s="84"/>
      <c r="Q105" s="84"/>
      <c r="R105" s="84"/>
      <c r="S105" s="84"/>
      <c r="T105" s="84"/>
      <c r="U105" s="84"/>
      <c r="W105" t="s">
        <v>97</v>
      </c>
    </row>
    <row r="106" spans="1:25" ht="14.4" customHeight="1">
      <c r="A106" t="s">
        <v>335</v>
      </c>
      <c r="I106" s="83" t="str">
        <f>IF(A1=W3,W85,W86)</f>
        <v>YES</v>
      </c>
      <c r="J106" s="83"/>
    </row>
    <row r="107" spans="1:25" ht="14.4" customHeight="1">
      <c r="A107" t="s">
        <v>82</v>
      </c>
      <c r="I107" s="76" t="s">
        <v>81</v>
      </c>
      <c r="J107" s="76"/>
      <c r="L107" s="16" t="s">
        <v>338</v>
      </c>
      <c r="M107" s="84" t="s">
        <v>3</v>
      </c>
      <c r="N107" s="84"/>
      <c r="O107" s="84"/>
      <c r="P107" s="84"/>
      <c r="Q107" s="84"/>
      <c r="R107" s="84"/>
      <c r="S107" s="84"/>
      <c r="T107" s="84"/>
      <c r="U107" s="84"/>
    </row>
    <row r="108" spans="1:25" ht="14.4" customHeight="1">
      <c r="I108" s="6"/>
      <c r="J108" s="6"/>
      <c r="L108" s="16"/>
      <c r="M108" s="6"/>
      <c r="N108" s="6"/>
      <c r="O108" s="6"/>
      <c r="P108" s="6"/>
      <c r="Q108" s="6"/>
      <c r="R108" s="6"/>
      <c r="S108" s="6"/>
      <c r="T108" s="6"/>
      <c r="U108" s="6"/>
    </row>
    <row r="109" spans="1:25" ht="29.4" customHeight="1">
      <c r="A109" s="92" t="s">
        <v>224</v>
      </c>
      <c r="B109" s="101"/>
      <c r="C109" s="105"/>
      <c r="D109" s="106"/>
      <c r="E109" s="106"/>
      <c r="F109" s="106"/>
      <c r="G109" s="107"/>
      <c r="H109" s="100" t="s">
        <v>226</v>
      </c>
      <c r="I109" s="92"/>
      <c r="J109" s="101"/>
      <c r="K109" s="105"/>
      <c r="L109" s="106"/>
      <c r="M109" s="106"/>
      <c r="N109" s="106"/>
      <c r="O109" s="106"/>
      <c r="P109" s="106"/>
      <c r="Q109" s="107"/>
      <c r="R109" s="28" t="s">
        <v>217</v>
      </c>
      <c r="S109" s="105"/>
      <c r="T109" s="106"/>
      <c r="U109" s="107"/>
    </row>
    <row r="110" spans="1:25" ht="14.4" customHeight="1">
      <c r="I110" s="6"/>
      <c r="J110" s="6"/>
      <c r="L110" s="16"/>
      <c r="M110" s="6"/>
      <c r="N110" s="6"/>
      <c r="O110" s="6"/>
      <c r="P110" s="6"/>
      <c r="Q110" s="6"/>
      <c r="R110" s="6"/>
      <c r="S110" s="6"/>
      <c r="T110" s="6"/>
      <c r="U110" s="6"/>
    </row>
    <row r="111" spans="1:25" ht="29.4" customHeight="1">
      <c r="A111" s="92" t="s">
        <v>225</v>
      </c>
      <c r="B111" s="101"/>
      <c r="C111" s="97"/>
      <c r="D111" s="98"/>
      <c r="E111" s="98"/>
      <c r="F111" s="98"/>
      <c r="G111" s="99"/>
      <c r="H111" s="100" t="s">
        <v>227</v>
      </c>
      <c r="I111" s="92"/>
      <c r="J111" s="101"/>
      <c r="K111" s="97"/>
      <c r="L111" s="98"/>
      <c r="M111" s="98"/>
      <c r="N111" s="98"/>
      <c r="O111" s="98"/>
      <c r="P111" s="98"/>
      <c r="Q111" s="99"/>
      <c r="R111" s="28" t="s">
        <v>217</v>
      </c>
      <c r="S111" s="97"/>
      <c r="T111" s="98"/>
      <c r="U111" s="99"/>
    </row>
    <row r="112" spans="1:25" ht="14.4" customHeight="1">
      <c r="I112" s="6"/>
      <c r="J112" s="6"/>
      <c r="L112" s="16"/>
      <c r="M112" s="6"/>
      <c r="N112" s="6"/>
      <c r="O112" s="6"/>
      <c r="P112" s="6"/>
      <c r="Q112" s="6"/>
      <c r="R112" s="6"/>
      <c r="S112" s="6"/>
      <c r="T112" s="6"/>
      <c r="U112" s="6"/>
    </row>
    <row r="113" spans="1:21" ht="29.4" customHeight="1">
      <c r="A113" s="92" t="s">
        <v>225</v>
      </c>
      <c r="B113" s="101"/>
      <c r="C113" s="97"/>
      <c r="D113" s="98"/>
      <c r="E113" s="98"/>
      <c r="F113" s="98"/>
      <c r="G113" s="99"/>
      <c r="H113" s="100" t="s">
        <v>227</v>
      </c>
      <c r="I113" s="92"/>
      <c r="J113" s="101"/>
      <c r="K113" s="97"/>
      <c r="L113" s="98"/>
      <c r="M113" s="98"/>
      <c r="N113" s="98"/>
      <c r="O113" s="98"/>
      <c r="P113" s="98"/>
      <c r="Q113" s="99"/>
      <c r="R113" s="28" t="s">
        <v>217</v>
      </c>
      <c r="S113" s="97"/>
      <c r="T113" s="98"/>
      <c r="U113" s="99"/>
    </row>
    <row r="114" spans="1:21" ht="140.4" customHeight="1">
      <c r="A114" s="103" t="s">
        <v>397</v>
      </c>
      <c r="B114" s="103"/>
      <c r="C114" s="103"/>
      <c r="D114" s="103"/>
      <c r="E114" s="103"/>
      <c r="F114" s="103"/>
      <c r="G114" s="103"/>
      <c r="H114" s="103"/>
      <c r="I114" s="103"/>
      <c r="J114" s="103"/>
      <c r="K114" s="103"/>
      <c r="L114" s="103"/>
      <c r="M114" s="103"/>
      <c r="N114" s="103"/>
      <c r="O114" s="103"/>
      <c r="P114" s="103"/>
      <c r="Q114" s="103"/>
      <c r="R114" s="103"/>
      <c r="S114" s="103"/>
      <c r="T114" s="103"/>
      <c r="U114" s="103"/>
    </row>
    <row r="115" spans="1:21" ht="14.4"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 customHeight="1">
      <c r="A116" s="102" t="s">
        <v>218</v>
      </c>
      <c r="B116" s="102"/>
      <c r="C116" s="102"/>
      <c r="D116" s="102"/>
      <c r="E116" s="102"/>
      <c r="F116" s="102"/>
      <c r="G116" s="102"/>
      <c r="H116" s="102"/>
      <c r="I116" s="102"/>
      <c r="J116" s="102"/>
      <c r="K116" s="102"/>
      <c r="L116" s="102"/>
      <c r="M116" s="102"/>
      <c r="N116" s="102"/>
      <c r="O116" s="102"/>
      <c r="P116" s="102"/>
      <c r="Q116" s="102"/>
      <c r="R116" s="102"/>
      <c r="S116" s="102"/>
      <c r="T116" s="102"/>
      <c r="U116" s="102"/>
    </row>
    <row r="117" spans="1:21" ht="33.9"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 customHeight="1">
      <c r="A118" s="85" t="s">
        <v>368</v>
      </c>
      <c r="B118" s="85"/>
      <c r="C118" s="85"/>
      <c r="D118" s="85"/>
      <c r="E118" s="85"/>
      <c r="F118" s="85"/>
      <c r="G118" s="85"/>
      <c r="H118" s="85"/>
      <c r="I118" s="85"/>
      <c r="J118" s="85"/>
      <c r="K118" s="85"/>
      <c r="L118" s="85"/>
      <c r="M118" s="85"/>
      <c r="N118" s="85"/>
      <c r="O118" s="85"/>
      <c r="P118" s="85"/>
      <c r="Q118" s="85"/>
      <c r="R118" s="85"/>
      <c r="S118" s="85"/>
      <c r="T118" s="85"/>
      <c r="U118" s="85"/>
    </row>
    <row r="119" spans="1:21" ht="18.600000000000001" customHeight="1">
      <c r="A119" s="2"/>
      <c r="B119" s="6"/>
      <c r="C119" s="6"/>
      <c r="D119" s="6"/>
      <c r="E119" s="6"/>
      <c r="F119" s="6"/>
      <c r="G119" s="6"/>
      <c r="H119" s="6"/>
      <c r="I119" s="6"/>
      <c r="J119" s="6"/>
      <c r="K119" s="92" t="s">
        <v>157</v>
      </c>
      <c r="L119" s="92"/>
      <c r="M119" s="92"/>
      <c r="N119" s="101"/>
      <c r="O119" s="108">
        <f>I3</f>
        <v>0</v>
      </c>
      <c r="P119" s="109"/>
      <c r="Q119" s="109"/>
      <c r="R119" s="109"/>
      <c r="S119" s="109"/>
      <c r="T119" s="109"/>
      <c r="U119" s="110"/>
    </row>
    <row r="120" spans="1:21" ht="9.9" customHeight="1">
      <c r="A120" s="2"/>
      <c r="B120" s="6"/>
      <c r="C120" s="6"/>
      <c r="D120" s="6"/>
      <c r="E120" s="6"/>
      <c r="F120" s="6"/>
      <c r="G120" s="6"/>
      <c r="H120" s="6"/>
      <c r="I120" s="6"/>
      <c r="J120" s="6"/>
      <c r="K120" s="6"/>
      <c r="L120" s="6"/>
      <c r="M120" s="6"/>
      <c r="N120" s="6"/>
      <c r="O120" s="6"/>
      <c r="P120" s="6"/>
      <c r="Q120" s="6"/>
      <c r="R120" s="6"/>
      <c r="S120" s="6"/>
      <c r="T120" s="6"/>
      <c r="U120" s="6"/>
    </row>
    <row r="121" spans="1:21">
      <c r="A121" s="95" t="s">
        <v>29</v>
      </c>
      <c r="B121" s="95"/>
      <c r="C121" s="95"/>
      <c r="D121" s="95"/>
      <c r="E121" s="95"/>
      <c r="F121" s="95"/>
      <c r="G121" s="95"/>
      <c r="H121" s="95"/>
      <c r="I121" s="95"/>
      <c r="J121" s="95"/>
      <c r="K121" s="95"/>
      <c r="L121" s="95"/>
      <c r="M121" s="95"/>
      <c r="N121" s="95"/>
      <c r="O121" s="95"/>
      <c r="P121" s="95"/>
      <c r="Q121" s="95"/>
      <c r="R121" s="95"/>
      <c r="S121" s="95"/>
      <c r="T121" s="95"/>
      <c r="U121" s="95"/>
    </row>
    <row r="122" spans="1:21" ht="45" customHeight="1">
      <c r="A122" s="104" t="s">
        <v>28</v>
      </c>
      <c r="B122" s="104"/>
      <c r="C122" s="104"/>
      <c r="D122" s="104"/>
      <c r="E122" s="104"/>
      <c r="F122" s="104"/>
      <c r="G122" s="104"/>
      <c r="H122" s="104"/>
      <c r="I122" s="104"/>
      <c r="J122" s="104"/>
      <c r="K122" s="104"/>
      <c r="L122" s="104"/>
      <c r="M122" s="104"/>
      <c r="N122" s="104"/>
      <c r="O122" s="104"/>
      <c r="P122" s="104"/>
      <c r="Q122" s="104"/>
      <c r="R122" s="104"/>
      <c r="S122" s="104"/>
      <c r="T122" s="104"/>
      <c r="U122" s="104"/>
    </row>
    <row r="123" spans="1:21" ht="30" customHeight="1">
      <c r="A123" s="96" t="s">
        <v>27</v>
      </c>
      <c r="B123" s="96"/>
      <c r="C123" s="96"/>
      <c r="D123" s="96"/>
      <c r="E123" s="96"/>
      <c r="F123" s="96"/>
      <c r="G123" s="96"/>
      <c r="H123" s="96"/>
      <c r="I123" s="96"/>
      <c r="J123" s="96"/>
      <c r="K123" s="96"/>
      <c r="L123" s="96"/>
      <c r="M123" s="96"/>
      <c r="N123" s="96"/>
      <c r="O123" s="96"/>
      <c r="P123" s="96"/>
      <c r="Q123" s="96"/>
      <c r="R123" s="96"/>
      <c r="S123" s="96"/>
      <c r="T123" s="96"/>
      <c r="U123" s="96"/>
    </row>
    <row r="124" spans="1:21" ht="30" customHeight="1">
      <c r="A124" s="96" t="s">
        <v>112</v>
      </c>
      <c r="B124" s="96"/>
      <c r="C124" s="96"/>
      <c r="D124" s="96"/>
      <c r="E124" s="96"/>
      <c r="F124" s="96"/>
      <c r="G124" s="96"/>
      <c r="H124" s="96"/>
      <c r="I124" s="96"/>
      <c r="J124" s="96"/>
      <c r="K124" s="96"/>
      <c r="L124" s="96"/>
      <c r="M124" s="96"/>
      <c r="N124" s="96"/>
      <c r="O124" s="96"/>
      <c r="P124" s="96"/>
      <c r="Q124" s="96"/>
      <c r="R124" s="96"/>
      <c r="S124" s="96"/>
      <c r="T124" s="96"/>
      <c r="U124" s="96"/>
    </row>
    <row r="125" spans="1:21" ht="56.1" customHeight="1">
      <c r="A125" s="96" t="s">
        <v>26</v>
      </c>
      <c r="B125" s="96"/>
      <c r="C125" s="96"/>
      <c r="D125" s="96"/>
      <c r="E125" s="96"/>
      <c r="F125" s="96"/>
      <c r="G125" s="96"/>
      <c r="H125" s="96"/>
      <c r="I125" s="96"/>
      <c r="J125" s="96"/>
      <c r="K125" s="96"/>
      <c r="L125" s="96"/>
      <c r="M125" s="96"/>
      <c r="N125" s="96"/>
      <c r="O125" s="96"/>
      <c r="P125" s="96"/>
      <c r="Q125" s="96"/>
      <c r="R125" s="96"/>
      <c r="S125" s="96"/>
      <c r="T125" s="96"/>
      <c r="U125" s="96"/>
    </row>
    <row r="126" spans="1:21" ht="48.9" customHeight="1">
      <c r="A126" s="96" t="s">
        <v>113</v>
      </c>
      <c r="B126" s="96"/>
      <c r="C126" s="96"/>
      <c r="D126" s="96"/>
      <c r="E126" s="96"/>
      <c r="F126" s="96"/>
      <c r="G126" s="96"/>
      <c r="H126" s="96"/>
      <c r="I126" s="96"/>
      <c r="J126" s="96"/>
      <c r="K126" s="96"/>
      <c r="L126" s="96"/>
      <c r="M126" s="96"/>
      <c r="N126" s="96"/>
      <c r="O126" s="96"/>
      <c r="P126" s="96"/>
      <c r="Q126" s="96"/>
      <c r="R126" s="96"/>
      <c r="S126" s="96"/>
      <c r="T126" s="96"/>
      <c r="U126" s="96"/>
    </row>
    <row r="127" spans="1:21" ht="30" customHeight="1">
      <c r="A127" s="96" t="s">
        <v>25</v>
      </c>
      <c r="B127" s="96"/>
      <c r="C127" s="96"/>
      <c r="D127" s="96"/>
      <c r="E127" s="96"/>
      <c r="F127" s="96"/>
      <c r="G127" s="96"/>
      <c r="H127" s="96"/>
      <c r="I127" s="96"/>
      <c r="J127" s="96"/>
      <c r="K127" s="96"/>
      <c r="L127" s="96"/>
      <c r="M127" s="96"/>
      <c r="N127" s="96"/>
      <c r="O127" s="96"/>
      <c r="P127" s="96"/>
      <c r="Q127" s="96"/>
      <c r="R127" s="96"/>
      <c r="S127" s="96"/>
      <c r="T127" s="96"/>
      <c r="U127" s="96"/>
    </row>
    <row r="128" spans="1:21" ht="26.1" customHeight="1">
      <c r="A128" s="96" t="s">
        <v>24</v>
      </c>
      <c r="B128" s="96"/>
      <c r="C128" s="96"/>
      <c r="D128" s="96"/>
      <c r="E128" s="96"/>
      <c r="F128" s="96"/>
      <c r="G128" s="96"/>
      <c r="H128" s="96"/>
      <c r="I128" s="96"/>
      <c r="J128" s="96"/>
      <c r="K128" s="96"/>
      <c r="L128" s="96"/>
      <c r="M128" s="96"/>
      <c r="N128" s="96"/>
      <c r="O128" s="96"/>
      <c r="P128" s="96"/>
      <c r="Q128" s="96"/>
      <c r="R128" s="96"/>
      <c r="S128" s="96"/>
      <c r="T128" s="96"/>
      <c r="U128" s="96"/>
    </row>
    <row r="129" spans="1:21" ht="9.9" customHeight="1">
      <c r="A129" s="2"/>
      <c r="B129" s="6"/>
      <c r="C129" s="6"/>
      <c r="D129" s="6"/>
      <c r="E129" s="6"/>
      <c r="F129" s="6"/>
      <c r="G129" s="6"/>
      <c r="H129" s="6"/>
      <c r="I129" s="6"/>
      <c r="J129" s="6"/>
      <c r="K129" s="6"/>
      <c r="L129" s="6"/>
      <c r="M129" s="6"/>
      <c r="N129" s="6"/>
      <c r="O129" s="6"/>
      <c r="P129" s="6"/>
      <c r="Q129" s="6"/>
      <c r="R129" s="6"/>
      <c r="S129" s="6"/>
      <c r="T129" s="6"/>
      <c r="U129" s="6"/>
    </row>
    <row r="130" spans="1:21">
      <c r="A130" s="95" t="s">
        <v>23</v>
      </c>
      <c r="B130" s="95"/>
      <c r="C130" s="95"/>
      <c r="D130" s="95"/>
      <c r="E130" s="95"/>
      <c r="F130" s="95"/>
      <c r="G130" s="95"/>
      <c r="H130" s="95"/>
      <c r="I130" s="95"/>
      <c r="J130" s="95"/>
      <c r="K130" s="95"/>
      <c r="L130" s="95"/>
      <c r="M130" s="95"/>
      <c r="N130" s="95"/>
      <c r="O130" s="95"/>
      <c r="P130" s="95"/>
      <c r="Q130" s="95"/>
      <c r="R130" s="95"/>
      <c r="S130" s="95"/>
      <c r="T130" s="95"/>
      <c r="U130" s="95"/>
    </row>
    <row r="131" spans="1:21" ht="86.4" customHeight="1">
      <c r="A131" s="96" t="s">
        <v>114</v>
      </c>
      <c r="B131" s="96"/>
      <c r="C131" s="96"/>
      <c r="D131" s="96"/>
      <c r="E131" s="96"/>
      <c r="F131" s="96"/>
      <c r="G131" s="96"/>
      <c r="H131" s="96"/>
      <c r="I131" s="96"/>
      <c r="J131" s="96"/>
      <c r="K131" s="96"/>
      <c r="L131" s="96"/>
      <c r="M131" s="96"/>
      <c r="N131" s="96"/>
      <c r="O131" s="96"/>
      <c r="P131" s="96"/>
      <c r="Q131" s="96"/>
      <c r="R131" s="96"/>
      <c r="S131" s="96"/>
      <c r="T131" s="96"/>
      <c r="U131" s="96"/>
    </row>
    <row r="132" spans="1:21" ht="25.5" customHeight="1">
      <c r="A132" s="96" t="s">
        <v>22</v>
      </c>
      <c r="B132" s="96"/>
      <c r="C132" s="96"/>
      <c r="D132" s="96"/>
      <c r="E132" s="96"/>
      <c r="F132" s="96"/>
      <c r="G132" s="96"/>
      <c r="H132" s="96"/>
      <c r="I132" s="96"/>
      <c r="J132" s="96"/>
      <c r="K132" s="96"/>
      <c r="L132" s="96"/>
      <c r="M132" s="96"/>
      <c r="N132" s="96"/>
      <c r="O132" s="96"/>
      <c r="P132" s="96"/>
      <c r="Q132" s="96"/>
      <c r="R132" s="96"/>
      <c r="S132" s="96"/>
      <c r="T132" s="96"/>
      <c r="U132" s="96"/>
    </row>
    <row r="133" spans="1:21" ht="9.9" customHeight="1">
      <c r="A133" s="2"/>
      <c r="B133" s="6"/>
      <c r="C133" s="6"/>
      <c r="D133" s="6"/>
      <c r="E133" s="6"/>
      <c r="F133" s="6"/>
      <c r="G133" s="6"/>
      <c r="H133" s="6"/>
      <c r="I133" s="6"/>
      <c r="J133" s="6"/>
      <c r="K133" s="6"/>
      <c r="L133" s="6"/>
      <c r="M133" s="6"/>
      <c r="N133" s="6"/>
      <c r="O133" s="6"/>
      <c r="P133" s="6"/>
      <c r="Q133" s="6"/>
      <c r="R133" s="6"/>
      <c r="S133" s="6"/>
      <c r="T133" s="6"/>
      <c r="U133" s="6"/>
    </row>
    <row r="134" spans="1:21">
      <c r="A134" s="95" t="s">
        <v>21</v>
      </c>
      <c r="B134" s="95"/>
      <c r="C134" s="95"/>
      <c r="D134" s="95"/>
      <c r="E134" s="95"/>
      <c r="F134" s="95"/>
      <c r="G134" s="95"/>
      <c r="H134" s="95"/>
      <c r="I134" s="95"/>
      <c r="J134" s="95"/>
      <c r="K134" s="95"/>
      <c r="L134" s="95"/>
      <c r="M134" s="95"/>
      <c r="N134" s="95"/>
      <c r="O134" s="95"/>
      <c r="P134" s="95"/>
      <c r="Q134" s="95"/>
      <c r="R134" s="95"/>
      <c r="S134" s="95"/>
      <c r="T134" s="95"/>
      <c r="U134" s="95"/>
    </row>
    <row r="135" spans="1:21" ht="77.400000000000006" customHeight="1">
      <c r="A135" s="96" t="s">
        <v>115</v>
      </c>
      <c r="B135" s="96"/>
      <c r="C135" s="96"/>
      <c r="D135" s="96"/>
      <c r="E135" s="96"/>
      <c r="F135" s="96"/>
      <c r="G135" s="96"/>
      <c r="H135" s="96"/>
      <c r="I135" s="96"/>
      <c r="J135" s="96"/>
      <c r="K135" s="96"/>
      <c r="L135" s="96"/>
      <c r="M135" s="96"/>
      <c r="N135" s="96"/>
      <c r="O135" s="96"/>
      <c r="P135" s="96"/>
      <c r="Q135" s="96"/>
      <c r="R135" s="96"/>
      <c r="S135" s="96"/>
      <c r="T135" s="96"/>
      <c r="U135" s="96"/>
    </row>
    <row r="136" spans="1:21" ht="41.4" customHeight="1">
      <c r="A136" s="96" t="s">
        <v>116</v>
      </c>
      <c r="B136" s="96"/>
      <c r="C136" s="96"/>
      <c r="D136" s="96"/>
      <c r="E136" s="96"/>
      <c r="F136" s="96"/>
      <c r="G136" s="96"/>
      <c r="H136" s="96"/>
      <c r="I136" s="96"/>
      <c r="J136" s="96"/>
      <c r="K136" s="96"/>
      <c r="L136" s="96"/>
      <c r="M136" s="96"/>
      <c r="N136" s="96"/>
      <c r="O136" s="96"/>
      <c r="P136" s="96"/>
      <c r="Q136" s="96"/>
      <c r="R136" s="96"/>
      <c r="S136" s="96"/>
      <c r="T136" s="96"/>
      <c r="U136" s="96"/>
    </row>
    <row r="137" spans="1:21" ht="51" customHeight="1">
      <c r="A137" s="96" t="s">
        <v>117</v>
      </c>
      <c r="B137" s="96"/>
      <c r="C137" s="96"/>
      <c r="D137" s="96"/>
      <c r="E137" s="96"/>
      <c r="F137" s="96"/>
      <c r="G137" s="96"/>
      <c r="H137" s="96"/>
      <c r="I137" s="96"/>
      <c r="J137" s="96"/>
      <c r="K137" s="96"/>
      <c r="L137" s="96"/>
      <c r="M137" s="96"/>
      <c r="N137" s="96"/>
      <c r="O137" s="96"/>
      <c r="P137" s="96"/>
      <c r="Q137" s="96"/>
      <c r="R137" s="96"/>
      <c r="S137" s="96"/>
      <c r="T137" s="96"/>
      <c r="U137" s="96"/>
    </row>
    <row r="138" spans="1:21" ht="54" customHeight="1">
      <c r="A138" s="96" t="s">
        <v>20</v>
      </c>
      <c r="B138" s="96"/>
      <c r="C138" s="96"/>
      <c r="D138" s="96"/>
      <c r="E138" s="96"/>
      <c r="F138" s="96"/>
      <c r="G138" s="96"/>
      <c r="H138" s="96"/>
      <c r="I138" s="96"/>
      <c r="J138" s="96"/>
      <c r="K138" s="96"/>
      <c r="L138" s="96"/>
      <c r="M138" s="96"/>
      <c r="N138" s="96"/>
      <c r="O138" s="96"/>
      <c r="P138" s="96"/>
      <c r="Q138" s="96"/>
      <c r="R138" s="96"/>
      <c r="S138" s="96"/>
      <c r="T138" s="96"/>
      <c r="U138" s="96"/>
    </row>
    <row r="139" spans="1:21" ht="42.6" customHeight="1">
      <c r="A139" s="96" t="s">
        <v>19</v>
      </c>
      <c r="B139" s="96"/>
      <c r="C139" s="96"/>
      <c r="D139" s="96"/>
      <c r="E139" s="96"/>
      <c r="F139" s="96"/>
      <c r="G139" s="96"/>
      <c r="H139" s="96"/>
      <c r="I139" s="96"/>
      <c r="J139" s="96"/>
      <c r="K139" s="96"/>
      <c r="L139" s="96"/>
      <c r="M139" s="96"/>
      <c r="N139" s="96"/>
      <c r="O139" s="96"/>
      <c r="P139" s="96"/>
      <c r="Q139" s="96"/>
      <c r="R139" s="96"/>
      <c r="S139" s="96"/>
      <c r="T139" s="96"/>
      <c r="U139" s="96"/>
    </row>
    <row r="140" spans="1:21" ht="9.9" customHeight="1">
      <c r="A140" s="2"/>
      <c r="B140" s="6"/>
      <c r="C140" s="6"/>
      <c r="D140" s="6"/>
      <c r="E140" s="6"/>
      <c r="F140" s="6"/>
      <c r="G140" s="6"/>
      <c r="H140" s="6"/>
      <c r="I140" s="6"/>
      <c r="J140" s="6"/>
      <c r="K140" s="6"/>
      <c r="L140" s="6"/>
      <c r="M140" s="6"/>
      <c r="N140" s="6"/>
      <c r="O140" s="6"/>
      <c r="P140" s="6"/>
      <c r="Q140" s="6"/>
      <c r="R140" s="6"/>
      <c r="S140" s="6"/>
      <c r="T140" s="6"/>
      <c r="U140" s="6"/>
    </row>
    <row r="141" spans="1:21">
      <c r="A141" s="95" t="s">
        <v>18</v>
      </c>
      <c r="B141" s="95"/>
      <c r="C141" s="95"/>
      <c r="D141" s="95"/>
      <c r="E141" s="95"/>
      <c r="F141" s="95"/>
      <c r="G141" s="95"/>
      <c r="H141" s="95"/>
      <c r="I141" s="95"/>
      <c r="J141" s="95"/>
      <c r="K141" s="95"/>
      <c r="L141" s="95"/>
      <c r="M141" s="95"/>
      <c r="N141" s="95"/>
      <c r="O141" s="95"/>
      <c r="P141" s="95"/>
      <c r="Q141" s="95"/>
      <c r="R141" s="95"/>
      <c r="S141" s="95"/>
      <c r="T141" s="95"/>
      <c r="U141" s="95"/>
    </row>
    <row r="142" spans="1:21" ht="30" customHeight="1">
      <c r="A142" s="96" t="s">
        <v>17</v>
      </c>
      <c r="B142" s="96"/>
      <c r="C142" s="96"/>
      <c r="D142" s="96"/>
      <c r="E142" s="96"/>
      <c r="F142" s="96"/>
      <c r="G142" s="96"/>
      <c r="H142" s="96"/>
      <c r="I142" s="96"/>
      <c r="J142" s="96"/>
      <c r="K142" s="96"/>
      <c r="L142" s="96"/>
      <c r="M142" s="96"/>
      <c r="N142" s="96"/>
      <c r="O142" s="96"/>
      <c r="P142" s="96"/>
      <c r="Q142" s="96"/>
      <c r="R142" s="96"/>
      <c r="S142" s="96"/>
      <c r="T142" s="96"/>
      <c r="U142" s="96"/>
    </row>
    <row r="143" spans="1:21" ht="142.5" customHeight="1">
      <c r="A143" s="96" t="s">
        <v>118</v>
      </c>
      <c r="B143" s="96"/>
      <c r="C143" s="96"/>
      <c r="D143" s="96"/>
      <c r="E143" s="96"/>
      <c r="F143" s="96"/>
      <c r="G143" s="96"/>
      <c r="H143" s="96"/>
      <c r="I143" s="96"/>
      <c r="J143" s="96"/>
      <c r="K143" s="96"/>
      <c r="L143" s="96"/>
      <c r="M143" s="96"/>
      <c r="N143" s="96"/>
      <c r="O143" s="96"/>
      <c r="P143" s="96"/>
      <c r="Q143" s="96"/>
      <c r="R143" s="96"/>
      <c r="S143" s="96"/>
      <c r="T143" s="96"/>
      <c r="U143" s="96"/>
    </row>
    <row r="144" spans="1:21" ht="15" customHeight="1">
      <c r="A144" s="13"/>
      <c r="B144" s="13"/>
      <c r="C144" s="13"/>
      <c r="D144" s="13"/>
      <c r="E144" s="13"/>
      <c r="F144" s="13"/>
      <c r="G144" s="13"/>
      <c r="H144" s="13"/>
      <c r="I144" s="13"/>
      <c r="J144" s="13"/>
      <c r="K144" s="13"/>
      <c r="L144" s="13"/>
      <c r="M144" s="13"/>
      <c r="N144" s="13"/>
      <c r="O144" s="32" t="s">
        <v>6</v>
      </c>
      <c r="P144" s="74"/>
      <c r="Q144" s="75"/>
      <c r="R144" s="33"/>
      <c r="S144" s="32" t="s">
        <v>6</v>
      </c>
      <c r="T144" s="74"/>
      <c r="U144" s="75"/>
    </row>
    <row r="145" spans="1:21">
      <c r="A145" s="85" t="s">
        <v>367</v>
      </c>
      <c r="B145" s="85"/>
      <c r="C145" s="85"/>
      <c r="D145" s="85"/>
      <c r="E145" s="85"/>
      <c r="F145" s="85"/>
      <c r="G145" s="85"/>
      <c r="H145" s="85"/>
      <c r="I145" s="85"/>
      <c r="J145" s="85"/>
      <c r="K145" s="85"/>
      <c r="L145" s="85"/>
      <c r="M145" s="85"/>
      <c r="N145" s="85"/>
      <c r="O145" s="85"/>
      <c r="P145" s="85"/>
      <c r="Q145" s="85"/>
      <c r="R145" s="85"/>
      <c r="S145" s="85"/>
      <c r="T145" s="85"/>
      <c r="U145" s="85"/>
    </row>
    <row r="146" spans="1:21" ht="18.600000000000001" customHeight="1">
      <c r="A146" s="6"/>
      <c r="B146" s="6"/>
      <c r="C146" s="6"/>
      <c r="D146" s="6"/>
      <c r="E146" s="6"/>
      <c r="F146" s="6"/>
      <c r="G146" s="6"/>
      <c r="H146" s="6"/>
      <c r="I146" s="6"/>
      <c r="J146" s="6"/>
      <c r="K146" s="92" t="s">
        <v>157</v>
      </c>
      <c r="L146" s="92"/>
      <c r="M146" s="92"/>
      <c r="N146" s="101"/>
      <c r="O146" s="108">
        <f>O119</f>
        <v>0</v>
      </c>
      <c r="P146" s="109"/>
      <c r="Q146" s="109"/>
      <c r="R146" s="109"/>
      <c r="S146" s="109"/>
      <c r="T146" s="109"/>
      <c r="U146" s="110"/>
    </row>
    <row r="147" spans="1:21" ht="9.9" customHeight="1">
      <c r="A147" s="6"/>
      <c r="B147" s="6"/>
      <c r="C147" s="6"/>
      <c r="D147" s="6"/>
      <c r="E147" s="6"/>
      <c r="F147" s="6"/>
      <c r="G147" s="6"/>
      <c r="H147" s="6"/>
      <c r="I147" s="6"/>
      <c r="J147" s="6"/>
      <c r="K147" s="6"/>
      <c r="L147" s="6"/>
      <c r="M147" s="6"/>
      <c r="N147" s="6"/>
      <c r="O147" s="6"/>
      <c r="P147" s="6"/>
      <c r="Q147" s="6"/>
      <c r="R147" s="6"/>
      <c r="S147" s="6"/>
      <c r="T147" s="6"/>
      <c r="U147" s="6"/>
    </row>
    <row r="148" spans="1:21">
      <c r="A148" s="95" t="s">
        <v>16</v>
      </c>
      <c r="B148" s="95"/>
      <c r="C148" s="95"/>
      <c r="D148" s="95"/>
      <c r="E148" s="95"/>
      <c r="F148" s="95"/>
      <c r="G148" s="95"/>
      <c r="H148" s="95"/>
      <c r="I148" s="95"/>
      <c r="J148" s="95"/>
      <c r="K148" s="95"/>
      <c r="L148" s="95"/>
      <c r="M148" s="95"/>
      <c r="N148" s="95"/>
      <c r="O148" s="95"/>
      <c r="P148" s="95"/>
      <c r="Q148" s="95"/>
      <c r="R148" s="95"/>
      <c r="S148" s="95"/>
      <c r="T148" s="95"/>
      <c r="U148" s="95"/>
    </row>
    <row r="149" spans="1:21" ht="25.5" customHeight="1">
      <c r="A149" s="96" t="s">
        <v>119</v>
      </c>
      <c r="B149" s="96"/>
      <c r="C149" s="96"/>
      <c r="D149" s="96"/>
      <c r="E149" s="96"/>
      <c r="F149" s="96"/>
      <c r="G149" s="96"/>
      <c r="H149" s="96"/>
      <c r="I149" s="96"/>
      <c r="J149" s="96"/>
      <c r="K149" s="96"/>
      <c r="L149" s="96"/>
      <c r="M149" s="96"/>
      <c r="N149" s="96"/>
      <c r="O149" s="96"/>
      <c r="P149" s="96"/>
      <c r="Q149" s="96"/>
      <c r="R149" s="96"/>
      <c r="S149" s="96"/>
      <c r="T149" s="96"/>
      <c r="U149" s="96"/>
    </row>
    <row r="150" spans="1:21" ht="32.1" customHeight="1">
      <c r="A150" s="96" t="s">
        <v>120</v>
      </c>
      <c r="B150" s="96"/>
      <c r="C150" s="96"/>
      <c r="D150" s="96"/>
      <c r="E150" s="96"/>
      <c r="F150" s="96"/>
      <c r="G150" s="96"/>
      <c r="H150" s="96"/>
      <c r="I150" s="96"/>
      <c r="J150" s="96"/>
      <c r="K150" s="96"/>
      <c r="L150" s="96"/>
      <c r="M150" s="96"/>
      <c r="N150" s="96"/>
      <c r="O150" s="96"/>
      <c r="P150" s="96"/>
      <c r="Q150" s="96"/>
      <c r="R150" s="96"/>
      <c r="S150" s="96"/>
      <c r="T150" s="96"/>
      <c r="U150" s="96"/>
    </row>
    <row r="151" spans="1:21" ht="20.100000000000001" customHeight="1">
      <c r="A151" s="96" t="s">
        <v>121</v>
      </c>
      <c r="B151" s="96"/>
      <c r="C151" s="96"/>
      <c r="D151" s="96"/>
      <c r="E151" s="96"/>
      <c r="F151" s="96"/>
      <c r="G151" s="96"/>
      <c r="H151" s="96"/>
      <c r="I151" s="96"/>
      <c r="J151" s="96"/>
      <c r="K151" s="96"/>
      <c r="L151" s="96"/>
      <c r="M151" s="96"/>
      <c r="N151" s="96"/>
      <c r="O151" s="96"/>
      <c r="P151" s="96"/>
      <c r="Q151" s="96"/>
      <c r="R151" s="96"/>
      <c r="S151" s="96"/>
      <c r="T151" s="96"/>
      <c r="U151" s="96"/>
    </row>
    <row r="152" spans="1:21" ht="27.9" customHeight="1">
      <c r="A152" s="96" t="s">
        <v>122</v>
      </c>
      <c r="B152" s="96"/>
      <c r="C152" s="96"/>
      <c r="D152" s="96"/>
      <c r="E152" s="96"/>
      <c r="F152" s="96"/>
      <c r="G152" s="96"/>
      <c r="H152" s="96"/>
      <c r="I152" s="96"/>
      <c r="J152" s="96"/>
      <c r="K152" s="96"/>
      <c r="L152" s="96"/>
      <c r="M152" s="96"/>
      <c r="N152" s="96"/>
      <c r="O152" s="96"/>
      <c r="P152" s="96"/>
      <c r="Q152" s="96"/>
      <c r="R152" s="96"/>
      <c r="S152" s="96"/>
      <c r="T152" s="96"/>
      <c r="U152" s="96"/>
    </row>
    <row r="153" spans="1:21" ht="32.4" customHeight="1">
      <c r="A153" s="96" t="s">
        <v>15</v>
      </c>
      <c r="B153" s="96"/>
      <c r="C153" s="96"/>
      <c r="D153" s="96"/>
      <c r="E153" s="96"/>
      <c r="F153" s="96"/>
      <c r="G153" s="96"/>
      <c r="H153" s="96"/>
      <c r="I153" s="96"/>
      <c r="J153" s="96"/>
      <c r="K153" s="96"/>
      <c r="L153" s="96"/>
      <c r="M153" s="96"/>
      <c r="N153" s="96"/>
      <c r="O153" s="96"/>
      <c r="P153" s="96"/>
      <c r="Q153" s="96"/>
      <c r="R153" s="96"/>
      <c r="S153" s="96"/>
      <c r="T153" s="96"/>
      <c r="U153" s="96"/>
    </row>
    <row r="154" spans="1:21" ht="78.900000000000006" customHeight="1">
      <c r="A154" s="96" t="s">
        <v>123</v>
      </c>
      <c r="B154" s="96"/>
      <c r="C154" s="96"/>
      <c r="D154" s="96"/>
      <c r="E154" s="96"/>
      <c r="F154" s="96"/>
      <c r="G154" s="96"/>
      <c r="H154" s="96"/>
      <c r="I154" s="96"/>
      <c r="J154" s="96"/>
      <c r="K154" s="96"/>
      <c r="L154" s="96"/>
      <c r="M154" s="96"/>
      <c r="N154" s="96"/>
      <c r="O154" s="96"/>
      <c r="P154" s="96"/>
      <c r="Q154" s="96"/>
      <c r="R154" s="96"/>
      <c r="S154" s="96"/>
      <c r="T154" s="96"/>
      <c r="U154" s="96"/>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95" t="s">
        <v>14</v>
      </c>
      <c r="B156" s="95"/>
      <c r="C156" s="95"/>
      <c r="D156" s="95"/>
      <c r="E156" s="95"/>
      <c r="F156" s="95"/>
      <c r="G156" s="95"/>
      <c r="H156" s="95"/>
      <c r="I156" s="95"/>
      <c r="J156" s="95"/>
      <c r="K156" s="95"/>
      <c r="L156" s="95"/>
      <c r="M156" s="95"/>
      <c r="N156" s="95"/>
      <c r="O156" s="95"/>
      <c r="P156" s="95"/>
      <c r="Q156" s="95"/>
      <c r="R156" s="95"/>
      <c r="S156" s="95"/>
      <c r="T156" s="95"/>
      <c r="U156" s="95"/>
    </row>
    <row r="157" spans="1:21" ht="30" customHeight="1">
      <c r="A157" s="96" t="s">
        <v>124</v>
      </c>
      <c r="B157" s="96"/>
      <c r="C157" s="96"/>
      <c r="D157" s="96"/>
      <c r="E157" s="96"/>
      <c r="F157" s="96"/>
      <c r="G157" s="96"/>
      <c r="H157" s="96"/>
      <c r="I157" s="96"/>
      <c r="J157" s="96"/>
      <c r="K157" s="96"/>
      <c r="L157" s="96"/>
      <c r="M157" s="96"/>
      <c r="N157" s="96"/>
      <c r="O157" s="96"/>
      <c r="P157" s="96"/>
      <c r="Q157" s="96"/>
      <c r="R157" s="96"/>
      <c r="S157" s="96"/>
      <c r="T157" s="96"/>
      <c r="U157" s="96"/>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95" t="s">
        <v>13</v>
      </c>
      <c r="B159" s="95"/>
      <c r="C159" s="95"/>
      <c r="D159" s="95"/>
      <c r="E159" s="95"/>
      <c r="F159" s="95"/>
      <c r="G159" s="95"/>
      <c r="H159" s="95"/>
      <c r="I159" s="95"/>
      <c r="J159" s="95"/>
      <c r="K159" s="95"/>
      <c r="L159" s="95"/>
      <c r="M159" s="95"/>
      <c r="N159" s="95"/>
      <c r="O159" s="95"/>
      <c r="P159" s="95"/>
      <c r="Q159" s="95"/>
      <c r="R159" s="95"/>
      <c r="S159" s="95"/>
      <c r="T159" s="95"/>
      <c r="U159" s="95"/>
    </row>
    <row r="160" spans="1:21" ht="30.9" customHeight="1">
      <c r="A160" s="96" t="s">
        <v>125</v>
      </c>
      <c r="B160" s="96"/>
      <c r="C160" s="96"/>
      <c r="D160" s="96"/>
      <c r="E160" s="96"/>
      <c r="F160" s="96"/>
      <c r="G160" s="96"/>
      <c r="H160" s="96"/>
      <c r="I160" s="96"/>
      <c r="J160" s="96"/>
      <c r="K160" s="96"/>
      <c r="L160" s="96"/>
      <c r="M160" s="96"/>
      <c r="N160" s="96"/>
      <c r="O160" s="96"/>
      <c r="P160" s="96"/>
      <c r="Q160" s="96"/>
      <c r="R160" s="96"/>
      <c r="S160" s="96"/>
      <c r="T160" s="96"/>
      <c r="U160" s="96"/>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95" t="s">
        <v>12</v>
      </c>
      <c r="B162" s="95"/>
      <c r="C162" s="95"/>
      <c r="D162" s="95"/>
      <c r="E162" s="95"/>
      <c r="F162" s="95"/>
      <c r="G162" s="95"/>
      <c r="H162" s="95"/>
      <c r="I162" s="95"/>
      <c r="J162" s="95"/>
      <c r="K162" s="95"/>
      <c r="L162" s="95"/>
      <c r="M162" s="95"/>
      <c r="N162" s="95"/>
      <c r="O162" s="95"/>
      <c r="P162" s="95"/>
      <c r="Q162" s="95"/>
      <c r="R162" s="95"/>
      <c r="S162" s="95"/>
      <c r="T162" s="95"/>
      <c r="U162" s="95"/>
    </row>
    <row r="163" spans="1:21" ht="44.1" customHeight="1">
      <c r="A163" s="96" t="s">
        <v>126</v>
      </c>
      <c r="B163" s="96"/>
      <c r="C163" s="96"/>
      <c r="D163" s="96"/>
      <c r="E163" s="96"/>
      <c r="F163" s="96"/>
      <c r="G163" s="96"/>
      <c r="H163" s="96"/>
      <c r="I163" s="96"/>
      <c r="J163" s="96"/>
      <c r="K163" s="96"/>
      <c r="L163" s="96"/>
      <c r="M163" s="96"/>
      <c r="N163" s="96"/>
      <c r="O163" s="96"/>
      <c r="P163" s="96"/>
      <c r="Q163" s="96"/>
      <c r="R163" s="96"/>
      <c r="S163" s="96"/>
      <c r="T163" s="96"/>
      <c r="U163" s="96"/>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95" t="s">
        <v>11</v>
      </c>
      <c r="B165" s="95"/>
      <c r="C165" s="95"/>
      <c r="D165" s="95"/>
      <c r="E165" s="95"/>
      <c r="F165" s="95"/>
      <c r="G165" s="95"/>
      <c r="H165" s="95"/>
      <c r="I165" s="95"/>
      <c r="J165" s="95"/>
      <c r="K165" s="95"/>
      <c r="L165" s="95"/>
      <c r="M165" s="95"/>
      <c r="N165" s="95"/>
      <c r="O165" s="95"/>
      <c r="P165" s="95"/>
      <c r="Q165" s="95"/>
      <c r="R165" s="95"/>
      <c r="S165" s="95"/>
      <c r="T165" s="95"/>
      <c r="U165" s="95"/>
    </row>
    <row r="166" spans="1:21" ht="30" customHeight="1">
      <c r="A166" s="96" t="s">
        <v>127</v>
      </c>
      <c r="B166" s="96"/>
      <c r="C166" s="96"/>
      <c r="D166" s="96"/>
      <c r="E166" s="96"/>
      <c r="F166" s="96"/>
      <c r="G166" s="96"/>
      <c r="H166" s="96"/>
      <c r="I166" s="96"/>
      <c r="J166" s="96"/>
      <c r="K166" s="96"/>
      <c r="L166" s="96"/>
      <c r="M166" s="96"/>
      <c r="N166" s="96"/>
      <c r="O166" s="96"/>
      <c r="P166" s="96"/>
      <c r="Q166" s="96"/>
      <c r="R166" s="96"/>
      <c r="S166" s="96"/>
      <c r="T166" s="96"/>
      <c r="U166" s="96"/>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95" t="s">
        <v>10</v>
      </c>
      <c r="B168" s="95"/>
      <c r="C168" s="95"/>
      <c r="D168" s="95"/>
      <c r="E168" s="95"/>
      <c r="F168" s="95"/>
      <c r="G168" s="95"/>
      <c r="H168" s="95"/>
      <c r="I168" s="95"/>
      <c r="J168" s="95"/>
      <c r="K168" s="95"/>
      <c r="L168" s="95"/>
      <c r="M168" s="95"/>
      <c r="N168" s="95"/>
      <c r="O168" s="95"/>
      <c r="P168" s="95"/>
      <c r="Q168" s="95"/>
      <c r="R168" s="95"/>
      <c r="S168" s="95"/>
      <c r="T168" s="95"/>
      <c r="U168" s="95"/>
    </row>
    <row r="169" spans="1:21" ht="57.6" customHeight="1">
      <c r="A169" s="96" t="s">
        <v>9</v>
      </c>
      <c r="B169" s="96"/>
      <c r="C169" s="96"/>
      <c r="D169" s="96"/>
      <c r="E169" s="96"/>
      <c r="F169" s="96"/>
      <c r="G169" s="96"/>
      <c r="H169" s="96"/>
      <c r="I169" s="96"/>
      <c r="J169" s="96"/>
      <c r="K169" s="96"/>
      <c r="L169" s="96"/>
      <c r="M169" s="96"/>
      <c r="N169" s="96"/>
      <c r="O169" s="96"/>
      <c r="P169" s="96"/>
      <c r="Q169" s="96"/>
      <c r="R169" s="96"/>
      <c r="S169" s="96"/>
      <c r="T169" s="96"/>
      <c r="U169" s="96"/>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95" t="s">
        <v>8</v>
      </c>
      <c r="B171" s="95"/>
      <c r="C171" s="95"/>
      <c r="D171" s="95"/>
      <c r="E171" s="95"/>
      <c r="F171" s="95"/>
      <c r="G171" s="95"/>
      <c r="H171" s="95"/>
      <c r="I171" s="95"/>
      <c r="J171" s="95"/>
      <c r="K171" s="95"/>
      <c r="L171" s="95"/>
      <c r="M171" s="95"/>
      <c r="N171" s="95"/>
      <c r="O171" s="95"/>
      <c r="P171" s="95"/>
      <c r="Q171" s="95"/>
      <c r="R171" s="95"/>
      <c r="S171" s="95"/>
      <c r="T171" s="95"/>
      <c r="U171" s="95"/>
    </row>
    <row r="172" spans="1:21" ht="20.100000000000001" customHeight="1">
      <c r="A172" s="96" t="s">
        <v>128</v>
      </c>
      <c r="B172" s="96"/>
      <c r="C172" s="96"/>
      <c r="D172" s="96"/>
      <c r="E172" s="96"/>
      <c r="F172" s="96"/>
      <c r="G172" s="96"/>
      <c r="H172" s="96"/>
      <c r="I172" s="96"/>
      <c r="J172" s="96"/>
      <c r="K172" s="96"/>
      <c r="L172" s="96"/>
      <c r="M172" s="96"/>
      <c r="N172" s="96"/>
      <c r="O172" s="96"/>
      <c r="P172" s="96"/>
      <c r="Q172" s="96"/>
      <c r="R172" s="96"/>
      <c r="S172" s="96"/>
      <c r="T172" s="96"/>
      <c r="U172" s="96"/>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95" t="s">
        <v>7</v>
      </c>
      <c r="B174" s="95"/>
      <c r="C174" s="95"/>
      <c r="D174" s="95"/>
      <c r="E174" s="95"/>
      <c r="F174" s="95"/>
      <c r="G174" s="95"/>
      <c r="H174" s="95"/>
      <c r="I174" s="95"/>
      <c r="J174" s="95"/>
      <c r="K174" s="95"/>
      <c r="L174" s="95"/>
      <c r="M174" s="95"/>
      <c r="N174" s="95"/>
      <c r="O174" s="95"/>
      <c r="P174" s="95"/>
      <c r="Q174" s="95"/>
      <c r="R174" s="95"/>
      <c r="S174" s="95"/>
      <c r="T174" s="95"/>
      <c r="U174" s="95"/>
    </row>
    <row r="175" spans="1:21" ht="78.599999999999994" customHeight="1">
      <c r="A175" s="96" t="s">
        <v>129</v>
      </c>
      <c r="B175" s="96"/>
      <c r="C175" s="96"/>
      <c r="D175" s="96"/>
      <c r="E175" s="96"/>
      <c r="F175" s="96"/>
      <c r="G175" s="96"/>
      <c r="H175" s="96"/>
      <c r="I175" s="96"/>
      <c r="J175" s="96"/>
      <c r="K175" s="96"/>
      <c r="L175" s="96"/>
      <c r="M175" s="96"/>
      <c r="N175" s="96"/>
      <c r="O175" s="96"/>
      <c r="P175" s="96"/>
      <c r="Q175" s="96"/>
      <c r="R175" s="96"/>
      <c r="S175" s="96"/>
      <c r="T175" s="96"/>
      <c r="U175" s="96"/>
    </row>
    <row r="176" spans="1:21" ht="91.5" customHeight="1">
      <c r="A176" s="122" t="s">
        <v>130</v>
      </c>
      <c r="B176" s="122"/>
      <c r="C176" s="122"/>
      <c r="D176" s="122"/>
      <c r="E176" s="122"/>
      <c r="F176" s="122"/>
      <c r="G176" s="122"/>
      <c r="H176" s="122"/>
      <c r="I176" s="122"/>
      <c r="J176" s="122"/>
      <c r="K176" s="122"/>
      <c r="L176" s="122"/>
      <c r="M176" s="122"/>
      <c r="N176" s="122"/>
      <c r="O176" s="122"/>
      <c r="P176" s="122"/>
      <c r="Q176" s="122"/>
      <c r="R176" s="122"/>
      <c r="S176" s="122"/>
      <c r="T176" s="122"/>
      <c r="U176" s="122"/>
    </row>
    <row r="177" spans="1:21" ht="35.1" customHeight="1">
      <c r="A177" s="122" t="s">
        <v>131</v>
      </c>
      <c r="B177" s="122"/>
      <c r="C177" s="122"/>
      <c r="D177" s="122"/>
      <c r="E177" s="122"/>
      <c r="F177" s="122"/>
      <c r="G177" s="122"/>
      <c r="H177" s="122"/>
      <c r="I177" s="122"/>
      <c r="J177" s="122"/>
      <c r="K177" s="122"/>
      <c r="L177" s="122"/>
      <c r="M177" s="122"/>
      <c r="N177" s="122"/>
      <c r="O177" s="122"/>
      <c r="P177" s="122"/>
      <c r="Q177" s="122"/>
      <c r="R177" s="122"/>
      <c r="S177" s="122"/>
      <c r="T177" s="122"/>
      <c r="U177" s="122"/>
    </row>
    <row r="178" spans="1:21" ht="69" customHeight="1">
      <c r="A178" s="122"/>
      <c r="B178" s="122"/>
      <c r="C178" s="122"/>
      <c r="D178" s="122"/>
      <c r="E178" s="122"/>
      <c r="F178" s="122"/>
      <c r="G178" s="122"/>
      <c r="H178" s="122"/>
      <c r="I178" s="122"/>
      <c r="J178" s="122"/>
      <c r="K178" s="122"/>
      <c r="L178" s="122"/>
      <c r="M178" s="122"/>
      <c r="N178" s="122"/>
      <c r="O178" s="122"/>
      <c r="P178" s="122"/>
      <c r="Q178" s="122"/>
      <c r="R178" s="122"/>
      <c r="S178" s="122"/>
      <c r="T178" s="122"/>
      <c r="U178" s="122"/>
    </row>
    <row r="179" spans="1:21" ht="15" customHeight="1">
      <c r="A179" s="12"/>
      <c r="E179" s="12"/>
      <c r="F179" s="6"/>
      <c r="G179" s="6"/>
      <c r="H179" s="6"/>
      <c r="I179" s="6"/>
      <c r="J179" s="6"/>
      <c r="K179" s="6"/>
      <c r="L179" s="6"/>
      <c r="M179" s="6"/>
      <c r="N179" s="6"/>
      <c r="O179" s="32" t="s">
        <v>6</v>
      </c>
      <c r="P179" s="74"/>
      <c r="Q179" s="75"/>
      <c r="R179" s="33"/>
      <c r="S179" s="32" t="s">
        <v>6</v>
      </c>
      <c r="T179" s="74"/>
      <c r="U179" s="75"/>
    </row>
    <row r="180" spans="1:21">
      <c r="A180" s="85" t="s">
        <v>366</v>
      </c>
      <c r="B180" s="85"/>
      <c r="C180" s="85"/>
      <c r="D180" s="85"/>
      <c r="E180" s="85"/>
      <c r="F180" s="85"/>
      <c r="G180" s="85"/>
      <c r="H180" s="85"/>
      <c r="I180" s="85"/>
      <c r="J180" s="85"/>
      <c r="K180" s="85"/>
      <c r="L180" s="85"/>
      <c r="M180" s="85"/>
      <c r="N180" s="85"/>
      <c r="O180" s="85"/>
      <c r="P180" s="85"/>
      <c r="Q180" s="85"/>
      <c r="R180" s="85"/>
      <c r="S180" s="85"/>
      <c r="T180" s="85"/>
      <c r="U180" s="85"/>
    </row>
    <row r="181" spans="1:21" ht="18.600000000000001" customHeight="1">
      <c r="A181" s="2"/>
      <c r="B181" s="6"/>
      <c r="C181" s="6"/>
      <c r="D181" s="6"/>
      <c r="E181" s="6"/>
      <c r="F181" s="6"/>
      <c r="G181" s="6"/>
      <c r="H181" s="6"/>
      <c r="I181" s="6"/>
      <c r="J181" s="6"/>
      <c r="K181" s="92" t="s">
        <v>157</v>
      </c>
      <c r="L181" s="92"/>
      <c r="M181" s="92"/>
      <c r="N181" s="101"/>
      <c r="O181" s="108">
        <f>O119</f>
        <v>0</v>
      </c>
      <c r="P181" s="109"/>
      <c r="Q181" s="109"/>
      <c r="R181" s="109"/>
      <c r="S181" s="109"/>
      <c r="T181" s="109"/>
      <c r="U181" s="110"/>
    </row>
    <row r="182" spans="1:21" ht="6" customHeight="1"/>
    <row r="183" spans="1:21" ht="51.9" customHeight="1">
      <c r="A183" s="103" t="s">
        <v>229</v>
      </c>
      <c r="B183" s="103"/>
      <c r="C183" s="103"/>
      <c r="D183" s="103"/>
      <c r="E183" s="103"/>
      <c r="F183" s="103"/>
      <c r="G183" s="103"/>
      <c r="H183" s="103"/>
      <c r="I183" s="103"/>
      <c r="J183" s="103"/>
      <c r="K183" s="103"/>
      <c r="L183" s="103"/>
      <c r="M183" s="103"/>
      <c r="N183" s="103"/>
      <c r="O183" s="103"/>
      <c r="P183" s="103"/>
      <c r="Q183" s="103"/>
      <c r="R183" s="103"/>
      <c r="S183" s="103"/>
      <c r="T183" s="103"/>
      <c r="U183" s="103"/>
    </row>
    <row r="185" spans="1:21" ht="15.6" customHeight="1">
      <c r="A185" s="126" t="s">
        <v>6</v>
      </c>
      <c r="B185" s="126"/>
      <c r="C185" s="1" t="s">
        <v>5</v>
      </c>
    </row>
    <row r="186" spans="1:21">
      <c r="A186" s="117"/>
      <c r="B186" s="118"/>
      <c r="C186" s="125" t="s">
        <v>132</v>
      </c>
      <c r="D186" s="123"/>
      <c r="E186" s="123"/>
      <c r="F186" s="123"/>
      <c r="G186" s="123"/>
      <c r="H186" s="123"/>
      <c r="I186" s="123"/>
      <c r="J186" s="123"/>
      <c r="K186" s="123"/>
      <c r="L186" s="123"/>
      <c r="M186" s="123"/>
      <c r="N186" s="123"/>
      <c r="O186" s="123"/>
      <c r="P186" s="123"/>
      <c r="Q186" s="123"/>
      <c r="R186" s="123"/>
      <c r="S186" s="123"/>
      <c r="T186" s="123"/>
      <c r="U186" s="123"/>
    </row>
    <row r="187" spans="1:21" ht="26.4" customHeight="1">
      <c r="C187" s="119" t="s">
        <v>133</v>
      </c>
      <c r="D187" s="119"/>
      <c r="E187" s="119"/>
      <c r="F187" s="119"/>
      <c r="G187" s="119"/>
      <c r="H187" s="119"/>
      <c r="I187" s="119"/>
      <c r="J187" s="119"/>
      <c r="K187" s="119"/>
      <c r="L187" s="119"/>
      <c r="M187" s="119"/>
      <c r="N187" s="119"/>
      <c r="O187" s="119"/>
      <c r="P187" s="119"/>
      <c r="Q187" s="119"/>
      <c r="R187" s="119"/>
      <c r="S187" s="119"/>
      <c r="T187" s="119"/>
      <c r="U187" s="119"/>
    </row>
    <row r="188" spans="1:21" ht="7.5" customHeight="1"/>
    <row r="189" spans="1:21">
      <c r="A189" s="117"/>
      <c r="B189" s="118"/>
      <c r="C189" s="128" t="s">
        <v>4</v>
      </c>
      <c r="D189" s="123"/>
      <c r="E189" s="123"/>
      <c r="F189" s="123"/>
      <c r="G189" s="123"/>
      <c r="H189" s="123"/>
      <c r="I189" s="123"/>
      <c r="J189" s="123"/>
      <c r="K189" s="123"/>
      <c r="L189" s="123"/>
      <c r="M189" s="123"/>
      <c r="N189" s="123"/>
      <c r="O189" s="123"/>
      <c r="P189" s="123"/>
      <c r="Q189" s="123"/>
      <c r="R189" s="123"/>
      <c r="S189" s="123"/>
      <c r="T189" s="123"/>
      <c r="U189" s="123"/>
    </row>
    <row r="190" spans="1:21">
      <c r="A190" s="8"/>
      <c r="B190" s="8"/>
      <c r="C190" s="10"/>
      <c r="D190" s="9" t="str">
        <f>A28</f>
        <v>Non-Refundable Deposit:</v>
      </c>
      <c r="E190" s="9"/>
      <c r="F190" s="9"/>
      <c r="G190" s="9"/>
      <c r="H190" s="9"/>
      <c r="I190" s="9"/>
      <c r="J190" s="9"/>
      <c r="K190" s="9"/>
      <c r="L190" s="121">
        <f>G28</f>
        <v>0</v>
      </c>
      <c r="M190" s="121"/>
      <c r="N190" s="121"/>
      <c r="O190" s="9"/>
      <c r="P190" s="9"/>
      <c r="Q190" s="9"/>
      <c r="R190" s="9"/>
      <c r="S190" s="9"/>
      <c r="T190" s="9"/>
      <c r="U190" s="9"/>
    </row>
    <row r="191" spans="1:21">
      <c r="C191" s="7"/>
      <c r="D191" s="9" t="str">
        <f>A29</f>
        <v>30% - Prior to Excavation</v>
      </c>
      <c r="L191" s="121">
        <f>G29</f>
        <v>0</v>
      </c>
      <c r="M191" s="121"/>
      <c r="N191" s="121"/>
    </row>
    <row r="192" spans="1:21">
      <c r="D192" s="9" t="str">
        <f>A30</f>
        <v xml:space="preserve">30% - Prior to Shotcete </v>
      </c>
      <c r="L192" s="121">
        <f>G30</f>
        <v>0</v>
      </c>
      <c r="M192" s="121"/>
      <c r="N192" s="121"/>
    </row>
    <row r="193" spans="1:21">
      <c r="D193" s="9" t="str">
        <f>A31</f>
        <v>30% - Prior to Decking</v>
      </c>
      <c r="L193" s="121">
        <f>G31</f>
        <v>0</v>
      </c>
      <c r="M193" s="121"/>
      <c r="N193" s="121"/>
    </row>
    <row r="194" spans="1:21">
      <c r="D194" s="9" t="str">
        <f>A32</f>
        <v xml:space="preserve">10% - Prior to Interior Finish </v>
      </c>
      <c r="L194" s="121">
        <f>G32</f>
        <v>0</v>
      </c>
      <c r="M194" s="121"/>
      <c r="N194" s="121"/>
    </row>
    <row r="195" spans="1:21" ht="7.5" customHeight="1">
      <c r="D195" s="7"/>
    </row>
    <row r="196" spans="1:21">
      <c r="A196" s="117"/>
      <c r="B196" s="118"/>
      <c r="C196" s="123" t="s">
        <v>134</v>
      </c>
      <c r="D196" s="124"/>
      <c r="E196" s="124"/>
      <c r="F196" s="124"/>
      <c r="G196" s="124"/>
      <c r="H196" s="124"/>
      <c r="I196" s="124"/>
      <c r="J196" s="124"/>
      <c r="K196" s="124"/>
      <c r="L196" s="124"/>
      <c r="M196" s="124"/>
      <c r="N196" s="124"/>
      <c r="O196" s="124"/>
      <c r="P196" s="124"/>
      <c r="Q196" s="124"/>
      <c r="R196" s="124"/>
      <c r="S196" s="124"/>
      <c r="T196" s="124"/>
      <c r="U196" s="124"/>
    </row>
    <row r="197" spans="1:21">
      <c r="A197" s="6"/>
      <c r="B197" s="6"/>
      <c r="C197" s="119" t="s">
        <v>135</v>
      </c>
      <c r="D197" s="119"/>
      <c r="E197" s="119"/>
      <c r="F197" s="119"/>
      <c r="G197" s="119"/>
      <c r="H197" s="119"/>
      <c r="I197" s="119"/>
      <c r="J197" s="119"/>
      <c r="K197" s="119"/>
      <c r="L197" s="119"/>
      <c r="M197" s="119"/>
      <c r="N197" s="119"/>
      <c r="O197" s="119"/>
      <c r="P197" s="119"/>
      <c r="Q197" s="119"/>
      <c r="R197" s="119"/>
      <c r="S197" s="119"/>
      <c r="T197" s="119"/>
      <c r="U197" s="119"/>
    </row>
    <row r="198" spans="1:21" ht="7.5" customHeight="1"/>
    <row r="199" spans="1:21">
      <c r="A199" s="117"/>
      <c r="B199" s="118"/>
      <c r="C199" t="s">
        <v>138</v>
      </c>
    </row>
    <row r="200" spans="1:21" ht="29.4" customHeight="1">
      <c r="A200" s="6"/>
      <c r="B200" s="6"/>
      <c r="C200" s="119" t="s">
        <v>139</v>
      </c>
      <c r="D200" s="127"/>
      <c r="E200" s="127"/>
      <c r="F200" s="127"/>
      <c r="G200" s="127"/>
      <c r="H200" s="127"/>
      <c r="I200" s="127"/>
      <c r="J200" s="127"/>
      <c r="K200" s="127"/>
      <c r="L200" s="127"/>
      <c r="M200" s="127"/>
      <c r="N200" s="127"/>
      <c r="O200" s="127"/>
      <c r="P200" s="127"/>
      <c r="Q200" s="127"/>
      <c r="R200" s="127"/>
      <c r="S200" s="127"/>
      <c r="T200" s="127"/>
      <c r="U200" s="127"/>
    </row>
    <row r="201" spans="1:21" ht="7.5" customHeight="1">
      <c r="C201" s="127"/>
      <c r="D201" s="127"/>
      <c r="E201" s="127"/>
      <c r="F201" s="127"/>
      <c r="G201" s="127"/>
      <c r="H201" s="127"/>
      <c r="I201" s="127"/>
      <c r="J201" s="127"/>
      <c r="K201" s="127"/>
      <c r="L201" s="127"/>
      <c r="M201" s="127"/>
      <c r="N201" s="127"/>
      <c r="O201" s="127"/>
      <c r="P201" s="127"/>
      <c r="Q201" s="127"/>
      <c r="R201" s="127"/>
      <c r="S201" s="127"/>
      <c r="T201" s="127"/>
      <c r="U201" s="127"/>
    </row>
    <row r="202" spans="1:21">
      <c r="A202" s="117"/>
      <c r="B202" s="118"/>
      <c r="C202" t="s">
        <v>136</v>
      </c>
    </row>
    <row r="203" spans="1:21">
      <c r="A203" s="8"/>
      <c r="B203" s="8"/>
      <c r="C203" s="7" t="s">
        <v>137</v>
      </c>
    </row>
    <row r="204" spans="1:21" ht="7.5" customHeight="1"/>
    <row r="205" spans="1:21">
      <c r="A205" s="117"/>
      <c r="B205" s="118"/>
      <c r="C205" t="s">
        <v>140</v>
      </c>
    </row>
    <row r="206" spans="1:21" ht="38.4" customHeight="1">
      <c r="C206" s="119" t="s">
        <v>141</v>
      </c>
      <c r="D206" s="127"/>
      <c r="E206" s="127"/>
      <c r="F206" s="127"/>
      <c r="G206" s="127"/>
      <c r="H206" s="127"/>
      <c r="I206" s="127"/>
      <c r="J206" s="127"/>
      <c r="K206" s="127"/>
      <c r="L206" s="127"/>
      <c r="M206" s="127"/>
      <c r="N206" s="127"/>
      <c r="O206" s="127"/>
      <c r="P206" s="127"/>
      <c r="Q206" s="127"/>
      <c r="R206" s="127"/>
      <c r="S206" s="127"/>
      <c r="T206" s="127"/>
      <c r="U206" s="127"/>
    </row>
    <row r="207" spans="1:21" ht="7.5" customHeight="1"/>
    <row r="208" spans="1:21">
      <c r="A208" s="117"/>
      <c r="B208" s="118"/>
      <c r="C208" t="s">
        <v>228</v>
      </c>
    </row>
    <row r="209" spans="1:23" ht="7.5" customHeight="1"/>
    <row r="210" spans="1:23" ht="15.6" customHeight="1">
      <c r="C210" s="1" t="s">
        <v>2</v>
      </c>
      <c r="U210" s="6"/>
      <c r="V210" s="6"/>
      <c r="W210" s="6"/>
    </row>
    <row r="211" spans="1:23">
      <c r="A211" s="117"/>
      <c r="B211" s="118"/>
      <c r="C211" t="s">
        <v>142</v>
      </c>
      <c r="U211" s="6"/>
      <c r="V211" s="6"/>
      <c r="W211" s="6"/>
    </row>
    <row r="212" spans="1:23" ht="29.4" customHeight="1">
      <c r="C212" s="119" t="s">
        <v>143</v>
      </c>
      <c r="D212" s="119"/>
      <c r="E212" s="119"/>
      <c r="F212" s="119"/>
      <c r="G212" s="119"/>
      <c r="H212" s="119"/>
      <c r="I212" s="119"/>
      <c r="J212" s="119"/>
      <c r="K212" s="119"/>
      <c r="L212" s="119"/>
      <c r="M212" s="119"/>
      <c r="N212" s="119"/>
      <c r="O212" s="119"/>
      <c r="P212" s="119"/>
      <c r="Q212" s="119"/>
      <c r="R212" s="119"/>
      <c r="S212" s="119"/>
      <c r="T212" s="119"/>
      <c r="U212" s="119"/>
    </row>
    <row r="213" spans="1:23" ht="7.5" customHeight="1">
      <c r="C213" s="7"/>
    </row>
    <row r="214" spans="1:23" ht="15.6" customHeight="1">
      <c r="C214" s="1" t="s">
        <v>1</v>
      </c>
    </row>
    <row r="215" spans="1:23">
      <c r="A215" s="117"/>
      <c r="B215" s="118"/>
      <c r="C215" t="s">
        <v>144</v>
      </c>
    </row>
    <row r="216" spans="1:23" ht="28.5" customHeight="1">
      <c r="C216" s="119" t="s">
        <v>145</v>
      </c>
      <c r="D216" s="127"/>
      <c r="E216" s="127"/>
      <c r="F216" s="127"/>
      <c r="G216" s="127"/>
      <c r="H216" s="127"/>
      <c r="I216" s="127"/>
      <c r="J216" s="127"/>
      <c r="K216" s="127"/>
      <c r="L216" s="127"/>
      <c r="M216" s="127"/>
      <c r="N216" s="127"/>
      <c r="O216" s="127"/>
      <c r="P216" s="127"/>
      <c r="Q216" s="127"/>
      <c r="R216" s="127"/>
      <c r="S216" s="127"/>
      <c r="T216" s="127"/>
      <c r="U216" s="127"/>
    </row>
    <row r="217" spans="1:23" ht="7.5" customHeight="1">
      <c r="C217" s="7"/>
    </row>
    <row r="218" spans="1:23">
      <c r="A218" s="117"/>
      <c r="B218" s="118"/>
      <c r="C218" s="125" t="s">
        <v>396</v>
      </c>
      <c r="D218" s="124"/>
      <c r="E218" s="124"/>
      <c r="F218" s="124"/>
      <c r="G218" s="124"/>
      <c r="H218" s="124"/>
      <c r="I218" s="124"/>
      <c r="J218" s="124"/>
      <c r="K218" s="124"/>
      <c r="L218" s="124"/>
      <c r="M218" s="124"/>
      <c r="N218" s="124"/>
      <c r="O218" s="124"/>
      <c r="P218" s="124"/>
      <c r="Q218" s="124"/>
      <c r="R218" s="124"/>
      <c r="S218" s="124"/>
      <c r="T218" s="124"/>
      <c r="U218" s="124"/>
    </row>
    <row r="219" spans="1:23" ht="41.1" customHeight="1">
      <c r="C219" s="119" t="s">
        <v>146</v>
      </c>
      <c r="D219" s="119"/>
      <c r="E219" s="119"/>
      <c r="F219" s="119"/>
      <c r="G219" s="119"/>
      <c r="H219" s="119"/>
      <c r="I219" s="119"/>
      <c r="J219" s="119"/>
      <c r="K219" s="119"/>
      <c r="L219" s="119"/>
      <c r="M219" s="119"/>
      <c r="N219" s="119"/>
      <c r="O219" s="119"/>
      <c r="P219" s="119"/>
      <c r="Q219" s="119"/>
      <c r="R219" s="119"/>
      <c r="S219" s="119"/>
      <c r="T219" s="119"/>
      <c r="U219" s="119"/>
    </row>
    <row r="220" spans="1:23" ht="7.5" customHeight="1"/>
    <row r="221" spans="1:23">
      <c r="A221" s="117"/>
      <c r="B221" s="118"/>
      <c r="C221" t="s">
        <v>147</v>
      </c>
    </row>
    <row r="222" spans="1:23" ht="27.6" customHeight="1">
      <c r="C222" s="119" t="s">
        <v>148</v>
      </c>
      <c r="D222" s="119"/>
      <c r="E222" s="119"/>
      <c r="F222" s="119"/>
      <c r="G222" s="119"/>
      <c r="H222" s="119"/>
      <c r="I222" s="119"/>
      <c r="J222" s="119"/>
      <c r="K222" s="119"/>
      <c r="L222" s="119"/>
      <c r="M222" s="119"/>
      <c r="N222" s="119"/>
      <c r="O222" s="119"/>
      <c r="P222" s="119"/>
      <c r="Q222" s="119"/>
      <c r="R222" s="119"/>
      <c r="S222" s="119"/>
      <c r="T222" s="119"/>
      <c r="U222" s="119"/>
    </row>
    <row r="223" spans="1:23" ht="7.5" customHeight="1"/>
    <row r="224" spans="1:23">
      <c r="A224" s="117"/>
      <c r="B224" s="118"/>
      <c r="C224" t="s">
        <v>149</v>
      </c>
    </row>
    <row r="225" spans="1:21">
      <c r="C225" t="s">
        <v>150</v>
      </c>
    </row>
    <row r="226" spans="1:21" ht="7.5" customHeight="1"/>
    <row r="227" spans="1:21" ht="15.6" customHeight="1">
      <c r="C227" s="1" t="s">
        <v>0</v>
      </c>
    </row>
    <row r="228" spans="1:21">
      <c r="A228" s="117"/>
      <c r="B228" s="118"/>
      <c r="C228" t="s">
        <v>151</v>
      </c>
    </row>
    <row r="229" spans="1:21" ht="27" customHeight="1">
      <c r="A229" s="8"/>
      <c r="B229" s="8"/>
      <c r="C229" s="119" t="s">
        <v>152</v>
      </c>
      <c r="D229" s="119"/>
      <c r="E229" s="119"/>
      <c r="F229" s="119"/>
      <c r="G229" s="119"/>
      <c r="H229" s="119"/>
      <c r="I229" s="119"/>
      <c r="J229" s="119"/>
      <c r="K229" s="119"/>
      <c r="L229" s="119"/>
      <c r="M229" s="119"/>
      <c r="N229" s="119"/>
      <c r="O229" s="119"/>
      <c r="P229" s="119"/>
      <c r="Q229" s="119"/>
      <c r="R229" s="119"/>
      <c r="S229" s="119"/>
      <c r="T229" s="119"/>
      <c r="U229" s="119"/>
    </row>
    <row r="230" spans="1:21" ht="7.5" customHeight="1"/>
    <row r="231" spans="1:21">
      <c r="A231" s="117"/>
      <c r="B231" s="118"/>
      <c r="C231" t="s">
        <v>153</v>
      </c>
    </row>
    <row r="232" spans="1:21" ht="25.5" customHeight="1">
      <c r="C232" s="119" t="s">
        <v>154</v>
      </c>
      <c r="D232" s="119"/>
      <c r="E232" s="119"/>
      <c r="F232" s="119"/>
      <c r="G232" s="119"/>
      <c r="H232" s="119"/>
      <c r="I232" s="119"/>
      <c r="J232" s="119"/>
      <c r="K232" s="119"/>
      <c r="L232" s="119"/>
      <c r="M232" s="119"/>
      <c r="N232" s="119"/>
      <c r="O232" s="119"/>
      <c r="P232" s="119"/>
      <c r="Q232" s="119"/>
      <c r="R232" s="119"/>
      <c r="S232" s="119"/>
      <c r="T232" s="119"/>
      <c r="U232" s="119"/>
    </row>
    <row r="233" spans="1:21" ht="7.5" customHeight="1"/>
    <row r="234" spans="1:21">
      <c r="A234" s="117"/>
      <c r="B234" s="118"/>
      <c r="C234" s="9" t="s">
        <v>155</v>
      </c>
      <c r="D234" s="10"/>
      <c r="E234" s="10"/>
      <c r="F234" s="10"/>
      <c r="G234" s="10"/>
      <c r="H234" s="10"/>
      <c r="I234" s="10"/>
      <c r="J234" s="10"/>
      <c r="K234" s="10"/>
      <c r="L234" s="10"/>
      <c r="M234" s="10"/>
      <c r="N234" s="10"/>
      <c r="O234" s="10"/>
      <c r="P234" s="10"/>
      <c r="Q234" s="10"/>
      <c r="R234" s="10"/>
      <c r="S234" s="10"/>
      <c r="T234" s="10"/>
      <c r="U234" s="9"/>
    </row>
    <row r="235" spans="1:21" ht="41.4" customHeight="1">
      <c r="A235" s="8"/>
      <c r="B235" s="8"/>
      <c r="C235" s="120" t="s">
        <v>156</v>
      </c>
      <c r="D235" s="120"/>
      <c r="E235" s="120"/>
      <c r="F235" s="120"/>
      <c r="G235" s="120"/>
      <c r="H235" s="120"/>
      <c r="I235" s="120"/>
      <c r="J235" s="120"/>
      <c r="K235" s="120"/>
      <c r="L235" s="120"/>
      <c r="M235" s="120"/>
      <c r="N235" s="120"/>
      <c r="O235" s="120"/>
      <c r="P235" s="120"/>
      <c r="Q235" s="120"/>
      <c r="R235" s="120"/>
      <c r="S235" s="120"/>
      <c r="T235" s="120"/>
      <c r="U235" s="120"/>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117"/>
      <c r="B237" s="118"/>
      <c r="C237" s="165" t="s">
        <v>372</v>
      </c>
      <c r="D237" s="166"/>
      <c r="E237" s="166"/>
      <c r="F237" s="166"/>
      <c r="G237" s="166"/>
      <c r="H237" s="166"/>
      <c r="I237" s="166"/>
      <c r="J237" s="166"/>
      <c r="K237" s="166"/>
      <c r="L237" s="166"/>
      <c r="M237" s="166"/>
      <c r="N237" s="166"/>
      <c r="O237" s="166"/>
      <c r="P237" s="166"/>
      <c r="Q237" s="166"/>
      <c r="R237" s="166"/>
      <c r="S237" s="166"/>
      <c r="T237" s="166"/>
      <c r="U237" s="166"/>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117"/>
      <c r="B239" s="118"/>
      <c r="C239" s="165" t="s">
        <v>373</v>
      </c>
      <c r="D239" s="166"/>
      <c r="E239" s="166"/>
      <c r="F239" s="166"/>
      <c r="G239" s="166"/>
      <c r="H239" s="166"/>
      <c r="I239" s="166"/>
      <c r="J239" s="166"/>
      <c r="K239" s="166"/>
      <c r="L239" s="166"/>
      <c r="M239" s="166"/>
      <c r="N239" s="166"/>
      <c r="O239" s="166"/>
      <c r="P239" s="166"/>
      <c r="Q239" s="166"/>
      <c r="R239" s="166"/>
      <c r="S239" s="166"/>
      <c r="T239" s="166"/>
      <c r="U239" s="166"/>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85" t="s">
        <v>365</v>
      </c>
      <c r="B243" s="85"/>
      <c r="C243" s="85"/>
      <c r="D243" s="85"/>
      <c r="E243" s="85"/>
      <c r="F243" s="85"/>
      <c r="G243" s="85"/>
      <c r="H243" s="85"/>
      <c r="I243" s="85"/>
      <c r="J243" s="85"/>
      <c r="K243" s="85"/>
      <c r="L243" s="85"/>
      <c r="M243" s="85"/>
      <c r="N243" s="85"/>
      <c r="O243" s="85"/>
      <c r="P243" s="85"/>
      <c r="Q243" s="85"/>
      <c r="R243" s="85"/>
      <c r="S243" s="85"/>
      <c r="T243" s="85"/>
      <c r="U243" s="85"/>
    </row>
    <row r="244" spans="1:26" ht="18.600000000000001" customHeight="1">
      <c r="A244" s="2"/>
      <c r="B244" s="6"/>
      <c r="C244" s="6"/>
      <c r="D244" s="6"/>
      <c r="E244" s="6"/>
      <c r="F244" s="6"/>
      <c r="G244" s="6"/>
      <c r="H244" s="6"/>
      <c r="I244" s="6"/>
      <c r="J244" s="6"/>
      <c r="K244" s="92" t="s">
        <v>157</v>
      </c>
      <c r="L244" s="92"/>
      <c r="M244" s="92"/>
      <c r="N244" s="101"/>
      <c r="O244" s="108">
        <f>O180</f>
        <v>0</v>
      </c>
      <c r="P244" s="109"/>
      <c r="Q244" s="109"/>
      <c r="R244" s="109"/>
      <c r="S244" s="109"/>
      <c r="T244" s="109"/>
      <c r="U244" s="110"/>
    </row>
    <row r="245" spans="1:26" ht="5.4" customHeight="1"/>
    <row r="246" spans="1:26" ht="51.9" customHeight="1">
      <c r="A246" s="103" t="s">
        <v>229</v>
      </c>
      <c r="B246" s="103"/>
      <c r="C246" s="103"/>
      <c r="D246" s="103"/>
      <c r="E246" s="103"/>
      <c r="F246" s="103"/>
      <c r="G246" s="103"/>
      <c r="H246" s="103"/>
      <c r="I246" s="103"/>
      <c r="J246" s="103"/>
      <c r="K246" s="103"/>
      <c r="L246" s="103"/>
      <c r="M246" s="103"/>
      <c r="N246" s="103"/>
      <c r="O246" s="103"/>
      <c r="P246" s="103"/>
      <c r="Q246" s="103"/>
      <c r="R246" s="103"/>
      <c r="S246" s="103"/>
      <c r="T246" s="103"/>
      <c r="U246" s="103"/>
    </row>
    <row r="248" spans="1:26" ht="15.6">
      <c r="A248" s="126" t="s">
        <v>6</v>
      </c>
      <c r="B248" s="126"/>
      <c r="C248" s="1" t="str">
        <f>IF($W$248="SHOTCRETE","INTERIOR FINISH","FIBERGLASS")</f>
        <v>INTERIOR FINISH</v>
      </c>
      <c r="W248" t="str">
        <f>A1</f>
        <v>SHOTCRETE</v>
      </c>
    </row>
    <row r="249" spans="1:26">
      <c r="A249" s="117"/>
      <c r="B249" s="118"/>
      <c r="C249" s="125" t="str">
        <f>Z249</f>
        <v xml:space="preserve">Proper water chemistry levels (Chlorine, pH, Alkalinity, etc.) are imperative to ensure a long-lasting, durable and attractive interior finish. </v>
      </c>
      <c r="D249" s="123"/>
      <c r="E249" s="123"/>
      <c r="F249" s="123"/>
      <c r="G249" s="123"/>
      <c r="H249" s="123"/>
      <c r="I249" s="123"/>
      <c r="J249" s="123"/>
      <c r="K249" s="123"/>
      <c r="L249" s="123"/>
      <c r="M249" s="123"/>
      <c r="N249" s="123"/>
      <c r="O249" s="123"/>
      <c r="P249" s="123"/>
      <c r="Q249" s="123"/>
      <c r="R249" s="123"/>
      <c r="S249" s="123"/>
      <c r="T249" s="123"/>
      <c r="U249" s="123"/>
      <c r="Z249" t="s">
        <v>344</v>
      </c>
    </row>
    <row r="250" spans="1:26" ht="39.9" customHeight="1">
      <c r="C250" s="119"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119"/>
      <c r="E250" s="119"/>
      <c r="F250" s="119"/>
      <c r="G250" s="119"/>
      <c r="H250" s="119"/>
      <c r="I250" s="119"/>
      <c r="J250" s="119"/>
      <c r="K250" s="119"/>
      <c r="L250" s="119"/>
      <c r="M250" s="119"/>
      <c r="N250" s="119"/>
      <c r="O250" s="119"/>
      <c r="P250" s="119"/>
      <c r="Q250" s="119"/>
      <c r="R250" s="119"/>
      <c r="S250" s="119"/>
      <c r="T250" s="119"/>
      <c r="U250" s="119"/>
      <c r="Z250" t="s">
        <v>345</v>
      </c>
    </row>
    <row r="251" spans="1:26">
      <c r="A251" s="8"/>
      <c r="B251" s="8"/>
      <c r="C251" s="7"/>
      <c r="Z251" s="7"/>
    </row>
    <row r="252" spans="1:26" ht="15.6">
      <c r="A252" s="8"/>
      <c r="B252" s="8"/>
      <c r="C252" s="1" t="str">
        <f>IF($W$248="SHOTCRETE","NON-PEBBLE FINISH","")</f>
        <v>NON-PEBBLE FINISH</v>
      </c>
    </row>
    <row r="253" spans="1:26" ht="13.8">
      <c r="A253" s="117"/>
      <c r="B253" s="118"/>
      <c r="C253" s="125" t="str">
        <f>IF($W$248="FIBERGLASS",Z278,Z254)</f>
        <v>Interior finish cannot be guaranteed for evenness of color and may not be the exact shade requested.</v>
      </c>
      <c r="D253" s="123"/>
      <c r="E253" s="123"/>
      <c r="F253" s="123"/>
      <c r="G253" s="123"/>
      <c r="H253" s="123"/>
      <c r="I253" s="123"/>
      <c r="J253" s="123"/>
      <c r="K253" s="123"/>
      <c r="L253" s="123"/>
      <c r="M253" s="123"/>
      <c r="N253" s="123"/>
      <c r="O253" s="123"/>
      <c r="P253" s="123"/>
      <c r="Q253" s="123"/>
      <c r="R253" s="123"/>
      <c r="S253" s="123"/>
      <c r="T253" s="123"/>
      <c r="U253" s="123"/>
      <c r="Z253" s="71" t="s">
        <v>340</v>
      </c>
    </row>
    <row r="254" spans="1:26">
      <c r="A254" s="8"/>
      <c r="B254" s="8"/>
      <c r="C254" s="7"/>
      <c r="Z254" t="s">
        <v>346</v>
      </c>
    </row>
    <row r="255" spans="1:26" ht="12.9" customHeight="1">
      <c r="A255" s="117"/>
      <c r="B255" s="118"/>
      <c r="C255" s="125" t="str">
        <f>IF($W$248="FIBERGLASS",Z280,Z256)</f>
        <v>Shading and color variation is a natural occurrence in all non-pebble interior finishes.</v>
      </c>
      <c r="D255" s="123"/>
      <c r="E255" s="123"/>
      <c r="F255" s="123"/>
      <c r="G255" s="123"/>
      <c r="H255" s="123"/>
      <c r="I255" s="123"/>
      <c r="J255" s="123"/>
      <c r="K255" s="123"/>
      <c r="L255" s="123"/>
      <c r="M255" s="123"/>
      <c r="N255" s="123"/>
      <c r="O255" s="123"/>
      <c r="P255" s="123"/>
      <c r="Q255" s="123"/>
      <c r="R255" s="123"/>
      <c r="S255" s="123"/>
      <c r="T255" s="123"/>
      <c r="U255" s="123"/>
    </row>
    <row r="256" spans="1:26">
      <c r="A256" s="8"/>
      <c r="B256" s="8"/>
      <c r="C256" s="7"/>
      <c r="Z256" s="7" t="s">
        <v>341</v>
      </c>
    </row>
    <row r="257" spans="1:26">
      <c r="A257" s="117"/>
      <c r="B257" s="118"/>
      <c r="C257" s="125" t="str">
        <f>IF($W$248="FIBERGLASS",Z282,Z258)</f>
        <v>The original color will fade over time due to sun and chemical exposure.</v>
      </c>
      <c r="D257" s="123"/>
      <c r="E257" s="123"/>
      <c r="F257" s="123"/>
      <c r="G257" s="123"/>
      <c r="H257" s="123"/>
      <c r="I257" s="123"/>
      <c r="J257" s="123"/>
      <c r="K257" s="123"/>
      <c r="L257" s="123"/>
      <c r="M257" s="123"/>
      <c r="N257" s="123"/>
      <c r="O257" s="123"/>
      <c r="P257" s="123"/>
      <c r="Q257" s="123"/>
      <c r="R257" s="123"/>
      <c r="S257" s="123"/>
      <c r="T257" s="123"/>
      <c r="U257" s="123"/>
    </row>
    <row r="258" spans="1:26">
      <c r="A258" s="8"/>
      <c r="B258" s="8"/>
      <c r="C258" s="7"/>
      <c r="Z258" s="7" t="s">
        <v>342</v>
      </c>
    </row>
    <row r="259" spans="1:26">
      <c r="A259" s="117"/>
      <c r="B259" s="118"/>
      <c r="C259" s="125" t="str">
        <f>IF($W$248="FIBERGLASS",Z288,Z260)</f>
        <v xml:space="preserve">Non-Pebble interior finishes have a tendency to be streaked, blotchy and have a mottled appearance.  These are not workmanship </v>
      </c>
      <c r="D259" s="123"/>
      <c r="E259" s="123"/>
      <c r="F259" s="123"/>
      <c r="G259" s="123"/>
      <c r="H259" s="123"/>
      <c r="I259" s="123"/>
      <c r="J259" s="123"/>
      <c r="K259" s="123"/>
      <c r="L259" s="123"/>
      <c r="M259" s="123"/>
      <c r="N259" s="123"/>
      <c r="O259" s="123"/>
      <c r="P259" s="123"/>
      <c r="Q259" s="123"/>
      <c r="R259" s="123"/>
      <c r="S259" s="123"/>
      <c r="T259" s="123"/>
      <c r="U259" s="123"/>
    </row>
    <row r="260" spans="1:26">
      <c r="A260" s="8"/>
      <c r="B260" s="8"/>
      <c r="C260" s="123" t="str">
        <f>IF($W$248="FIBERGLASS",Z289,Z261)</f>
        <v>items and thus not covered under warranty.</v>
      </c>
      <c r="D260" s="123"/>
      <c r="E260" s="123"/>
      <c r="F260" s="123"/>
      <c r="G260" s="123"/>
      <c r="H260" s="123"/>
      <c r="I260" s="123"/>
      <c r="J260" s="123"/>
      <c r="K260" s="123"/>
      <c r="L260" s="123"/>
      <c r="M260" s="123"/>
      <c r="N260" s="123"/>
      <c r="O260" s="123"/>
      <c r="P260" s="123"/>
      <c r="Q260" s="123"/>
      <c r="R260" s="123"/>
      <c r="S260" s="123"/>
      <c r="T260" s="123"/>
      <c r="U260" s="123"/>
      <c r="Z260" t="s">
        <v>347</v>
      </c>
    </row>
    <row r="261" spans="1:26">
      <c r="A261" s="8"/>
      <c r="B261" s="8"/>
      <c r="C261" s="123"/>
      <c r="D261" s="123"/>
      <c r="E261" s="123"/>
      <c r="F261" s="123"/>
      <c r="G261" s="123"/>
      <c r="H261" s="123"/>
      <c r="I261" s="123"/>
      <c r="J261" s="123"/>
      <c r="K261" s="123"/>
      <c r="L261" s="123"/>
      <c r="M261" s="123"/>
      <c r="N261" s="123"/>
      <c r="O261" s="123"/>
      <c r="P261" s="123"/>
      <c r="Q261" s="123"/>
      <c r="R261" s="123"/>
      <c r="S261" s="123"/>
      <c r="T261" s="123"/>
      <c r="U261" s="123"/>
      <c r="Z261" t="s">
        <v>348</v>
      </c>
    </row>
    <row r="262" spans="1:26">
      <c r="A262" s="117"/>
      <c r="B262" s="118"/>
      <c r="C262" s="123" t="str">
        <f>IF($W$248="FIBERGLASS",Z284,Z263)</f>
        <v>Crazing (cracks in the surface) are unavoidable with non-pebble interior finishes and will be more pronounced with darker colors.  Again,</v>
      </c>
      <c r="D262" s="123"/>
      <c r="E262" s="123"/>
      <c r="F262" s="123"/>
      <c r="G262" s="123"/>
      <c r="H262" s="123"/>
      <c r="I262" s="123"/>
      <c r="J262" s="123"/>
      <c r="K262" s="123"/>
      <c r="L262" s="123"/>
      <c r="M262" s="123"/>
      <c r="N262" s="123"/>
      <c r="O262" s="123"/>
      <c r="P262" s="123"/>
      <c r="Q262" s="123"/>
      <c r="R262" s="123"/>
      <c r="S262" s="123"/>
      <c r="T262" s="123"/>
      <c r="U262" s="123"/>
    </row>
    <row r="263" spans="1:26">
      <c r="A263" s="8"/>
      <c r="B263" s="8"/>
      <c r="C263" s="123" t="str">
        <f>IF($W$248="FIBERGLASS",Z285,Z264)</f>
        <v>these are not workmanship items and thus are not covered under warranty.</v>
      </c>
      <c r="D263" s="123"/>
      <c r="E263" s="123"/>
      <c r="F263" s="123"/>
      <c r="G263" s="123"/>
      <c r="H263" s="123"/>
      <c r="I263" s="123"/>
      <c r="J263" s="123"/>
      <c r="K263" s="123"/>
      <c r="L263" s="123"/>
      <c r="M263" s="123"/>
      <c r="N263" s="123"/>
      <c r="O263" s="123"/>
      <c r="P263" s="123"/>
      <c r="Q263" s="123"/>
      <c r="R263" s="123"/>
      <c r="S263" s="123"/>
      <c r="T263" s="123"/>
      <c r="U263" s="123"/>
      <c r="Z263" t="s">
        <v>349</v>
      </c>
    </row>
    <row r="264" spans="1:26">
      <c r="A264" s="8"/>
      <c r="B264" s="8"/>
      <c r="C264" s="123" t="str">
        <f>IF($W$248="FIBERGLASS",Z286,"")</f>
        <v/>
      </c>
      <c r="D264" s="123"/>
      <c r="E264" s="123"/>
      <c r="F264" s="123"/>
      <c r="G264" s="123"/>
      <c r="H264" s="123"/>
      <c r="I264" s="123"/>
      <c r="J264" s="123"/>
      <c r="K264" s="123"/>
      <c r="L264" s="123"/>
      <c r="M264" s="123"/>
      <c r="N264" s="123"/>
      <c r="O264" s="123"/>
      <c r="P264" s="123"/>
      <c r="Q264" s="123"/>
      <c r="R264" s="123"/>
      <c r="S264" s="123"/>
      <c r="T264" s="123"/>
      <c r="U264" s="123"/>
      <c r="Z264" t="s">
        <v>350</v>
      </c>
    </row>
    <row r="265" spans="1:26" ht="15.6">
      <c r="A265" s="8"/>
      <c r="B265" s="8"/>
      <c r="C265" s="1" t="str">
        <f>IF($W$248="SHOTCRETE","PEBBLE FINISH","")</f>
        <v>PEBBLE FINISH</v>
      </c>
    </row>
    <row r="266" spans="1:26" ht="13.8">
      <c r="A266" s="117"/>
      <c r="B266" s="118"/>
      <c r="C266" s="123" t="str">
        <f>IF($W$248="FIBERGLASS",Z291,Z267)</f>
        <v xml:space="preserve">Pebble interior finishes are natural products and as such will have a certain amount of unevenness or variation in the exposure of the </v>
      </c>
      <c r="D266" s="123"/>
      <c r="E266" s="123"/>
      <c r="F266" s="123"/>
      <c r="G266" s="123"/>
      <c r="H266" s="123"/>
      <c r="I266" s="123"/>
      <c r="J266" s="123"/>
      <c r="K266" s="123"/>
      <c r="L266" s="123"/>
      <c r="M266" s="123"/>
      <c r="N266" s="123"/>
      <c r="O266" s="123"/>
      <c r="P266" s="123"/>
      <c r="Q266" s="123"/>
      <c r="R266" s="123"/>
      <c r="S266" s="123"/>
      <c r="T266" s="123"/>
      <c r="U266" s="123"/>
      <c r="Z266" s="71" t="s">
        <v>343</v>
      </c>
    </row>
    <row r="267" spans="1:26">
      <c r="A267" s="8"/>
      <c r="B267" s="8"/>
      <c r="C267" s="123" t="str">
        <f>IF($W$248="FIBERGLASS",Z292,Z268)</f>
        <v xml:space="preserve">pebbles. This is part of the beauty of these finishes and is most common on the edges of the steps and benches, as well as, the coves </v>
      </c>
      <c r="D267" s="123"/>
      <c r="E267" s="123"/>
      <c r="F267" s="123"/>
      <c r="G267" s="123"/>
      <c r="H267" s="123"/>
      <c r="I267" s="123"/>
      <c r="J267" s="123"/>
      <c r="K267" s="123"/>
      <c r="L267" s="123"/>
      <c r="M267" s="123"/>
      <c r="N267" s="123"/>
      <c r="O267" s="123"/>
      <c r="P267" s="123"/>
      <c r="Q267" s="123"/>
      <c r="R267" s="123"/>
      <c r="S267" s="123"/>
      <c r="T267" s="123"/>
      <c r="U267" s="123"/>
      <c r="Z267" t="s">
        <v>351</v>
      </c>
    </row>
    <row r="268" spans="1:26">
      <c r="A268" s="8"/>
      <c r="B268" s="8"/>
      <c r="C268" s="123" t="str">
        <f>IF($W$248="FIBERGLASS",Z293,Z269)</f>
        <v>(where the pool wall and pool floor meet).</v>
      </c>
      <c r="D268" s="123"/>
      <c r="E268" s="123"/>
      <c r="F268" s="123"/>
      <c r="G268" s="123"/>
      <c r="H268" s="123"/>
      <c r="I268" s="123"/>
      <c r="J268" s="123"/>
      <c r="K268" s="123"/>
      <c r="L268" s="123"/>
      <c r="M268" s="123"/>
      <c r="N268" s="123"/>
      <c r="O268" s="123"/>
      <c r="P268" s="123"/>
      <c r="Q268" s="123"/>
      <c r="R268" s="123"/>
      <c r="S268" s="123"/>
      <c r="T268" s="123"/>
      <c r="U268" s="123"/>
      <c r="Z268" t="s">
        <v>353</v>
      </c>
    </row>
    <row r="269" spans="1:26">
      <c r="A269" s="8"/>
      <c r="B269" s="8"/>
      <c r="C269" s="7"/>
      <c r="Z269" t="s">
        <v>352</v>
      </c>
    </row>
    <row r="270" spans="1:26">
      <c r="A270" s="117"/>
      <c r="B270" s="118"/>
      <c r="C270" s="123" t="str">
        <f>IF($W$248="FIBERGLASS",Z295,Z271)</f>
        <v xml:space="preserve">During the first year, your pool will continuously lose pebbles.  This is to be expected and is not cause for concern; nor will it diminish </v>
      </c>
      <c r="D270" s="123"/>
      <c r="E270" s="123"/>
      <c r="F270" s="123"/>
      <c r="G270" s="123"/>
      <c r="H270" s="123"/>
      <c r="I270" s="123"/>
      <c r="J270" s="123"/>
      <c r="K270" s="123"/>
      <c r="L270" s="123"/>
      <c r="M270" s="123"/>
      <c r="N270" s="123"/>
      <c r="O270" s="123"/>
      <c r="P270" s="123"/>
      <c r="Q270" s="123"/>
      <c r="R270" s="123"/>
      <c r="S270" s="123"/>
      <c r="T270" s="123"/>
      <c r="U270" s="123"/>
    </row>
    <row r="271" spans="1:26">
      <c r="A271" s="8"/>
      <c r="B271" s="8"/>
      <c r="C271" s="123" t="str">
        <f>IF($W$248="FIBERGLASS",Z296,Z272)</f>
        <v>the durability of the interior finish.</v>
      </c>
      <c r="D271" s="123"/>
      <c r="E271" s="123"/>
      <c r="F271" s="123"/>
      <c r="G271" s="123"/>
      <c r="H271" s="123"/>
      <c r="I271" s="123"/>
      <c r="J271" s="123"/>
      <c r="K271" s="123"/>
      <c r="L271" s="123"/>
      <c r="M271" s="123"/>
      <c r="N271" s="123"/>
      <c r="O271" s="123"/>
      <c r="P271" s="123"/>
      <c r="Q271" s="123"/>
      <c r="R271" s="123"/>
      <c r="S271" s="123"/>
      <c r="T271" s="123"/>
      <c r="U271" s="123"/>
      <c r="Z271" t="s">
        <v>354</v>
      </c>
    </row>
    <row r="272" spans="1:26">
      <c r="Z272" t="s">
        <v>355</v>
      </c>
    </row>
    <row r="273" spans="1:26">
      <c r="A273" s="117"/>
      <c r="B273" s="118"/>
      <c r="C273" s="123" t="str">
        <f>IF($W$248="FIBERGLASS",Z298,Z274)</f>
        <v>The durability of a pebble finish comes from the surface material being primarily aggregate. Although these stones give the pool an</v>
      </c>
      <c r="D273" s="123"/>
      <c r="E273" s="123"/>
      <c r="F273" s="123"/>
      <c r="G273" s="123"/>
      <c r="H273" s="123"/>
      <c r="I273" s="123"/>
      <c r="J273" s="123"/>
      <c r="K273" s="123"/>
      <c r="L273" s="123"/>
      <c r="M273" s="123"/>
      <c r="N273" s="123"/>
      <c r="O273" s="123"/>
      <c r="P273" s="123"/>
      <c r="Q273" s="123"/>
      <c r="R273" s="123"/>
      <c r="S273" s="123"/>
      <c r="T273" s="123"/>
      <c r="U273" s="123"/>
    </row>
    <row r="274" spans="1:26">
      <c r="A274" s="8"/>
      <c r="B274" s="8"/>
      <c r="C274" s="9" t="str">
        <f>IF($W$248="FIBERGLASS",Z299,Z275)</f>
        <v>extremely durable finish, they also give the surface a potentially "textured" or "rough" feel.</v>
      </c>
      <c r="D274" s="9"/>
      <c r="E274" s="9"/>
      <c r="F274" s="9"/>
      <c r="G274" s="9"/>
      <c r="H274" s="9"/>
      <c r="I274" s="9"/>
      <c r="J274" s="9"/>
      <c r="K274" s="9"/>
      <c r="L274" s="9"/>
      <c r="M274" s="9"/>
      <c r="N274" s="9"/>
      <c r="O274" s="9"/>
      <c r="P274" s="9"/>
      <c r="Q274" s="9"/>
      <c r="R274" s="9"/>
      <c r="S274" s="9"/>
      <c r="T274" s="9"/>
      <c r="U274" s="9"/>
      <c r="Z274" t="s">
        <v>381</v>
      </c>
    </row>
    <row r="275" spans="1:26">
      <c r="A275" s="8"/>
      <c r="B275" s="8"/>
      <c r="C275" s="7"/>
      <c r="Z275" t="s">
        <v>382</v>
      </c>
    </row>
    <row r="276" spans="1:26">
      <c r="A276" s="8"/>
      <c r="B276" s="8"/>
      <c r="C276" s="7"/>
    </row>
    <row r="277" spans="1:26">
      <c r="A277" s="8"/>
      <c r="B277" s="8"/>
      <c r="C277" s="7"/>
      <c r="Z277" t="s">
        <v>159</v>
      </c>
    </row>
    <row r="278" spans="1:26">
      <c r="A278" s="8"/>
      <c r="B278" s="8"/>
      <c r="C278" s="7"/>
      <c r="Z278" t="s">
        <v>356</v>
      </c>
    </row>
    <row r="279" spans="1:26">
      <c r="A279" s="8"/>
      <c r="B279" s="8"/>
      <c r="C279" s="7"/>
    </row>
    <row r="280" spans="1:26">
      <c r="A280" s="8"/>
      <c r="B280" s="8"/>
      <c r="C280" s="7"/>
      <c r="Z280" t="s">
        <v>359</v>
      </c>
    </row>
    <row r="281" spans="1:26">
      <c r="A281" s="8"/>
      <c r="B281" s="8"/>
      <c r="C281" s="7"/>
    </row>
    <row r="282" spans="1:26">
      <c r="A282" s="8"/>
      <c r="B282" s="8"/>
      <c r="C282" s="7"/>
      <c r="Z282" t="s">
        <v>360</v>
      </c>
    </row>
    <row r="283" spans="1:26">
      <c r="A283" s="8"/>
      <c r="B283" s="8"/>
      <c r="C283" s="7"/>
    </row>
    <row r="284" spans="1:26">
      <c r="A284" s="8"/>
      <c r="B284" s="8"/>
      <c r="C284" s="7"/>
      <c r="Z284" t="s">
        <v>357</v>
      </c>
    </row>
    <row r="285" spans="1:26">
      <c r="A285" s="8"/>
      <c r="B285" s="8"/>
      <c r="C285" s="7"/>
      <c r="Z285" s="16" t="s">
        <v>358</v>
      </c>
    </row>
    <row r="286" spans="1:26">
      <c r="A286" s="8"/>
      <c r="B286" s="8"/>
      <c r="C286" s="7"/>
      <c r="Z286" t="s">
        <v>376</v>
      </c>
    </row>
    <row r="287" spans="1:26">
      <c r="A287" s="8"/>
      <c r="B287" s="8"/>
      <c r="C287" s="7"/>
    </row>
    <row r="288" spans="1:26">
      <c r="A288" s="8"/>
      <c r="B288" s="8"/>
      <c r="C288" s="7"/>
      <c r="Z288" t="s">
        <v>377</v>
      </c>
    </row>
    <row r="289" spans="1:26">
      <c r="A289" s="8"/>
      <c r="B289" s="8"/>
      <c r="C289" s="7"/>
      <c r="Z289" t="s">
        <v>378</v>
      </c>
    </row>
    <row r="290" spans="1:26">
      <c r="A290" s="8"/>
      <c r="B290" s="8"/>
      <c r="C290" s="7"/>
    </row>
    <row r="291" spans="1:26">
      <c r="A291" s="8"/>
      <c r="B291" s="8"/>
      <c r="C291" s="7"/>
      <c r="Z291" t="s">
        <v>361</v>
      </c>
    </row>
    <row r="292" spans="1:26">
      <c r="A292" s="8"/>
      <c r="B292" s="8"/>
      <c r="C292" s="7"/>
      <c r="Z292" t="s">
        <v>362</v>
      </c>
    </row>
    <row r="293" spans="1:26">
      <c r="A293" s="8"/>
      <c r="B293" s="8"/>
      <c r="C293" s="7"/>
      <c r="Z293" t="s">
        <v>363</v>
      </c>
    </row>
    <row r="294" spans="1:26">
      <c r="A294" s="8"/>
      <c r="B294" s="8"/>
      <c r="C294" s="7"/>
    </row>
    <row r="295" spans="1:26">
      <c r="A295" s="8"/>
      <c r="B295" s="8"/>
      <c r="C295" s="7"/>
      <c r="Z295" t="s">
        <v>379</v>
      </c>
    </row>
    <row r="296" spans="1:26">
      <c r="A296" s="8"/>
      <c r="B296" s="8"/>
      <c r="C296" s="7"/>
      <c r="Z296" t="s">
        <v>380</v>
      </c>
    </row>
    <row r="297" spans="1:26">
      <c r="A297" s="8"/>
      <c r="B297" s="8"/>
      <c r="C297" s="7"/>
    </row>
    <row r="298" spans="1:26">
      <c r="A298" s="8"/>
      <c r="B298" s="8"/>
      <c r="C298" s="7"/>
      <c r="Z298" t="s">
        <v>374</v>
      </c>
    </row>
    <row r="299" spans="1:26">
      <c r="A299" s="8"/>
      <c r="B299" s="8"/>
      <c r="C299" s="7"/>
      <c r="Z299" t="s">
        <v>375</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85" t="s">
        <v>364</v>
      </c>
      <c r="B312" s="85"/>
      <c r="C312" s="85"/>
      <c r="D312" s="85"/>
      <c r="E312" s="85"/>
      <c r="F312" s="85"/>
      <c r="G312" s="85"/>
      <c r="H312" s="85"/>
      <c r="I312" s="85"/>
      <c r="J312" s="85"/>
      <c r="K312" s="85"/>
      <c r="L312" s="85"/>
      <c r="M312" s="85"/>
      <c r="N312" s="85"/>
      <c r="O312" s="85"/>
      <c r="P312" s="85"/>
      <c r="Q312" s="85"/>
      <c r="R312" s="85"/>
      <c r="S312" s="85"/>
      <c r="T312" s="85"/>
      <c r="U312" s="85"/>
    </row>
  </sheetData>
  <mergeCells count="321">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 ref="C262:U262"/>
    <mergeCell ref="K244:N244"/>
    <mergeCell ref="O244:U244"/>
    <mergeCell ref="A246:U246"/>
    <mergeCell ref="A248:B248"/>
    <mergeCell ref="A249:B249"/>
    <mergeCell ref="C249:U249"/>
    <mergeCell ref="C250:U250"/>
    <mergeCell ref="C253:U253"/>
    <mergeCell ref="A253:B253"/>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AI38:AK38"/>
    <mergeCell ref="W38:Z38"/>
    <mergeCell ref="AA38:AC38"/>
    <mergeCell ref="AD38:AF38"/>
    <mergeCell ref="AG38:AH38"/>
    <mergeCell ref="L62:U64"/>
    <mergeCell ref="W78:Y78"/>
    <mergeCell ref="Z78:AB78"/>
    <mergeCell ref="AC78:AD78"/>
    <mergeCell ref="AE78:AF78"/>
    <mergeCell ref="L38:U38"/>
    <mergeCell ref="T52:U52"/>
    <mergeCell ref="L49:U49"/>
    <mergeCell ref="Q59:U59"/>
    <mergeCell ref="T61:U61"/>
    <mergeCell ref="H72:M72"/>
    <mergeCell ref="N72:O72"/>
    <mergeCell ref="P72:U72"/>
    <mergeCell ref="P68:Q68"/>
    <mergeCell ref="R68:U68"/>
    <mergeCell ref="F69:H69"/>
    <mergeCell ref="I69:O69"/>
    <mergeCell ref="P69:Q69"/>
    <mergeCell ref="I59:J59"/>
    <mergeCell ref="S28:T28"/>
    <mergeCell ref="I16:M16"/>
    <mergeCell ref="Q16:T16"/>
    <mergeCell ref="Q17:T17"/>
    <mergeCell ref="A27:J27"/>
    <mergeCell ref="I20:N20"/>
    <mergeCell ref="I21:N21"/>
    <mergeCell ref="A23:U23"/>
    <mergeCell ref="L27:U27"/>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A153:U153"/>
    <mergeCell ref="A154:U154"/>
    <mergeCell ref="A208:B208"/>
    <mergeCell ref="I60:J60"/>
    <mergeCell ref="C10:F10"/>
    <mergeCell ref="P10:S10"/>
    <mergeCell ref="H11:N11"/>
    <mergeCell ref="H12:N12"/>
    <mergeCell ref="H13:N13"/>
    <mergeCell ref="P15:S15"/>
    <mergeCell ref="I39:J39"/>
    <mergeCell ref="O11:T11"/>
    <mergeCell ref="O12:T12"/>
    <mergeCell ref="O13:T13"/>
    <mergeCell ref="B11:G11"/>
    <mergeCell ref="B12:G12"/>
    <mergeCell ref="B13:G13"/>
    <mergeCell ref="B14:T14"/>
    <mergeCell ref="G29:J29"/>
    <mergeCell ref="G30:J30"/>
    <mergeCell ref="G31:J31"/>
    <mergeCell ref="G32:J32"/>
    <mergeCell ref="G28:J28"/>
    <mergeCell ref="N28:O28"/>
    <mergeCell ref="A142:U142"/>
    <mergeCell ref="A143:U143"/>
    <mergeCell ref="A148:U148"/>
    <mergeCell ref="P144:Q144"/>
    <mergeCell ref="T144:U144"/>
    <mergeCell ref="A149:U149"/>
    <mergeCell ref="A150:U150"/>
    <mergeCell ref="A151:U151"/>
    <mergeCell ref="A152:U152"/>
    <mergeCell ref="I46:J46"/>
    <mergeCell ref="I47:J47"/>
    <mergeCell ref="I48:J48"/>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145:U145"/>
    <mergeCell ref="C197:U197"/>
    <mergeCell ref="C200:U201"/>
    <mergeCell ref="C206:U206"/>
    <mergeCell ref="C212:U212"/>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77:U177"/>
    <mergeCell ref="A186:B186"/>
    <mergeCell ref="P179:Q179"/>
    <mergeCell ref="T179:U179"/>
    <mergeCell ref="A178:U178"/>
    <mergeCell ref="K181:N181"/>
    <mergeCell ref="A218:B218"/>
    <mergeCell ref="C187:U187"/>
    <mergeCell ref="A211:B211"/>
    <mergeCell ref="A196:B196"/>
    <mergeCell ref="C196:U196"/>
    <mergeCell ref="C186:U186"/>
    <mergeCell ref="A215:B215"/>
    <mergeCell ref="A185:B185"/>
    <mergeCell ref="A183:U183"/>
    <mergeCell ref="A221:B221"/>
    <mergeCell ref="A224:B224"/>
    <mergeCell ref="C222:U222"/>
    <mergeCell ref="C235:U235"/>
    <mergeCell ref="A234:B234"/>
    <mergeCell ref="L190:N190"/>
    <mergeCell ref="L191:N191"/>
    <mergeCell ref="L192:N192"/>
    <mergeCell ref="L193:N193"/>
    <mergeCell ref="L194:N194"/>
    <mergeCell ref="C229:U229"/>
    <mergeCell ref="E89:H89"/>
    <mergeCell ref="E90:H90"/>
    <mergeCell ref="E91:H91"/>
    <mergeCell ref="Q39:U39"/>
    <mergeCell ref="Q41:U41"/>
    <mergeCell ref="Q42:U42"/>
    <mergeCell ref="Q43:U43"/>
    <mergeCell ref="Q44:U44"/>
    <mergeCell ref="Q45:U45"/>
    <mergeCell ref="Q40:U40"/>
    <mergeCell ref="F62:J62"/>
    <mergeCell ref="F63:J63"/>
    <mergeCell ref="Q57:U57"/>
    <mergeCell ref="Q58:U58"/>
    <mergeCell ref="Q56:U56"/>
    <mergeCell ref="T60:U60"/>
    <mergeCell ref="Q46:U46"/>
    <mergeCell ref="T50:U50"/>
    <mergeCell ref="T51:U51"/>
    <mergeCell ref="I40:J40"/>
    <mergeCell ref="I41:J41"/>
    <mergeCell ref="I42:J42"/>
    <mergeCell ref="I43:J43"/>
    <mergeCell ref="I44:J44"/>
    <mergeCell ref="I70:L70"/>
    <mergeCell ref="N70:O70"/>
    <mergeCell ref="I80:J80"/>
    <mergeCell ref="E82:H82"/>
    <mergeCell ref="E83:H83"/>
    <mergeCell ref="F84:J84"/>
    <mergeCell ref="I85:J85"/>
    <mergeCell ref="A87:J87"/>
    <mergeCell ref="E88:H88"/>
    <mergeCell ref="E92:H92"/>
    <mergeCell ref="E93:H93"/>
    <mergeCell ref="A95:J95"/>
    <mergeCell ref="E96:H96"/>
    <mergeCell ref="A123:U123"/>
    <mergeCell ref="E97:H97"/>
    <mergeCell ref="E98:H98"/>
    <mergeCell ref="E99:H99"/>
    <mergeCell ref="A101:J101"/>
    <mergeCell ref="M95:U95"/>
    <mergeCell ref="M97:U97"/>
    <mergeCell ref="M99:U99"/>
    <mergeCell ref="M101:U101"/>
    <mergeCell ref="M103:U103"/>
    <mergeCell ref="K119:N119"/>
    <mergeCell ref="M105:U105"/>
    <mergeCell ref="M107:U107"/>
    <mergeCell ref="F102:J102"/>
    <mergeCell ref="I103:J103"/>
    <mergeCell ref="I104:J104"/>
    <mergeCell ref="I105:J105"/>
    <mergeCell ref="I106:J106"/>
    <mergeCell ref="A118:U118"/>
    <mergeCell ref="O119:U119"/>
    <mergeCell ref="C109:G109"/>
    <mergeCell ref="K109:Q109"/>
    <mergeCell ref="S109:U109"/>
    <mergeCell ref="H109:J109"/>
    <mergeCell ref="A109:B109"/>
    <mergeCell ref="A111:B111"/>
    <mergeCell ref="C111:G111"/>
    <mergeCell ref="H111:J111"/>
    <mergeCell ref="K111:Q111"/>
    <mergeCell ref="S111:U111"/>
    <mergeCell ref="A121:U121"/>
    <mergeCell ref="A130:U130"/>
    <mergeCell ref="A131:U131"/>
    <mergeCell ref="A132:U132"/>
    <mergeCell ref="A134:U134"/>
    <mergeCell ref="C113:G113"/>
    <mergeCell ref="H113:J113"/>
    <mergeCell ref="K113:Q113"/>
    <mergeCell ref="S113:U113"/>
    <mergeCell ref="A116:U116"/>
    <mergeCell ref="A114:U114"/>
    <mergeCell ref="A113:B113"/>
    <mergeCell ref="A122:U122"/>
    <mergeCell ref="A124:U124"/>
    <mergeCell ref="A125:U125"/>
    <mergeCell ref="A126:U126"/>
    <mergeCell ref="A128:U128"/>
    <mergeCell ref="A127:U127"/>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A66:U66"/>
    <mergeCell ref="F67:U67"/>
    <mergeCell ref="F68:H68"/>
    <mergeCell ref="I68:O68"/>
    <mergeCell ref="A76:J76"/>
    <mergeCell ref="I77:J77"/>
    <mergeCell ref="I79:J79"/>
    <mergeCell ref="F72:G72"/>
    <mergeCell ref="R69:U69"/>
    <mergeCell ref="F70:H70"/>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 type="list" allowBlank="1" showInputMessage="1" showErrorMessage="1" sqref="Q46" xr:uid="{93C83D6A-5B25-4184-8AB8-6A1421647E35}">
      <formula1>$Z$3:$Z$5</formula1>
    </dataValidation>
  </dataValidations>
  <printOptions horizontalCentered="1"/>
  <pageMargins left="0.7" right="0.7" top="0.75" bottom="0.75" header="0.3" footer="0.3"/>
  <pageSetup paperSize="3" scale="70" fitToHeight="0"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Brian Kummer</cp:lastModifiedBy>
  <cp:lastPrinted>2025-12-09T20:26:53Z</cp:lastPrinted>
  <dcterms:created xsi:type="dcterms:W3CDTF">2023-11-30T14:32:49Z</dcterms:created>
  <dcterms:modified xsi:type="dcterms:W3CDTF">2025-12-09T20:35:50Z</dcterms:modified>
</cp:coreProperties>
</file>