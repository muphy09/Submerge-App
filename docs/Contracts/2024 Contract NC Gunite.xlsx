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658a056af53f539/Job Aids/Contracts/"/>
    </mc:Choice>
  </mc:AlternateContent>
  <xr:revisionPtr revIDLastSave="387" documentId="13_ncr:1_{B7D85137-4AF9-443C-B68A-E5402DB20EEB}" xr6:coauthVersionLast="47" xr6:coauthVersionMax="47" xr10:uidLastSave="{56AE6185-2BEF-4CF1-9FB9-D1D97954D4EA}"/>
  <bookViews>
    <workbookView xWindow="-16320" yWindow="-4815" windowWidth="16440" windowHeight="28320" xr2:uid="{C8925376-2B03-47D1-8337-7170FEBA89A7}"/>
  </bookViews>
  <sheets>
    <sheet name="CONTRACT" sheetId="1"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 localSheetId="0">#REF!</definedName>
    <definedName name="BBQ_Island_Table">#REF!</definedName>
    <definedName name="BBQ_Islands" localSheetId="0">#REF!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 localSheetId="0">#REF!</definedName>
    <definedName name="Crane_Sizes">#REF!</definedName>
    <definedName name="Deck_Types">#REF!</definedName>
    <definedName name="Drain_Types">#REF!</definedName>
    <definedName name="East_Valley_Table" localSheetId="0">#REF!</definedName>
    <definedName name="East_Valley_Table">#REF!</definedName>
    <definedName name="EastValley" localSheetId="0">#REF!</definedName>
    <definedName name="EastValley">#REF!</definedName>
    <definedName name="EXCAVATION_EQUIPMENT" localSheetId="0">#REF!</definedName>
    <definedName name="EXCAVATION_EQUIPMENT">#REF!</definedName>
    <definedName name="Fiber_Spas" localSheetId="0">#REF!</definedName>
    <definedName name="Fiber_Spas">#REF!</definedName>
    <definedName name="FIBERGLASS_MODELS" localSheetId="0">#REF!</definedName>
    <definedName name="FIBERGLASS_MODELS">#REF!</definedName>
    <definedName name="FIBERGLASS_SPA_MODELS" localSheetId="0">#REF!</definedName>
    <definedName name="FIBERGLASS_SPA_MODELS">#REF!</definedName>
    <definedName name="FIBERGLASS_SPA_TABLE" localSheetId="0">#REF!</definedName>
    <definedName name="FIBERGLASS_SPA_TABLE">#REF!</definedName>
    <definedName name="FIBERGLASS_TABLE" localSheetId="0">#REF!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 localSheetId="0">#REF!</definedName>
    <definedName name="Ingroud_Spa">#REF!</definedName>
    <definedName name="Inground_Spa_Model" localSheetId="0">#REF!</definedName>
    <definedName name="Inground_Spa_Model">#REF!</definedName>
    <definedName name="Interior_Finishes">#REF!</definedName>
    <definedName name="Job_Type">#REF!</definedName>
    <definedName name="Jurisdiction_Table" localSheetId="0">#REF!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_xlnm.Print_Area" localSheetId="0">CONTRACT!$A$2:$U$312</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 localSheetId="0">#REF!</definedName>
    <definedName name="Valley_Jurisdictions">#REF!</definedName>
    <definedName name="Water_Features">#REF!</definedName>
    <definedName name="West_Valley_Table" localSheetId="0">#REF!</definedName>
    <definedName name="West_Valley_Table">#REF!</definedName>
    <definedName name="WestValley" localSheetId="0">#REF!</definedName>
    <definedName name="WestValley">#REF!</definedName>
    <definedName name="Wfalls">'[1]ROCK &amp; TILE'!$B$71:$B$82</definedName>
    <definedName name="Wok_Pots">[1]MISC!$I$4:$I$20</definedName>
    <definedName name="wv" localSheetId="0">#REF!</definedName>
    <definedName name="wv">#REF!</definedName>
    <definedName name="wvv" localSheetId="0">#REF!</definedName>
    <definedName name="wv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c r="P15" i="1"/>
  <c r="F67" i="1"/>
  <c r="F2" i="1"/>
  <c r="AC31" i="1"/>
  <c r="AC30" i="1"/>
  <c r="AC28" i="1"/>
  <c r="C249" i="1"/>
  <c r="C250" i="1"/>
  <c r="W248" i="1"/>
  <c r="C248" i="1" s="1"/>
  <c r="O244" i="1"/>
  <c r="C273" i="1" l="1"/>
  <c r="C274" i="1"/>
  <c r="C271" i="1"/>
  <c r="C260" i="1"/>
  <c r="C264" i="1"/>
  <c r="C259" i="1"/>
  <c r="C262" i="1"/>
  <c r="C263" i="1"/>
  <c r="C266" i="1"/>
  <c r="C267" i="1"/>
  <c r="C268" i="1"/>
  <c r="C270" i="1"/>
  <c r="C253" i="1"/>
  <c r="C255" i="1"/>
  <c r="C257" i="1"/>
  <c r="C252" i="1"/>
  <c r="C265" i="1"/>
  <c r="O119" i="1"/>
  <c r="O181" i="1" s="1"/>
  <c r="AH28" i="1"/>
  <c r="G29" i="1" s="1"/>
  <c r="Q81" i="1"/>
  <c r="D190" i="1"/>
  <c r="I106" i="1"/>
  <c r="P72" i="1"/>
  <c r="H72" i="1"/>
  <c r="R69" i="1"/>
  <c r="R68" i="1"/>
  <c r="N70" i="1"/>
  <c r="I70" i="1"/>
  <c r="I69" i="1"/>
  <c r="I68" i="1"/>
  <c r="L50" i="1"/>
  <c r="A54" i="1"/>
  <c r="L33" i="1"/>
  <c r="G28" i="1"/>
  <c r="L190" i="1" s="1"/>
  <c r="A30" i="1"/>
  <c r="D192" i="1" s="1"/>
  <c r="A31" i="1"/>
  <c r="D193" i="1" s="1"/>
  <c r="A32" i="1"/>
  <c r="D194" i="1" s="1"/>
  <c r="A29" i="1"/>
  <c r="D191" i="1" s="1"/>
  <c r="O146" i="1" l="1"/>
  <c r="AH30" i="1"/>
  <c r="G31" i="1" s="1"/>
  <c r="L193" i="1" s="1"/>
  <c r="AC29" i="1"/>
  <c r="AH31" i="1"/>
  <c r="G32" i="1" s="1"/>
  <c r="L194" i="1" s="1"/>
  <c r="AH29" i="1"/>
  <c r="L191" i="1"/>
  <c r="G30" i="1" l="1"/>
  <c r="L192" i="1" s="1"/>
</calcChain>
</file>

<file path=xl/sharedStrings.xml><?xml version="1.0" encoding="utf-8"?>
<sst xmlns="http://schemas.openxmlformats.org/spreadsheetml/2006/main" count="568" uniqueCount="399">
  <si>
    <t>DECKING</t>
  </si>
  <si>
    <t>EXCAVATION</t>
  </si>
  <si>
    <t>ENGINEERING</t>
  </si>
  <si>
    <t>N/A</t>
  </si>
  <si>
    <t>Progress payments are due in accordance with the following schedule:</t>
  </si>
  <si>
    <t>GENERAL</t>
  </si>
  <si>
    <t>Initials</t>
  </si>
  <si>
    <t>12. ARBITRATION OF DISPUTES</t>
  </si>
  <si>
    <t>11. ASSIGNMENTS &amp; SUB-CONTRACTS</t>
  </si>
  <si>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</si>
  <si>
    <t>10. DAMAGE TO WORK</t>
  </si>
  <si>
    <t>9. ELECTRICAL SERVICE</t>
  </si>
  <si>
    <t>8. PLUMBING &amp; UTILITIES</t>
  </si>
  <si>
    <t>7. GRADING, DECKING, DRAINAGE, RETAINING WALLS &amp; FENCING</t>
  </si>
  <si>
    <t>6. POOL SITE</t>
  </si>
  <si>
    <t>D. That there will be no additional load condition that may be imposed on the pool structure by existing or proposed adjacent structures which will require extra engineering.</t>
  </si>
  <si>
    <t>5. MATERIAL CONDITIONS FOR PERFORMANCE</t>
  </si>
  <si>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</si>
  <si>
    <t>4. RESPONSIBILITIES OF BUYER</t>
  </si>
  <si>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</si>
  <si>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</si>
  <si>
    <t>3. RESPONSIBILITIES OF BUILDER - CONDITIONS &amp; LIMITATIONS</t>
  </si>
  <si>
    <t>If any provision (or portion thereof) of this contract shall be deemed invalid it is agreed that such invalidity shall only affect such provision (or portion thereof) and the remainder of this contract shall remain in force and effect.</t>
  </si>
  <si>
    <t>2. CONTRACT &amp; SPECIFICATIONS</t>
  </si>
  <si>
    <t>If excavation has not started 90 days from date of the contract for reasons beyond Builder's control, Builder shall have the right to cancel the contract upon notice to the Buyer.</t>
  </si>
  <si>
    <t>The sole and exclusive remedy of the Buyer and the obligation of Builder for the matters set forth herein whether on warranty, contract, negligence or strict liability, is the repair of the defect. Builder shall in no event be liable for special or consequential damages.</t>
  </si>
  <si>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</si>
  <si>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</si>
  <si>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</si>
  <si>
    <t>1. TERMS AND CONDITIONS</t>
  </si>
  <si>
    <t>80.</t>
  </si>
  <si>
    <t>None</t>
  </si>
  <si>
    <t>79.</t>
  </si>
  <si>
    <t>LNFT:</t>
  </si>
  <si>
    <t>BY BUILDER</t>
  </si>
  <si>
    <t>Salt System</t>
  </si>
  <si>
    <t>UV System</t>
  </si>
  <si>
    <t>78.</t>
  </si>
  <si>
    <t>Robotic Cleaner</t>
  </si>
  <si>
    <t>Ozone System</t>
  </si>
  <si>
    <t>Mineral System</t>
  </si>
  <si>
    <t>25. Sanitation II</t>
  </si>
  <si>
    <t>Suction Cleaner</t>
  </si>
  <si>
    <t>77.</t>
  </si>
  <si>
    <t>In-Line Chlorinator</t>
  </si>
  <si>
    <t>24. Sanitation I</t>
  </si>
  <si>
    <t>ROCKWORK</t>
  </si>
  <si>
    <t>76.</t>
  </si>
  <si>
    <t>QTY:</t>
  </si>
  <si>
    <t>75.</t>
  </si>
  <si>
    <t>60 SQFT DE</t>
  </si>
  <si>
    <t>Other - See Add'l Specs</t>
  </si>
  <si>
    <t>4.9 SQFT Sand</t>
  </si>
  <si>
    <t>74.</t>
  </si>
  <si>
    <t>WATER FEATURES</t>
  </si>
  <si>
    <t>21. Filter</t>
  </si>
  <si>
    <t>5CM Travertine</t>
  </si>
  <si>
    <t>73.</t>
  </si>
  <si>
    <t>Travertine</t>
  </si>
  <si>
    <t>3CM Travertine</t>
  </si>
  <si>
    <t>Concrete</t>
  </si>
  <si>
    <t>STD</t>
  </si>
  <si>
    <t>BY BUYER</t>
  </si>
  <si>
    <t>43. House panel upgrade or relocation of overhead</t>
  </si>
  <si>
    <t xml:space="preserve">42.  Electrical bonding of pool </t>
  </si>
  <si>
    <t>ADDITIONAL SPECIFICATIONS</t>
  </si>
  <si>
    <t xml:space="preserve">      light(s) including required conduit</t>
  </si>
  <si>
    <t>41. Electrical connection of pump(s) and underwater</t>
  </si>
  <si>
    <t xml:space="preserve">      Insurance for all employees.</t>
  </si>
  <si>
    <t>70. Booster Pump for Spa Jets</t>
  </si>
  <si>
    <t>69. Low Water Returns</t>
  </si>
  <si>
    <t>68. Interior Finish</t>
  </si>
  <si>
    <t>39. Decking Drainage</t>
  </si>
  <si>
    <t>67. Blower</t>
  </si>
  <si>
    <t>66. Damwall:</t>
  </si>
  <si>
    <t>65. Spa Light:</t>
  </si>
  <si>
    <t xml:space="preserve">10. This contract includes up to </t>
  </si>
  <si>
    <t>64. Spa Perimeter:</t>
  </si>
  <si>
    <t>9.  Removal of landscaping in the access or pool area</t>
  </si>
  <si>
    <t>SPA</t>
  </si>
  <si>
    <t>8.  Removal of concrete in the access or pool area</t>
  </si>
  <si>
    <t>INCLUDED</t>
  </si>
  <si>
    <t>63. Test Kit, Leaf Skimmer, Pole, Brush &amp; Thermometer</t>
  </si>
  <si>
    <t>7.  Removal of trees in the access or pool area</t>
  </si>
  <si>
    <t>' of 48"</t>
  </si>
  <si>
    <t>' of 36"</t>
  </si>
  <si>
    <t>' of 30"</t>
  </si>
  <si>
    <t xml:space="preserve">     Concrete Sidewalk or Driveway</t>
  </si>
  <si>
    <t>6.  Repair Damaged Utilities, Irrigation, Landscaping and</t>
  </si>
  <si>
    <t>Stacked Stone</t>
  </si>
  <si>
    <t>' of 24"</t>
  </si>
  <si>
    <t>' of 12"</t>
  </si>
  <si>
    <t>' of 6"</t>
  </si>
  <si>
    <t>5.  Replacement of access wall or fence</t>
  </si>
  <si>
    <t>4.  Removal of access wall or fence</t>
  </si>
  <si>
    <t>Tile</t>
  </si>
  <si>
    <t>Trim Tile</t>
  </si>
  <si>
    <t>Mini Pebble</t>
  </si>
  <si>
    <t>3.  Removal of dirt on day of excavation only</t>
  </si>
  <si>
    <t xml:space="preserve">2.  Pool layout and excavation </t>
  </si>
  <si>
    <t>Quartz</t>
  </si>
  <si>
    <t>1.  Standard Engineered Plans and Pool Permit</t>
  </si>
  <si>
    <t>GENERAL CONSTRUCTION</t>
  </si>
  <si>
    <t>'</t>
  </si>
  <si>
    <t>Pool Depth:</t>
  </si>
  <si>
    <t>Pool Size:</t>
  </si>
  <si>
    <t>SQFT</t>
  </si>
  <si>
    <t>Perimeter:</t>
  </si>
  <si>
    <t>Fiberglass</t>
  </si>
  <si>
    <t>YES</t>
  </si>
  <si>
    <t>NO</t>
  </si>
  <si>
    <t>WEST</t>
  </si>
  <si>
    <r>
      <t xml:space="preserve">Buyer shall notify Builder of any alleged defects or breach of the above warranty within a </t>
    </r>
    <r>
      <rPr>
        <sz val="9"/>
        <color rgb="FF222222"/>
        <rFont val="Tahoma"/>
        <family val="2"/>
      </rPr>
      <t xml:space="preserve">reasonable </t>
    </r>
    <r>
      <rPr>
        <sz val="9"/>
        <color rgb="FF0C0C0C"/>
        <rFont val="Tahoma"/>
        <family val="2"/>
      </rPr>
      <t>time after discovery, in no event later than 10 days after discovery; such notice shall be sent to Builder at its place of business set forth on the other side of this contract.</t>
    </r>
  </si>
  <si>
    <r>
      <t>Defects or failures resulting from mistreatment or neglect by Buyer will be repaired or serviced at the Buyer's expense</t>
    </r>
    <r>
      <rPr>
        <sz val="9"/>
        <color rgb="FF373737"/>
        <rFont val="Tahoma"/>
        <family val="2"/>
      </rPr>
      <t xml:space="preserve">. </t>
    </r>
    <r>
      <rPr>
        <sz val="9"/>
        <color rgb="FF0C0C0C"/>
        <rFont val="Tahoma"/>
        <family val="2"/>
      </rPr>
      <t xml:space="preserve">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r>
  </si>
  <si>
    <r>
      <t>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t>
    </r>
    <r>
      <rPr>
        <sz val="9"/>
        <color rgb="FF373737"/>
        <rFont val="Tahoma"/>
        <family val="2"/>
      </rPr>
      <t xml:space="preserve">. </t>
    </r>
  </si>
  <si>
    <r>
      <t xml:space="preserve">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t>
    </r>
    <r>
      <rPr>
        <sz val="9"/>
        <color rgb="FF222222"/>
        <rFont val="Tahoma"/>
        <family val="2"/>
      </rPr>
      <t xml:space="preserve">in </t>
    </r>
    <r>
      <rPr>
        <sz val="9"/>
        <color rgb="FF0C0C0C"/>
        <rFont val="Tahoma"/>
        <family val="2"/>
      </rPr>
      <t>this paragraph, up to and including the sixth (6th) day of delay</t>
    </r>
    <r>
      <rPr>
        <sz val="9"/>
        <color rgb="FF373737"/>
        <rFont val="Tahoma"/>
        <family val="2"/>
      </rPr>
      <t xml:space="preserve">. </t>
    </r>
    <r>
      <rPr>
        <sz val="9"/>
        <color rgb="FF0C0C0C"/>
        <rFont val="Tahoma"/>
        <family val="2"/>
      </rPr>
      <t>Thereafter, the date of completion shall be extended one (1) calendar day for each calendar day of delay.</t>
    </r>
  </si>
  <si>
    <r>
      <t>Builder is not responsible for damage to improvements and appurtenances located in or reasonably adjacent to the access routes or the pool sites, including but not limited to such i</t>
    </r>
    <r>
      <rPr>
        <sz val="9"/>
        <color rgb="FF222222"/>
        <rFont val="Tahoma"/>
        <family val="2"/>
      </rPr>
      <t xml:space="preserve">tems </t>
    </r>
    <r>
      <rPr>
        <sz val="9"/>
        <color rgb="FF0C0C0C"/>
        <rFont val="Tahoma"/>
        <family val="2"/>
      </rPr>
      <t>as curbs, sidewalks, driveways, patios, lawns, shrubs and sprinkler systems. Builder is not responsible for damages caused by ground compaction by excavation equipment. Builder is not responsible for flotation of pool.</t>
    </r>
  </si>
  <si>
    <r>
      <t xml:space="preserve">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t>
    </r>
    <r>
      <rPr>
        <sz val="9"/>
        <color rgb="FF222222"/>
        <rFont val="Tahoma"/>
        <family val="2"/>
      </rPr>
      <t xml:space="preserve">impractical </t>
    </r>
    <r>
      <rPr>
        <sz val="9"/>
        <color rgb="FF0C0C0C"/>
        <rFont val="Tahoma"/>
        <family val="2"/>
      </rPr>
      <t>to compute the actual damages in the event of a deviation in pool dimensions; therefore, Buyer and Builder agree that liquidated damages for error by Builder shall be computed as follows</t>
    </r>
    <r>
      <rPr>
        <sz val="9"/>
        <color rgb="FF373737"/>
        <rFont val="Tahoma"/>
        <family val="2"/>
      </rPr>
      <t>:</t>
    </r>
  </si>
  <si>
    <r>
      <t xml:space="preserve">Buyer </t>
    </r>
    <r>
      <rPr>
        <sz val="9"/>
        <color rgb="FF222222"/>
        <rFont val="Tahoma"/>
        <family val="2"/>
      </rPr>
      <t xml:space="preserve">is </t>
    </r>
    <r>
      <rPr>
        <sz val="9"/>
        <color rgb="FF0C0C0C"/>
        <rFont val="Tahoma"/>
        <family val="2"/>
      </rPr>
      <t xml:space="preserve">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t>
    </r>
    <r>
      <rPr>
        <sz val="9"/>
        <color rgb="FF222222"/>
        <rFont val="Tahoma"/>
        <family val="2"/>
      </rPr>
      <t xml:space="preserve">late </t>
    </r>
    <r>
      <rPr>
        <sz val="9"/>
        <color rgb="FF0C0C0C"/>
        <rFont val="Tahoma"/>
        <family val="2"/>
      </rPr>
      <t xml:space="preserve">day. If completion of the swimming pool is delayed by causes under Buyer's control for a period of more than 30 days, Buyer agrees to pay the </t>
    </r>
    <r>
      <rPr>
        <sz val="9"/>
        <color rgb="FF222222"/>
        <rFont val="Tahoma"/>
        <family val="2"/>
      </rPr>
      <t xml:space="preserve">increased </t>
    </r>
    <r>
      <rPr>
        <sz val="9"/>
        <color rgb="FF0C0C0C"/>
        <rFont val="Tahoma"/>
        <family val="2"/>
      </rPr>
      <t xml:space="preserve">labor and material, and equipment cost resulting from Buyer's delay. Approval of work by an inspecting governmental agency </t>
    </r>
    <r>
      <rPr>
        <sz val="9"/>
        <color rgb="FF222222"/>
        <rFont val="Tahoma"/>
        <family val="2"/>
      </rPr>
      <t xml:space="preserve">is </t>
    </r>
    <r>
      <rPr>
        <sz val="9"/>
        <color rgb="FF0C0C0C"/>
        <rFont val="Tahoma"/>
        <family val="2"/>
      </rPr>
      <t>deemed to be completion of that work in a workmanlike manner. The pool is deemed complete (for purposes of establishing a date of completion of construction) when plastered (shotcrete pool) or decking installed (fiberglass pool)</t>
    </r>
    <r>
      <rPr>
        <sz val="9"/>
        <color rgb="FF373737"/>
        <rFont val="Tahoma"/>
        <family val="2"/>
      </rPr>
      <t>.</t>
    </r>
  </si>
  <si>
    <r>
      <t>Unless otherwise specifically provided in the plans and specifications of this contract</t>
    </r>
    <r>
      <rPr>
        <sz val="9"/>
        <color rgb="FF373737"/>
        <rFont val="Tahoma"/>
        <family val="2"/>
      </rPr>
      <t xml:space="preserve">, </t>
    </r>
    <r>
      <rPr>
        <sz val="9"/>
        <color rgb="FF0C0C0C"/>
        <rFont val="Tahoma"/>
        <family val="2"/>
      </rPr>
      <t>Builder has entered into this contract based upon the following assumptions of facts</t>
    </r>
    <r>
      <rPr>
        <sz val="9"/>
        <color rgb="FF373737"/>
        <rFont val="Tahoma"/>
        <family val="2"/>
      </rPr>
      <t>:</t>
    </r>
  </si>
  <si>
    <r>
      <t>A</t>
    </r>
    <r>
      <rPr>
        <sz val="9"/>
        <color rgb="FF373737"/>
        <rFont val="Tahoma"/>
        <family val="2"/>
      </rPr>
      <t xml:space="preserve">. </t>
    </r>
    <r>
      <rPr>
        <sz val="9"/>
        <color rgb="FF0C0C0C"/>
        <rFont val="Tahoma"/>
        <family val="2"/>
      </rPr>
      <t>That Buyer will provide adequate access to Buyer</t>
    </r>
    <r>
      <rPr>
        <sz val="9"/>
        <color rgb="FF373737"/>
        <rFont val="Tahoma"/>
        <family val="2"/>
      </rPr>
      <t>'</t>
    </r>
    <r>
      <rPr>
        <sz val="9"/>
        <color rgb="FF0C0C0C"/>
        <rFont val="Tahoma"/>
        <family val="2"/>
      </rPr>
      <t>s own property or through adjacent property for Builder's normal construction equipment to do the work</t>
    </r>
    <r>
      <rPr>
        <sz val="9"/>
        <color rgb="FF373737"/>
        <rFont val="Tahoma"/>
        <family val="2"/>
      </rPr>
      <t xml:space="preserve">, </t>
    </r>
    <r>
      <rPr>
        <sz val="9"/>
        <color rgb="FF0C0C0C"/>
        <rFont val="Tahoma"/>
        <family val="2"/>
      </rPr>
      <t>at no cost and with no liability to Builder.</t>
    </r>
  </si>
  <si>
    <r>
      <t>B. That soil at and around the agreed upon pool site is compacted to at least 90 percent and has a bearing capacity of at least 1</t>
    </r>
    <r>
      <rPr>
        <sz val="9"/>
        <color rgb="FF222222"/>
        <rFont val="Tahoma"/>
        <family val="2"/>
      </rPr>
      <t xml:space="preserve">,000 </t>
    </r>
    <r>
      <rPr>
        <sz val="9"/>
        <color rgb="FF0C0C0C"/>
        <rFont val="Tahoma"/>
        <family val="2"/>
      </rPr>
      <t>pounds per square foot.</t>
    </r>
  </si>
  <si>
    <r>
      <t>C. That soil at and around the agreed upon pool site is not of such an unstable nature, and that water conditions are not of such a nature</t>
    </r>
    <r>
      <rPr>
        <sz val="9"/>
        <color rgb="FF373737"/>
        <rFont val="Tahoma"/>
        <family val="2"/>
      </rPr>
      <t xml:space="preserve">, </t>
    </r>
    <r>
      <rPr>
        <sz val="9"/>
        <color rgb="FF0C0C0C"/>
        <rFont val="Tahoma"/>
        <family val="2"/>
      </rPr>
      <t>so as to preclude construction and operation of the pool in a normal manner and normal expense</t>
    </r>
    <r>
      <rPr>
        <sz val="9"/>
        <color rgb="FF464646"/>
        <rFont val="Tahoma"/>
        <family val="2"/>
      </rPr>
      <t>.</t>
    </r>
  </si>
  <si>
    <r>
      <t>E. That there are no rock formations, hard pan conditions, boulders, cesspools, septic tanks, gas lines, water pipes, sewer pipes, drain pipes, irrigation pipes, underground electrical conduit or other underground obstructions, which would require blasting</t>
    </r>
    <r>
      <rPr>
        <sz val="9"/>
        <color rgb="FF373737"/>
        <rFont val="Tahoma"/>
        <family val="2"/>
      </rPr>
      <t xml:space="preserve">, </t>
    </r>
    <r>
      <rPr>
        <sz val="9"/>
        <color rgb="FF0C0C0C"/>
        <rFont val="Tahoma"/>
        <family val="2"/>
      </rPr>
      <t>jack-hammer work, larger than normal excavation equipment or which would otherwise require work and give rise to costs in excess of what would normally be required. Normal excavation time is six (6) hours within pool site</t>
    </r>
    <r>
      <rPr>
        <sz val="9"/>
        <color rgb="FF373737"/>
        <rFont val="Tahoma"/>
        <family val="2"/>
      </rPr>
      <t xml:space="preserve">. </t>
    </r>
    <r>
      <rPr>
        <sz val="9"/>
        <color rgb="FF0C0C0C"/>
        <rFont val="Tahoma"/>
        <family val="2"/>
      </rPr>
      <t>If any of the foregoing assumptions of fact are not true, Builder may, at its option, terminate this contract with no further liability to either Buyer or Builder</t>
    </r>
    <r>
      <rPr>
        <sz val="9"/>
        <color rgb="FF373737"/>
        <rFont val="Tahoma"/>
        <family val="2"/>
      </rPr>
      <t xml:space="preserve">, </t>
    </r>
    <r>
      <rPr>
        <sz val="9"/>
        <color rgb="FF0C0C0C"/>
        <rFont val="Tahoma"/>
        <family val="2"/>
      </rPr>
      <t>except that Buyer agrees to pay to Builder the actual cost of all labor, materials</t>
    </r>
    <r>
      <rPr>
        <sz val="9"/>
        <color rgb="FF373737"/>
        <rFont val="Tahoma"/>
        <family val="2"/>
      </rPr>
      <t xml:space="preserve">, </t>
    </r>
    <r>
      <rPr>
        <sz val="9"/>
        <color rgb="FF0C0C0C"/>
        <rFont val="Tahoma"/>
        <family val="2"/>
      </rPr>
      <t>equipment, and permits already furnished and required to restore the premises. It is understood, however, that the parties may, by mutual agreement in writing, amend this contract to deal with such an event.</t>
    </r>
  </si>
  <si>
    <r>
      <t>The term pool site means the area comprising the water surface area and that portion of the ground surface extending to a distance of not more than four (4) feet (or to a distance required by local code for minimum decking) from the perimeter of the pool water surface</t>
    </r>
    <r>
      <rPr>
        <sz val="9"/>
        <color rgb="FF373737"/>
        <rFont val="Tahoma"/>
        <family val="2"/>
      </rPr>
      <t>.</t>
    </r>
  </si>
  <si>
    <r>
      <t xml:space="preserve">Unless specified on the face of the contract herein, none of the following </t>
    </r>
    <r>
      <rPr>
        <sz val="9"/>
        <color rgb="FF222222"/>
        <rFont val="Tahoma"/>
        <family val="2"/>
      </rPr>
      <t xml:space="preserve">are the </t>
    </r>
    <r>
      <rPr>
        <sz val="9"/>
        <color rgb="FF0C0C0C"/>
        <rFont val="Tahoma"/>
        <family val="2"/>
      </rPr>
      <t>Builder's responsibility and shall specifically be Buyer's responsibility: grading and drainage beyond pool site, decking, retaining walls and fencing.</t>
    </r>
  </si>
  <si>
    <r>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r>
    <r>
      <rPr>
        <sz val="9"/>
        <color rgb="FF464646"/>
        <rFont val="Tahoma"/>
        <family val="2"/>
      </rPr>
      <t>.</t>
    </r>
  </si>
  <si>
    <r>
      <t>Unless specifically included, electrical work contemplates no change to existing service panel other than the addition of circuit breakers or fuse blocks to distribute electrical current to new outlets. Changes to existing wiring not included</t>
    </r>
    <r>
      <rPr>
        <sz val="9"/>
        <color rgb="FF373737"/>
        <rFont val="Tahoma"/>
        <family val="2"/>
      </rPr>
      <t xml:space="preserve">.               </t>
    </r>
    <r>
      <rPr>
        <sz val="9"/>
        <color rgb="FF0C0C0C"/>
        <rFont val="Tahoma"/>
        <family val="2"/>
      </rPr>
      <t>ALL PANEL CHANGES ARE BUYER'S RESPONSIBILITY.</t>
    </r>
  </si>
  <si>
    <r>
      <t>Builder may assign or sub-contract all or any portion of the work to be done</t>
    </r>
    <r>
      <rPr>
        <sz val="9"/>
        <color rgb="FF373737"/>
        <rFont val="Tahoma"/>
        <family val="2"/>
      </rPr>
      <t>.</t>
    </r>
  </si>
  <si>
    <r>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r>
    <r>
      <rPr>
        <sz val="9"/>
        <color rgb="FF373737"/>
        <rFont val="Tahoma"/>
        <family val="2"/>
      </rPr>
      <t>.</t>
    </r>
  </si>
  <si>
    <r>
      <t>NOTICE: BY INITIALING IN THE SPACE BELOW YOU ARE AGREEING TO HAVE</t>
    </r>
    <r>
      <rPr>
        <sz val="9"/>
        <rFont val="Tahoma"/>
        <family val="2"/>
      </rPr>
      <t xml:space="preserve"> </t>
    </r>
    <r>
      <rPr>
        <b/>
        <sz val="9"/>
        <rFont val="Tahoma"/>
        <family val="2"/>
      </rPr>
      <t>ANY DISPUTE ARISING OUT OF THE MATTERS INCLUDED IN THE ARBITRATION</t>
    </r>
    <r>
      <rPr>
        <sz val="9"/>
        <rFont val="Tahoma"/>
        <family val="2"/>
      </rPr>
      <t xml:space="preserve"> </t>
    </r>
    <r>
      <rPr>
        <b/>
        <sz val="9"/>
        <rFont val="Tahoma"/>
        <family val="2"/>
      </rPr>
      <t>OF DISPUTES PROVISION DECIDED BY NEUTRAL ARBITRATION AS PROVIDED BY</t>
    </r>
    <r>
      <rPr>
        <sz val="9"/>
        <rFont val="Tahoma"/>
        <family val="2"/>
      </rPr>
      <t xml:space="preserve"> </t>
    </r>
    <r>
      <rPr>
        <b/>
        <sz val="9"/>
        <rFont val="Tahoma"/>
        <family val="2"/>
      </rPr>
      <t>CALIFORNIA LAW AND YOU ARE GIVING UP ANY RIGHTS YOU MIGHT POSSESS TO</t>
    </r>
    <r>
      <rPr>
        <sz val="9"/>
        <rFont val="Tahoma"/>
        <family val="2"/>
      </rPr>
      <t xml:space="preserve"> </t>
    </r>
    <r>
      <rPr>
        <b/>
        <sz val="9"/>
        <rFont val="Tahoma"/>
        <family val="2"/>
      </rPr>
      <t>HAVE THE DISPUTE LITIGATED IN A COURT OR JURY TRIAL. BY INITIALING IN</t>
    </r>
    <r>
      <rPr>
        <sz val="9"/>
        <rFont val="Tahoma"/>
        <family val="2"/>
      </rPr>
      <t xml:space="preserve"> </t>
    </r>
    <r>
      <rPr>
        <b/>
        <sz val="9"/>
        <rFont val="Tahoma"/>
        <family val="2"/>
      </rPr>
      <t>THE SPACE BELOW YOU ARE GIVING UP YOUR JUDICIAL RIGHTS TO DISCOVERY</t>
    </r>
    <r>
      <rPr>
        <sz val="9"/>
        <rFont val="Tahoma"/>
        <family val="2"/>
      </rPr>
      <t xml:space="preserve"> </t>
    </r>
    <r>
      <rPr>
        <b/>
        <sz val="9"/>
        <rFont val="Tahoma"/>
        <family val="2"/>
      </rPr>
      <t>AND APPEAL, UNLESS THOSE RIGHTS ARE SPECIFICALLY INCLUDED IN THE</t>
    </r>
    <r>
      <rPr>
        <sz val="9"/>
        <rFont val="Tahoma"/>
        <family val="2"/>
      </rPr>
      <t xml:space="preserve"> </t>
    </r>
    <r>
      <rPr>
        <b/>
        <sz val="9"/>
        <rFont val="Tahoma"/>
        <family val="2"/>
      </rPr>
      <t>ARBITRATION OF DISPUTES PROVISION. IF YOU REFUSE TO SUBMIT TO</t>
    </r>
    <r>
      <rPr>
        <sz val="9"/>
        <rFont val="Tahoma"/>
        <family val="2"/>
      </rPr>
      <t xml:space="preserve"> </t>
    </r>
    <r>
      <rPr>
        <b/>
        <sz val="9"/>
        <rFont val="Tahoma"/>
        <family val="2"/>
      </rPr>
      <t>ARBITRATION AFTER AGREEING TO THIS PROVISION, YOU MAY BE COMPELLED TO</t>
    </r>
    <r>
      <rPr>
        <sz val="9"/>
        <rFont val="Tahoma"/>
        <family val="2"/>
      </rPr>
      <t xml:space="preserve"> </t>
    </r>
    <r>
      <rPr>
        <b/>
        <sz val="9"/>
        <rFont val="Tahoma"/>
        <family val="2"/>
      </rPr>
      <t>ARBITRATE UNDER THE AUTHORITY OF THE BUSINESS AND PROFESSIONS CODE</t>
    </r>
    <r>
      <rPr>
        <sz val="9"/>
        <rFont val="Tahoma"/>
        <family val="2"/>
      </rPr>
      <t xml:space="preserve"> </t>
    </r>
    <r>
      <rPr>
        <b/>
        <sz val="9"/>
        <rFont val="Tahoma"/>
        <family val="2"/>
      </rPr>
      <t>OR OTHER APPLICABLE LAWS. YOUR AGREEMENT TO THIS ARBITRATION</t>
    </r>
    <r>
      <rPr>
        <sz val="9"/>
        <rFont val="Tahoma"/>
        <family val="2"/>
      </rPr>
      <t xml:space="preserve"> </t>
    </r>
    <r>
      <rPr>
        <b/>
        <sz val="9"/>
        <rFont val="Tahoma"/>
        <family val="2"/>
      </rPr>
      <t xml:space="preserve">PROVISION IS VOLUNTARY. </t>
    </r>
  </si>
  <si>
    <r>
      <t>WE HAVE READ AND UNDERSTAND THE FOREGOING</t>
    </r>
    <r>
      <rPr>
        <sz val="9"/>
        <rFont val="Tahoma"/>
        <family val="2"/>
      </rPr>
      <t xml:space="preserve"> </t>
    </r>
    <r>
      <rPr>
        <b/>
        <sz val="9"/>
        <rFont val="Tahoma"/>
        <family val="2"/>
      </rPr>
      <t>AND AGREE TO SUBMIT DISPUTES ARISING OUT OF THE MATTERS INCLUDED IN</t>
    </r>
    <r>
      <rPr>
        <sz val="9"/>
        <rFont val="Tahoma"/>
        <family val="2"/>
      </rPr>
      <t xml:space="preserve"> </t>
    </r>
    <r>
      <rPr>
        <b/>
        <sz val="9"/>
        <rFont val="Tahoma"/>
        <family val="2"/>
      </rPr>
      <t>THE ARBITRATION OF DISPUTES PROVISION TO NEUTRAL ARBITRATION.</t>
    </r>
    <r>
      <rPr>
        <sz val="9"/>
        <rFont val="Tahoma"/>
        <family val="2"/>
      </rPr>
      <t xml:space="preserve"> </t>
    </r>
  </si>
  <si>
    <t xml:space="preserve">Access to the backyard must be provided for the entire length of construction.  Work crews must be free to come and go and specific </t>
  </si>
  <si>
    <t>days or times for work to be done aretentative and subject to change without notice.  Animals cannot be loose in the backyard during working hours (7:00am - 6:00pm, Monday - Saturday).</t>
  </si>
  <si>
    <t xml:space="preserve">During construction, your backyard shall be considered a job-site and anyone entering the backyard does so at their own risk and </t>
  </si>
  <si>
    <t>assumes all liability for doing so. The only exception to this is any Premier Pools &amp; Spas respresentative which is covered under Premier Pools &amp; Spas corporate worker's compensation policy.</t>
  </si>
  <si>
    <t>Buyer is aware that they are responsible for watering their gunite shell 2-3 times a day for 7-10 days. (If tile is installed during this period,</t>
  </si>
  <si>
    <t xml:space="preserve"> please keep the tile dry for 24 hours)</t>
  </si>
  <si>
    <t>Requests for modifications to this contract or existing design must be confirmed in writing.  Any and all modifications will delay the</t>
  </si>
  <si>
    <t>construction process. Modifications (design, material, etc.) requested after the completion of excavation will incur a $250 plan revision cost in addition to the cost associated with the change.</t>
  </si>
  <si>
    <t xml:space="preserve">Buyer is aware that it is their responsibility to be home for their Pre-Interior inspection to allow the inspector to access their home.  </t>
  </si>
  <si>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</si>
  <si>
    <t xml:space="preserve">Buyer is aware they may incur additional expenses if special engineering is required.  These expenses will include the cost of the </t>
  </si>
  <si>
    <t>engineer site visit,  the engineering required, as well as, any additional construction specifications specified in the engineering.  Examples include: Sloped yards, Negative Edge Pools, Perimeter Overflow Pools, Hillside Pools, Pools built on Fill Dirt</t>
  </si>
  <si>
    <t xml:space="preserve">Premier Pools &amp; Spas is not responsible for final grading of the yard.  Elevation of the pool and surrounding decking is set on day of </t>
  </si>
  <si>
    <t>excavation to an elevation dictated by the design, existing concrete and existing grading in the yard. Grading beyond the pool area is often required and is the responsibility of the Buyer and is considered landscape grading.</t>
  </si>
  <si>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</si>
  <si>
    <t xml:space="preserve">Buyer is responsible for any damage to existing underground utilities - this includes but is not limited to sprinkler lines, cable lines water </t>
  </si>
  <si>
    <t xml:space="preserve">lines, electrical lines and drainagelines for the yard.  Buyer is also liable for any damage to existing property fences and retaining walls due to soil movement from excavation. </t>
  </si>
  <si>
    <t xml:space="preserve">Buyer is responsible for any damage to any existing concrete, sidewalks, driveways and patios. In some cases, Premier Pools &amp; Spas </t>
  </si>
  <si>
    <t>can repair these items for an additional fee.</t>
  </si>
  <si>
    <t xml:space="preserve">Concrete decking cannot be guaranteed for evenness of color and may not be the exact shade requested. These items are not covered </t>
  </si>
  <si>
    <t>under warranty. Installation of landcaping around the pool area is important to miimize soil errosion - please be sure to do this installation immediately upon completion of the pool.</t>
  </si>
  <si>
    <t xml:space="preserve">As the ground moves and shifts, it will inevitably crack your concrete decking.  We will make every effort to ensure the sub-base is </t>
  </si>
  <si>
    <t>properly prepared and compacted, however, this will only help minimize cracking and not eliminate the cracks altogether.  Cracks are not considered a defect and thus not covered under warranty.</t>
  </si>
  <si>
    <t xml:space="preserve">Rigid concrete placed on an expanding and contracting surface (earth) will indeed flex, resulting in the development of cracks. Although </t>
  </si>
  <si>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</si>
  <si>
    <t>Customer Name:</t>
  </si>
  <si>
    <t>-</t>
  </si>
  <si>
    <t>FIBERGLASS</t>
  </si>
  <si>
    <t>SHOTCRETE</t>
  </si>
  <si>
    <t>Buyer's Name:</t>
  </si>
  <si>
    <t>Email I:</t>
  </si>
  <si>
    <t>Phone I:</t>
  </si>
  <si>
    <t>Job Site Address:</t>
  </si>
  <si>
    <t>Phone II:</t>
  </si>
  <si>
    <t>City:</t>
  </si>
  <si>
    <t>Zip:</t>
  </si>
  <si>
    <t>Email II:</t>
  </si>
  <si>
    <t>DBA - PREMIER POOLS &amp; SPAS</t>
  </si>
  <si>
    <t xml:space="preserve">Premier Pool &amp; Spas ("Builder"), a licensed swimming pool contractor hereby agrees to sell and install to </t>
  </si>
  <si>
    <t>("Buyer") the</t>
  </si>
  <si>
    <t xml:space="preserve">swimming pool and related equipment to be installed at the </t>
  </si>
  <si>
    <t xml:space="preserve">for the cash price of </t>
  </si>
  <si>
    <t>, and</t>
  </si>
  <si>
    <t>Buyer agrees to purchase the work for said cash price.  Said cash price includes a non-refundable deposit of</t>
  </si>
  <si>
    <t>. The</t>
  </si>
  <si>
    <t xml:space="preserve">upaid cash price balance shall be paid in </t>
  </si>
  <si>
    <t>Construction to substanstially commence on or about:</t>
  </si>
  <si>
    <t>Construction to be substanstially complete on or about:</t>
  </si>
  <si>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</si>
  <si>
    <t>POOL SPECIFICATIONS</t>
  </si>
  <si>
    <t>Non-Refundable Deposit:</t>
  </si>
  <si>
    <t>30% - Completion of  Shell Install</t>
  </si>
  <si>
    <t>PAYMENT SCHEDULE</t>
  </si>
  <si>
    <t>installments. See Payment Schedule below.</t>
  </si>
  <si>
    <t>'     Surface Area:</t>
  </si>
  <si>
    <t>'   X</t>
  </si>
  <si>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</si>
  <si>
    <t>HOA APPROVAL REQUIRED?</t>
  </si>
  <si>
    <t>FINANCING REQUIRED?</t>
  </si>
  <si>
    <t>days of excavation.</t>
  </si>
  <si>
    <t>11. Clean-up and removal of construction debris</t>
  </si>
  <si>
    <t>12. 100% Non-Deductible Worker's Compensation</t>
  </si>
  <si>
    <t xml:space="preserve">13. Commercial general liability insurance </t>
  </si>
  <si>
    <t>14. Steel reinforcing as per Plan.</t>
  </si>
  <si>
    <t>PLUMBING &amp; EQUIPMENT</t>
  </si>
  <si>
    <t>15. Skimmer</t>
  </si>
  <si>
    <t>16. Surface Returns</t>
  </si>
  <si>
    <t>17. Auto-Fill with Anti-Siphon Valve</t>
  </si>
  <si>
    <t>18. All pool plumbing/piping and valves per plan</t>
  </si>
  <si>
    <t>19. Equipment pad for pool equipment</t>
  </si>
  <si>
    <t>20. Circulation Pump</t>
  </si>
  <si>
    <t>PLUMBING &amp; EQUIPMENT (continued)</t>
  </si>
  <si>
    <t>22. Auxiliary Pump I</t>
  </si>
  <si>
    <t>23. Auxiliary Pump II</t>
  </si>
  <si>
    <t>26. Sanitation III</t>
  </si>
  <si>
    <t>27. Cleaner</t>
  </si>
  <si>
    <t>28. Heater</t>
  </si>
  <si>
    <t>POOL SHELL / TILE / COPING &amp; DECKING</t>
  </si>
  <si>
    <t>Builder will ensure the pool deck will be installed with "fall" to ensure proper drainage. Getting water out of the yard is Buyer's responsibility.</t>
  </si>
  <si>
    <t>ELECTRICAL / CONTROLS</t>
  </si>
  <si>
    <t xml:space="preserve">      or underground lines - if required</t>
  </si>
  <si>
    <t xml:space="preserve">NO </t>
  </si>
  <si>
    <t>INTERIOR FINISH / START-UP / SERVICE</t>
  </si>
  <si>
    <t>Standard Pebble</t>
  </si>
  <si>
    <t>Stone</t>
  </si>
  <si>
    <t>Date:</t>
  </si>
  <si>
    <t>This is a contract and constitutes the entire contract and the parties are not bound by any oral expression or representation by any agent of either pert purporting to act for or on behalf of either party or by commitment or arrangement not specified in the contract.</t>
  </si>
  <si>
    <t>340 SQFT Cartridge</t>
  </si>
  <si>
    <t>' of 18"</t>
  </si>
  <si>
    <t>' of 42"</t>
  </si>
  <si>
    <t>3' Sheer Descent</t>
  </si>
  <si>
    <t>This location is independently owned and operated.</t>
  </si>
  <si>
    <r>
      <t xml:space="preserve">Builder </t>
    </r>
    <r>
      <rPr>
        <sz val="9"/>
        <rFont val="Arial"/>
        <family val="2"/>
      </rPr>
      <t>(Print)</t>
    </r>
    <r>
      <rPr>
        <sz val="10"/>
        <rFont val="Arial"/>
        <family val="2"/>
      </rPr>
      <t>:</t>
    </r>
  </si>
  <si>
    <r>
      <t xml:space="preserve">Buyer </t>
    </r>
    <r>
      <rPr>
        <sz val="9"/>
        <rFont val="Arial"/>
        <family val="2"/>
      </rPr>
      <t>(Print)</t>
    </r>
    <r>
      <rPr>
        <sz val="10"/>
        <rFont val="Arial"/>
        <family val="2"/>
      </rPr>
      <t>:</t>
    </r>
  </si>
  <si>
    <r>
      <t xml:space="preserve">Builder </t>
    </r>
    <r>
      <rPr>
        <sz val="9"/>
        <rFont val="Arial"/>
        <family val="2"/>
      </rPr>
      <t>(Signature)</t>
    </r>
    <r>
      <rPr>
        <sz val="10"/>
        <rFont val="Arial"/>
        <family val="2"/>
      </rPr>
      <t>:</t>
    </r>
  </si>
  <si>
    <r>
      <t xml:space="preserve">Buyer </t>
    </r>
    <r>
      <rPr>
        <sz val="9"/>
        <rFont val="Arial"/>
        <family val="2"/>
      </rPr>
      <t>(Signature)</t>
    </r>
    <r>
      <rPr>
        <sz val="10"/>
        <rFont val="Arial"/>
        <family val="2"/>
      </rPr>
      <t>:</t>
    </r>
  </si>
  <si>
    <t>Premier Pools &amp; Spas pricing assumes payments made by personal check, cashier's check, or e-payment.</t>
  </si>
  <si>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</si>
  <si>
    <t>1.85HP Variable Speed</t>
  </si>
  <si>
    <t>2.7HP Variable Speed</t>
  </si>
  <si>
    <t>PUMPS</t>
  </si>
  <si>
    <t>FILTERS</t>
  </si>
  <si>
    <t>250 SQFT Cartridge</t>
  </si>
  <si>
    <t>460 SQFT Cartridge</t>
  </si>
  <si>
    <t>580 SQFT Cartridge</t>
  </si>
  <si>
    <t>SANITATION</t>
  </si>
  <si>
    <t>CLEANERS</t>
  </si>
  <si>
    <t>Pressure Cleaner</t>
  </si>
  <si>
    <t>In-Floor System</t>
  </si>
  <si>
    <t>HEATERS</t>
  </si>
  <si>
    <t>Propane</t>
  </si>
  <si>
    <t>Natural Gas</t>
  </si>
  <si>
    <t>400k BTU JXI - STD</t>
  </si>
  <si>
    <t>400k BTU JXI - VersaFlo</t>
  </si>
  <si>
    <t>130k Heat/Chill Pump</t>
  </si>
  <si>
    <t>DAYS</t>
  </si>
  <si>
    <t>SKIMMER</t>
  </si>
  <si>
    <t>RETURNS</t>
  </si>
  <si>
    <t>WATERLINE</t>
  </si>
  <si>
    <t>Included</t>
  </si>
  <si>
    <t>ACCENT</t>
  </si>
  <si>
    <t>Marker Tiles</t>
  </si>
  <si>
    <t>RBB FACING</t>
  </si>
  <si>
    <t>Panel Ledge</t>
  </si>
  <si>
    <t>COPING</t>
  </si>
  <si>
    <t>Cantilever Concrete</t>
  </si>
  <si>
    <t>Concrete Paver</t>
  </si>
  <si>
    <t>Concrete - Broom Finish</t>
  </si>
  <si>
    <t>Concrete - Stamped</t>
  </si>
  <si>
    <t>LIGHTS</t>
  </si>
  <si>
    <t>12 Watt - Nicheless</t>
  </si>
  <si>
    <t>24 Watt - Nicheless</t>
  </si>
  <si>
    <t>CONTROLS</t>
  </si>
  <si>
    <t>IQ Pump</t>
  </si>
  <si>
    <t>iAqualink - P4</t>
  </si>
  <si>
    <t>iAqualink - P8</t>
  </si>
  <si>
    <t>iAqaulink - PS4</t>
  </si>
  <si>
    <t>iAqualink - PS6</t>
  </si>
  <si>
    <t>iAqualink - PS8</t>
  </si>
  <si>
    <t>SHEERS</t>
  </si>
  <si>
    <t>1' Sheer Descent</t>
  </si>
  <si>
    <t>2' Sheer Descent</t>
  </si>
  <si>
    <t>4' Sheer Descent</t>
  </si>
  <si>
    <t>5' Sheer Descent</t>
  </si>
  <si>
    <t>BOWLS</t>
  </si>
  <si>
    <t>Metal</t>
  </si>
  <si>
    <t>DECK JETS</t>
  </si>
  <si>
    <t>Standard</t>
  </si>
  <si>
    <t>LAMINARS</t>
  </si>
  <si>
    <t>LED</t>
  </si>
  <si>
    <t>SCUPPERS</t>
  </si>
  <si>
    <t>ROCK WATERFALL</t>
  </si>
  <si>
    <t>30 SQFT - Level 1</t>
  </si>
  <si>
    <t>30 SQFT - Level 2</t>
  </si>
  <si>
    <t>30 SQFT - Level 3</t>
  </si>
  <si>
    <t>40 SQFT - Level 1</t>
  </si>
  <si>
    <t>40 SQFT - Level 2</t>
  </si>
  <si>
    <t>40 SQFT - Level 3</t>
  </si>
  <si>
    <t>50 SQFT - Level 1</t>
  </si>
  <si>
    <t>50 SQFT - Level 2</t>
  </si>
  <si>
    <t>50 SQFT - Level 3</t>
  </si>
  <si>
    <t>BEAM / NOTCHED</t>
  </si>
  <si>
    <t>Level 1</t>
  </si>
  <si>
    <t>Level 2</t>
  </si>
  <si>
    <t>Level 3</t>
  </si>
  <si>
    <t>INTERIOR</t>
  </si>
  <si>
    <t>DAMWALL</t>
  </si>
  <si>
    <t>YES / NO</t>
  </si>
  <si>
    <t>RAISED SPA</t>
  </si>
  <si>
    <t>81.</t>
  </si>
  <si>
    <t>TYPE</t>
  </si>
  <si>
    <t>BY</t>
  </si>
  <si>
    <t>29. Gas line</t>
  </si>
  <si>
    <t>30. Line Type</t>
  </si>
  <si>
    <t>LINE TYPE</t>
  </si>
  <si>
    <t>14. Clean gravel backfill for pool shell</t>
  </si>
  <si>
    <t>31. Fiberglass Shell installed per Manufacturer Specs</t>
  </si>
  <si>
    <t>31. Pneumatically applied shotcrete shell - Per Code</t>
  </si>
  <si>
    <t>32. Waterline Tile</t>
  </si>
  <si>
    <t>33. Accent Tile on steps and benches</t>
  </si>
  <si>
    <t>34. Raised Beam</t>
  </si>
  <si>
    <t>35. Raised Beam Facing I</t>
  </si>
  <si>
    <t>36. Raised Beam Facing II</t>
  </si>
  <si>
    <t>37. Coping</t>
  </si>
  <si>
    <t>38. Decking</t>
  </si>
  <si>
    <t>44. Pool Light(s) I</t>
  </si>
  <si>
    <t>45. Pool Light(s) II</t>
  </si>
  <si>
    <t>46. Controls</t>
  </si>
  <si>
    <t>47. Valve Actuator for Water Features</t>
  </si>
  <si>
    <t>48. Sheer Descent I:</t>
  </si>
  <si>
    <t>49. Sheer Descent II:</t>
  </si>
  <si>
    <t>50. Bowls:</t>
  </si>
  <si>
    <t>51. Deck Jets</t>
  </si>
  <si>
    <t>52. Laminar Jets</t>
  </si>
  <si>
    <t>53. Scuppers or Sconces</t>
  </si>
  <si>
    <t>54. Rock Waterfall I</t>
  </si>
  <si>
    <t>55. Rock Waterfall II</t>
  </si>
  <si>
    <t>56. Beam Rock</t>
  </si>
  <si>
    <t>57. Notched Rock</t>
  </si>
  <si>
    <t>58. Interior Finish</t>
  </si>
  <si>
    <t>59. Initial filling of pool and/or spa</t>
  </si>
  <si>
    <t>60. Brushing of the pool interior</t>
  </si>
  <si>
    <t xml:space="preserve">61. Start-up </t>
  </si>
  <si>
    <t>62. 30 Days of Chemical Only Pool Service</t>
  </si>
  <si>
    <t>71. Raised Spa</t>
  </si>
  <si>
    <t>72. Raised Spa Facing</t>
  </si>
  <si>
    <t>82.</t>
  </si>
  <si>
    <t>QTY</t>
  </si>
  <si>
    <t>NON-PEBBLE FINISHES</t>
  </si>
  <si>
    <t>Shading and color variation is a natural occurrence in all non-pebble interior finishes.</t>
  </si>
  <si>
    <t>The original color will fade over time due to sun and chemical exposure.</t>
  </si>
  <si>
    <t>PEBBLE FINISHES</t>
  </si>
  <si>
    <t xml:space="preserve">Proper water chemistry levels (Chlorine, pH, Alkalinity, etc.) are imperative to ensure a long-lasting, durable and attractive interior finish. </t>
  </si>
  <si>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</si>
  <si>
    <t>Interior finish cannot be guaranteed for evenness of color and may not be the exact shade requested.</t>
  </si>
  <si>
    <t xml:space="preserve">Non-Pebble interior finishes have a tendency to be streaked, blotchy and have a mottled appearance.  These are not workmanship </t>
  </si>
  <si>
    <t>items and thus not covered under warranty.</t>
  </si>
  <si>
    <t>Crazing (cracks in the surface) are unavoidable with non-pebble interior finishes and will be more pronounced with darker colors.  Again,</t>
  </si>
  <si>
    <t>these are not workmanship items and thus are not covered under warranty.</t>
  </si>
  <si>
    <t xml:space="preserve">Pebble interior finishes are natural products and as such will have a certain amount of unevenness or variation in the exposure of the </t>
  </si>
  <si>
    <t>(where the pool wall and pool floor meet).</t>
  </si>
  <si>
    <t xml:space="preserve">pebbles. This is part of the beauty of these finishes and is most common on the edges of the steps and benches, as well as, the coves </t>
  </si>
  <si>
    <t xml:space="preserve">During the first year, your pool will continuously lose pebbles.  This is to be expected and is not cause for concern; nor will it diminish </t>
  </si>
  <si>
    <t>the durability of the interior finish.</t>
  </si>
  <si>
    <t>Gelcoat interior cannot be guaranteed for evenness of color and may not be the exact shade requested.</t>
  </si>
  <si>
    <t>Your fiberglass pool will NOT be level. Indutstry Standard allows up to 1" of elevation change. Our team will do everything we can to</t>
  </si>
  <si>
    <t>ensure the pool is installed as level as possible.  However, a level install is not realistic and will not impact the performance of the shell.</t>
  </si>
  <si>
    <t>Fiberglass shell(s) is to remain full of water at all times.  NEVER DRAIN YOUR FIBERGLASS POOL OR SPA.</t>
  </si>
  <si>
    <t>Hairline (spider) cracks in the gelcoat are expected.  They are cosmetic, not structural, and thus not covered under warranty.</t>
  </si>
  <si>
    <t xml:space="preserve">Proper yard drainage is particularly important around fiberglass pool shells.  Please ensure that the yard drains effectively around the  </t>
  </si>
  <si>
    <t>pool shell.  Minimizing the amount of ground water around the pool is vital to the long-term structural integrity of the shell, as well as,</t>
  </si>
  <si>
    <t>the installation itself.</t>
  </si>
  <si>
    <t>Page 6 of 6</t>
  </si>
  <si>
    <t>Page 5 of 6</t>
  </si>
  <si>
    <t>Page 4 of 6</t>
  </si>
  <si>
    <t>Page 3 of 6</t>
  </si>
  <si>
    <t>Page 2 of 6</t>
  </si>
  <si>
    <t>Page 1 of 6</t>
  </si>
  <si>
    <t>30% - Completion of Coping &amp; Decking</t>
  </si>
  <si>
    <t>30% - Completion of Permit Approval</t>
  </si>
  <si>
    <t>Natural stone is a product of nature; variations in color, pattern, texture and veining are unavoidable and add to their beauty.</t>
  </si>
  <si>
    <t xml:space="preserve">It is common for portions of the decking to "puddle" with water after heavy rainfall.  </t>
  </si>
  <si>
    <t xml:space="preserve">Every fiberglass pool is slightly different when it is pulled off the "mold".  Dimensions are pulled from the backside of the beam. As a </t>
  </si>
  <si>
    <t>result, the inside (finished) dimension of the pool will be shorter than the dimensions specified on page 1 of this agreement.</t>
  </si>
  <si>
    <t>This same tolerance applies to staight walls of the pool.</t>
  </si>
  <si>
    <t>As a result of water chemistry and sun exposure, your gelcoat interior finish will fade over time. The gel coat under the water will fade</t>
  </si>
  <si>
    <t>at a different rate than gelcoat that is out of the water.</t>
  </si>
  <si>
    <t>Safety is one of our top priorities. If the pool shell is to be craned into the property, please ensure no one is inside the home at the time</t>
  </si>
  <si>
    <t xml:space="preserve"> of the installation.</t>
  </si>
  <si>
    <t>The durability of a pebble finish comes from the surface material being primarily aggregate. Although these stones give the pool an</t>
  </si>
  <si>
    <t>extremely durable finish, they also give the surface a potentially "textured" or "rough" feel.</t>
  </si>
  <si>
    <t>801 Clanton Rd. Suite C104</t>
  </si>
  <si>
    <t>Charlote, NC 28216</t>
  </si>
  <si>
    <t>(704) 349-3894</t>
  </si>
  <si>
    <t>PLATINUM Pools and Spas Corp</t>
  </si>
  <si>
    <t xml:space="preserve">30% - Prior to Shotcete </t>
  </si>
  <si>
    <t>30% - Prior to Decking</t>
  </si>
  <si>
    <t xml:space="preserve">10% - Prior to Interior Finish </t>
  </si>
  <si>
    <t>30% - Prior to Excavation</t>
  </si>
  <si>
    <t>10% - Prior to Start Up</t>
  </si>
  <si>
    <t>SF</t>
  </si>
  <si>
    <t>Approx SF</t>
  </si>
  <si>
    <t>40. Downspout Drainage</t>
  </si>
  <si>
    <t>TCX Controller</t>
  </si>
  <si>
    <t xml:space="preserve">Buyer understands that if their digs hits rock, water, or hard soil there will be an additional charge of TBD per day to complete the </t>
  </si>
  <si>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15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</si>
  <si>
    <t>Infinite Water Colors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</si>
</sst>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quot;$&quot;#,##0.00"/>
  </numFmts>
  <fonts count="24">
    <font>
      <sz val="10"/>
      <name val="Arial"/>
      <family val="2"/>
    </font>
    <font>
      <sz val="11"/>
      <color theme="1"/>
      <name val="Calibri"/>
      <family val="2"/>
      <scheme val="minor"/>
    </font>
    <font>
      <sz val="10"/>
      <name val="Arial"/>
      <family val="2"/>
    </font>
    <font>
      <b/>
      <sz val="12"/>
      <name val="Arial"/>
      <family val="2"/>
    </font>
    <font>
      <b/>
      <sz val="10"/>
      <name val="Arial"/>
      <family val="2"/>
    </font>
    <font>
      <sz val="9"/>
      <name val="Arial"/>
      <family val="2"/>
    </font>
    <font>
      <b/>
      <sz val="11"/>
      <name val="Arial"/>
      <family val="2"/>
    </font>
    <font>
      <sz val="8"/>
      <name val="Arial"/>
      <family val="2"/>
    </font>
    <font>
      <sz val="12"/>
      <color theme="1"/>
      <name val="Calibri"/>
      <family val="2"/>
      <scheme val="minor"/>
    </font>
    <font>
      <sz val="10"/>
      <color theme="1"/>
      <name val="Arial"/>
      <family val="2"/>
    </font>
    <font>
      <sz val="8"/>
      <color rgb="FF0C0C0C"/>
      <name val="Tahoma"/>
      <family val="2"/>
    </font>
    <font>
      <u/>
      <sz val="10"/>
      <color indexed="12"/>
      <name val="Arial"/>
      <family val="2"/>
    </font>
    <font>
      <b/>
      <sz val="9"/>
      <color rgb="FF0C0C0C"/>
      <name val="Tahoma"/>
      <family val="2"/>
    </font>
    <font>
      <sz val="9"/>
      <color rgb="FF0C0C0C"/>
      <name val="Tahoma"/>
      <family val="2"/>
    </font>
    <font>
      <sz val="9"/>
      <color rgb="FF222222"/>
      <name val="Tahoma"/>
      <family val="2"/>
    </font>
    <font>
      <sz val="9"/>
      <color rgb="FF373737"/>
      <name val="Tahoma"/>
      <family val="2"/>
    </font>
    <font>
      <sz val="9"/>
      <color rgb="FF464646"/>
      <name val="Tahoma"/>
      <family val="2"/>
    </font>
    <font>
      <b/>
      <sz val="9"/>
      <name val="Tahoma"/>
      <family val="2"/>
    </font>
    <font>
      <sz val="9"/>
      <name val="Tahoma"/>
      <family val="2"/>
    </font>
    <font>
      <b/>
      <sz val="18"/>
      <color theme="3" tint="-0.249977111117893"/>
      <name val="Arial"/>
      <family val="2"/>
    </font>
    <font>
      <sz val="10"/>
      <name val="Swis721 BT"/>
      <family val="2"/>
    </font>
    <font>
      <b/>
      <sz val="9"/>
      <color indexed="9"/>
      <name val="Swis721 BT"/>
      <family val="2"/>
    </font>
    <font>
      <b/>
      <sz val="10"/>
      <color theme="3"/>
      <name val="Swis721 BT"/>
      <family val="2"/>
    </font>
    <font>
      <sz val="10"/>
      <color rgb="FF2E3238"/>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28">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0" fontId="11"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0" fillId="9" borderId="0" applyNumberFormat="0" applyFont="0" applyAlignment="0" applyProtection="0"/>
    <xf numFmtId="0" fontId="21" fillId="8" borderId="0">
      <alignment horizontal="right"/>
    </xf>
    <xf numFmtId="0" fontId="20" fillId="7" borderId="0">
      <alignment horizontal="right"/>
    </xf>
    <xf numFmtId="0" fontId="2" fillId="0" borderId="0"/>
    <xf numFmtId="0" fontId="1"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0" fontId="22" fillId="0" borderId="13">
      <alignment horizontal="left"/>
    </xf>
    <xf numFmtId="0" fontId="8" fillId="0" borderId="0"/>
  </cellStyleXfs>
  <cellXfs count="167">
    <xf numFmtId="0" fontId="0" fillId="0" borderId="0" xfId="0"/>
    <xf numFmtId="0" fontId="3" fillId="0" borderId="0" xfId="0" applyFont="1"/>
    <xf numFmtId="0" fontId="2" fillId="0" borderId="0" xfId="0" applyFont="1" applyAlignment="1">
      <alignment horizontal="center"/>
    </xf>
    <xf numFmtId="0" fontId="0" fillId="0" borderId="3" xfId="0" applyBorder="1"/>
    <xf numFmtId="0" fontId="0" fillId="0" borderId="4" xfId="0" applyBorder="1"/>
    <xf numFmtId="0" fontId="0" fillId="0" borderId="5" xfId="0" applyBorder="1"/>
    <xf numFmtId="0" fontId="0" fillId="0" borderId="0" xfId="0" applyAlignment="1">
      <alignment horizontal="center"/>
    </xf>
    <xf numFmtId="0" fontId="2" fillId="0" borderId="0" xfId="0" applyFont="1"/>
    <xf numFmtId="0" fontId="4"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0" fontId="4" fillId="0" borderId="2" xfId="0" applyFont="1" applyBorder="1" applyAlignment="1">
      <alignment horizontal="center"/>
    </xf>
    <xf numFmtId="0" fontId="10" fillId="0" borderId="0" xfId="0" applyFont="1" applyAlignment="1">
      <alignment horizontal="justify"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left" vertical="top" wrapText="1"/>
    </xf>
    <xf numFmtId="0" fontId="0" fillId="0" borderId="0" xfId="0" quotePrefix="1"/>
    <xf numFmtId="0" fontId="0" fillId="0" borderId="0" xfId="0" applyAlignment="1">
      <alignment vertical="center"/>
    </xf>
    <xf numFmtId="0" fontId="0" fillId="0" borderId="0" xfId="0" quotePrefix="1" applyAlignment="1">
      <alignment vertical="center"/>
    </xf>
    <xf numFmtId="0" fontId="0" fillId="0" borderId="7" xfId="0" applyBorder="1"/>
    <xf numFmtId="0" fontId="0" fillId="0" borderId="22" xfId="0" applyBorder="1"/>
    <xf numFmtId="165" fontId="0" fillId="0" borderId="0" xfId="0" applyNumberFormat="1"/>
    <xf numFmtId="165" fontId="0" fillId="0" borderId="0" xfId="0" applyNumberFormat="1" applyAlignment="1">
      <alignment horizontal="center"/>
    </xf>
    <xf numFmtId="0" fontId="0" fillId="0" borderId="0" xfId="0" quotePrefix="1" applyAlignment="1">
      <alignment horizontal="left"/>
    </xf>
    <xf numFmtId="0" fontId="2" fillId="0" borderId="0" xfId="0" applyFont="1" applyAlignment="1">
      <alignment horizontal="center" vertical="center" wrapText="1"/>
    </xf>
    <xf numFmtId="165" fontId="0" fillId="0" borderId="0" xfId="0" applyNumberFormat="1" applyAlignment="1">
      <alignment horizontal="left"/>
    </xf>
    <xf numFmtId="165" fontId="0" fillId="0" borderId="22" xfId="0" applyNumberFormat="1" applyBorder="1" applyAlignment="1">
      <alignment horizontal="left"/>
    </xf>
    <xf numFmtId="0" fontId="0" fillId="0" borderId="0" xfId="0" applyAlignment="1">
      <alignment horizontal="center" vertical="center"/>
    </xf>
    <xf numFmtId="0" fontId="0" fillId="0" borderId="0" xfId="0" applyAlignment="1">
      <alignment horizontal="right" vertical="center"/>
    </xf>
    <xf numFmtId="0" fontId="7" fillId="0" borderId="0" xfId="0" quotePrefix="1" applyFont="1" applyAlignment="1">
      <alignment horizontal="left" vertical="center"/>
    </xf>
    <xf numFmtId="0" fontId="0" fillId="0" borderId="2" xfId="0" applyBorder="1" applyAlignment="1">
      <alignment horizontal="center" vertical="center"/>
    </xf>
    <xf numFmtId="0" fontId="0" fillId="0" borderId="0" xfId="0" applyAlignment="1">
      <alignment horizontal="right"/>
    </xf>
    <xf numFmtId="0" fontId="0" fillId="0" borderId="0" xfId="0" applyAlignment="1">
      <alignment horizontal="right" vertical="center" wrapText="1"/>
    </xf>
    <xf numFmtId="0" fontId="0" fillId="0" borderId="0" xfId="0" applyAlignment="1">
      <alignment vertical="center" wrapText="1"/>
    </xf>
    <xf numFmtId="165" fontId="0" fillId="4" borderId="18" xfId="0" applyNumberFormat="1" applyFill="1" applyBorder="1" applyAlignment="1">
      <alignment horizont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0" fillId="0" borderId="15"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14" xfId="0" applyBorder="1" applyAlignment="1">
      <alignment vertical="center"/>
    </xf>
    <xf numFmtId="0" fontId="0" fillId="0" borderId="20" xfId="0" applyBorder="1" applyAlignment="1">
      <alignment vertical="center"/>
    </xf>
    <xf numFmtId="0" fontId="0" fillId="0" borderId="24" xfId="0" applyBorder="1" applyAlignment="1">
      <alignment vertical="center"/>
    </xf>
    <xf numFmtId="0" fontId="0" fillId="0" borderId="2" xfId="0" applyBorder="1" applyAlignment="1">
      <alignment vertical="center"/>
    </xf>
    <xf numFmtId="0" fontId="0" fillId="0" borderId="25" xfId="0" applyBorder="1" applyAlignment="1">
      <alignment vertical="center"/>
    </xf>
    <xf numFmtId="0" fontId="4" fillId="0" borderId="13" xfId="0" applyFont="1" applyBorder="1"/>
    <xf numFmtId="0" fontId="0" fillId="0" borderId="12" xfId="0" applyBorder="1"/>
    <xf numFmtId="0" fontId="4" fillId="0" borderId="15" xfId="0" applyFont="1" applyBorder="1"/>
    <xf numFmtId="0" fontId="0" fillId="0" borderId="1" xfId="0" applyBorder="1"/>
    <xf numFmtId="0" fontId="0" fillId="0" borderId="23" xfId="0" applyBorder="1"/>
    <xf numFmtId="0" fontId="0" fillId="6" borderId="2" xfId="0" applyFill="1" applyBorder="1" applyAlignment="1">
      <alignment horizontal="center"/>
    </xf>
    <xf numFmtId="164" fontId="4" fillId="6" borderId="18" xfId="0" applyNumberFormat="1" applyFont="1" applyFill="1" applyBorder="1" applyAlignment="1">
      <alignment horizontal="center" vertical="center"/>
    </xf>
    <xf numFmtId="0" fontId="4" fillId="0" borderId="16" xfId="0" applyFont="1" applyBorder="1"/>
    <xf numFmtId="0" fontId="0" fillId="0" borderId="17" xfId="0" applyBorder="1" applyAlignment="1">
      <alignment horizontal="left"/>
    </xf>
    <xf numFmtId="0" fontId="0" fillId="0" borderId="26" xfId="0" applyBorder="1" applyAlignment="1">
      <alignment horizontal="left"/>
    </xf>
    <xf numFmtId="0" fontId="0" fillId="0" borderId="27" xfId="0" applyBorder="1"/>
    <xf numFmtId="164" fontId="0" fillId="0" borderId="17" xfId="0" applyNumberFormat="1" applyBorder="1" applyAlignment="1">
      <alignment horizontal="left"/>
    </xf>
    <xf numFmtId="164" fontId="0" fillId="0" borderId="26" xfId="0" applyNumberFormat="1" applyBorder="1" applyAlignment="1">
      <alignment horizontal="left"/>
    </xf>
    <xf numFmtId="164" fontId="0" fillId="0" borderId="27" xfId="0" applyNumberFormat="1" applyBorder="1"/>
    <xf numFmtId="0" fontId="4" fillId="0" borderId="12" xfId="0" applyFont="1" applyBorder="1"/>
    <xf numFmtId="0" fontId="0" fillId="0" borderId="15" xfId="0" applyBorder="1"/>
    <xf numFmtId="0" fontId="0" fillId="0" borderId="14" xfId="0" applyBorder="1"/>
    <xf numFmtId="0" fontId="0" fillId="0" borderId="20" xfId="0" applyBorder="1"/>
    <xf numFmtId="0" fontId="0" fillId="0" borderId="24" xfId="0" applyBorder="1"/>
    <xf numFmtId="0" fontId="0" fillId="0" borderId="25" xfId="0" applyBorder="1"/>
    <xf numFmtId="0" fontId="0" fillId="0" borderId="2" xfId="0" applyBorder="1"/>
    <xf numFmtId="0" fontId="0" fillId="0" borderId="17" xfId="0" applyBorder="1"/>
    <xf numFmtId="0" fontId="0" fillId="0" borderId="26" xfId="0" applyBorder="1"/>
    <xf numFmtId="0" fontId="4" fillId="0" borderId="16" xfId="0" applyFont="1" applyBorder="1" applyAlignment="1">
      <alignment horizontal="center"/>
    </xf>
    <xf numFmtId="0" fontId="0" fillId="6" borderId="2" xfId="0" quotePrefix="1" applyFill="1" applyBorder="1" applyAlignment="1">
      <alignment horizontal="center"/>
    </xf>
    <xf numFmtId="0" fontId="4" fillId="0" borderId="17" xfId="0" applyFont="1" applyBorder="1" applyAlignment="1">
      <alignment horizontal="center"/>
    </xf>
    <xf numFmtId="0" fontId="6" fillId="0" borderId="0" xfId="0" applyFont="1"/>
    <xf numFmtId="164" fontId="0" fillId="6" borderId="2" xfId="0" applyNumberFormat="1" applyFill="1" applyBorder="1" applyAlignment="1">
      <alignment horizontal="center"/>
    </xf>
    <xf numFmtId="164" fontId="0" fillId="6" borderId="2" xfId="0" quotePrefix="1" applyNumberFormat="1" applyFill="1" applyBorder="1" applyAlignment="1">
      <alignment horizontal="center"/>
    </xf>
    <xf numFmtId="0" fontId="4" fillId="4" borderId="13" xfId="0" applyFont="1" applyFill="1" applyBorder="1" applyAlignment="1">
      <alignment horizontal="center"/>
    </xf>
    <xf numFmtId="0" fontId="4" fillId="4" borderId="12" xfId="0" applyFont="1" applyFill="1" applyBorder="1" applyAlignment="1">
      <alignment horizontal="center"/>
    </xf>
    <xf numFmtId="0" fontId="23" fillId="0" borderId="14" xfId="0" applyFont="1" applyBorder="1" applyAlignment="1">
      <alignment horizontal="left"/>
    </xf>
    <xf numFmtId="0" fontId="23" fillId="0" borderId="0" xfId="0" applyFont="1" applyAlignment="1">
      <alignment horizontal="left"/>
    </xf>
    <xf numFmtId="0" fontId="0" fillId="0" borderId="0" xfId="0" applyAlignment="1">
      <alignment horizontal="left"/>
    </xf>
    <xf numFmtId="0" fontId="0" fillId="0" borderId="14" xfId="0" applyBorder="1" applyAlignment="1">
      <alignment horizontal="left"/>
    </xf>
    <xf numFmtId="0" fontId="0" fillId="0" borderId="0" xfId="0" applyAlignment="1">
      <alignment horizontal="right" vertical="center"/>
    </xf>
    <xf numFmtId="0" fontId="0" fillId="0" borderId="20" xfId="0" applyBorder="1" applyAlignment="1">
      <alignment horizontal="right" vertical="center"/>
    </xf>
    <xf numFmtId="0" fontId="0" fillId="0" borderId="13" xfId="0" applyBorder="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0" fillId="0" borderId="0" xfId="0" applyAlignment="1">
      <alignment horizontal="center" vertical="center" wrapText="1"/>
    </xf>
    <xf numFmtId="0" fontId="4" fillId="0" borderId="2" xfId="0" applyFont="1" applyBorder="1" applyAlignment="1">
      <alignment horizontal="center"/>
    </xf>
    <xf numFmtId="0" fontId="0" fillId="0" borderId="0" xfId="0" applyAlignment="1">
      <alignment horizontal="left" vertical="top" wrapText="1"/>
    </xf>
    <xf numFmtId="0" fontId="4" fillId="0" borderId="13" xfId="0" applyFont="1" applyBorder="1" applyAlignment="1">
      <alignment horizontal="center"/>
    </xf>
    <xf numFmtId="0" fontId="4" fillId="0" borderId="6" xfId="0" applyFont="1" applyBorder="1" applyAlignment="1">
      <alignment horizontal="center"/>
    </xf>
    <xf numFmtId="0" fontId="4" fillId="0" borderId="12" xfId="0" applyFont="1" applyBorder="1" applyAlignment="1">
      <alignment horizontal="center"/>
    </xf>
    <xf numFmtId="0" fontId="4" fillId="0" borderId="15" xfId="0" applyFont="1" applyBorder="1" applyAlignment="1">
      <alignment horizontal="center"/>
    </xf>
    <xf numFmtId="0" fontId="4" fillId="0" borderId="1" xfId="0" applyFont="1" applyBorder="1" applyAlignment="1">
      <alignment horizontal="center"/>
    </xf>
    <xf numFmtId="0" fontId="4" fillId="0" borderId="23" xfId="0" applyFont="1" applyBorder="1" applyAlignment="1">
      <alignment horizontal="center"/>
    </xf>
    <xf numFmtId="0" fontId="0" fillId="6" borderId="1" xfId="0" applyFill="1" applyBorder="1" applyAlignment="1">
      <alignment horizontal="center"/>
    </xf>
    <xf numFmtId="0" fontId="0" fillId="6" borderId="13" xfId="0" applyFill="1" applyBorder="1" applyAlignment="1">
      <alignment horizontal="center"/>
    </xf>
    <xf numFmtId="0" fontId="0" fillId="6" borderId="6" xfId="0" applyFill="1" applyBorder="1" applyAlignment="1">
      <alignment horizontal="center"/>
    </xf>
    <xf numFmtId="0" fontId="0" fillId="6" borderId="12" xfId="0" applyFill="1" applyBorder="1" applyAlignment="1">
      <alignment horizontal="center"/>
    </xf>
    <xf numFmtId="0" fontId="19" fillId="3" borderId="7" xfId="0" applyFont="1" applyFill="1" applyBorder="1" applyAlignment="1">
      <alignment horizontal="center"/>
    </xf>
    <xf numFmtId="0" fontId="19" fillId="3" borderId="0" xfId="0" applyFont="1" applyFill="1" applyAlignment="1">
      <alignment horizontal="center"/>
    </xf>
    <xf numFmtId="0" fontId="0" fillId="6" borderId="13" xfId="0" applyFill="1" applyBorder="1" applyAlignment="1">
      <alignment horizontal="center" vertical="center"/>
    </xf>
    <xf numFmtId="0" fontId="0" fillId="6" borderId="6" xfId="0" applyFill="1" applyBorder="1" applyAlignment="1">
      <alignment horizontal="center" vertical="center"/>
    </xf>
    <xf numFmtId="0" fontId="0" fillId="6" borderId="12" xfId="0" applyFill="1" applyBorder="1" applyAlignment="1">
      <alignment horizontal="center" vertic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4" fillId="0" borderId="0" xfId="0" applyFont="1" applyAlignment="1">
      <alignment horizontal="center"/>
    </xf>
    <xf numFmtId="0" fontId="0" fillId="0" borderId="0" xfId="0" applyAlignment="1">
      <alignment horizontal="center" vertical="center"/>
    </xf>
    <xf numFmtId="0" fontId="4" fillId="5" borderId="0" xfId="0" applyFont="1" applyFill="1" applyAlignment="1">
      <alignment horizontal="center"/>
    </xf>
    <xf numFmtId="0" fontId="0" fillId="0" borderId="0" xfId="0" quotePrefix="1" applyAlignment="1">
      <alignment horizontal="left" vertical="center"/>
    </xf>
    <xf numFmtId="0" fontId="0" fillId="0" borderId="0" xfId="0"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6" borderId="0" xfId="0" applyFill="1" applyAlignment="1">
      <alignment horizontal="center" vertical="center"/>
    </xf>
    <xf numFmtId="0" fontId="0" fillId="2" borderId="2" xfId="0" applyFill="1" applyBorder="1" applyAlignment="1">
      <alignment horizontal="center" vertical="center"/>
    </xf>
    <xf numFmtId="0" fontId="0" fillId="2" borderId="19" xfId="0" applyFill="1" applyBorder="1" applyAlignment="1">
      <alignment horizontal="center" vertical="center"/>
    </xf>
    <xf numFmtId="0" fontId="0" fillId="0" borderId="10" xfId="0" applyBorder="1" applyAlignment="1">
      <alignment horizontal="right" vertical="center"/>
    </xf>
    <xf numFmtId="0" fontId="2" fillId="2" borderId="9" xfId="1" applyFont="1" applyFill="1" applyBorder="1" applyAlignment="1" applyProtection="1">
      <alignment horizontal="center" vertical="center"/>
    </xf>
    <xf numFmtId="0" fontId="2" fillId="2" borderId="8" xfId="1" applyFont="1" applyFill="1" applyBorder="1" applyAlignment="1" applyProtection="1">
      <alignment horizontal="center" vertical="center"/>
    </xf>
    <xf numFmtId="0" fontId="0" fillId="0" borderId="7" xfId="0" applyBorder="1" applyAlignment="1">
      <alignment horizontal="right" vertical="center"/>
    </xf>
    <xf numFmtId="0" fontId="4" fillId="6" borderId="2" xfId="0" applyFont="1" applyFill="1" applyBorder="1" applyAlignment="1">
      <alignment horizontal="center"/>
    </xf>
    <xf numFmtId="165" fontId="4" fillId="6" borderId="2" xfId="0" applyNumberFormat="1" applyFont="1" applyFill="1" applyBorder="1" applyAlignment="1">
      <alignment horizontal="center"/>
    </xf>
    <xf numFmtId="165" fontId="4" fillId="0" borderId="6" xfId="0" applyNumberFormat="1" applyFont="1" applyBorder="1" applyAlignment="1">
      <alignment horizontal="center"/>
    </xf>
    <xf numFmtId="14" fontId="4" fillId="6" borderId="2" xfId="0" applyNumberFormat="1" applyFont="1" applyFill="1" applyBorder="1" applyAlignment="1">
      <alignment horizontal="center"/>
    </xf>
    <xf numFmtId="0" fontId="2" fillId="0" borderId="0" xfId="0" applyFont="1" applyAlignment="1">
      <alignment horizontal="center" vertical="center" wrapText="1"/>
    </xf>
    <xf numFmtId="0" fontId="3" fillId="0" borderId="0" xfId="0" applyFont="1" applyAlignment="1">
      <alignment horizontal="center"/>
    </xf>
    <xf numFmtId="0" fontId="0" fillId="0" borderId="11" xfId="0" applyBorder="1" applyAlignment="1">
      <alignment horizontal="right" vertical="center"/>
    </xf>
    <xf numFmtId="0" fontId="0" fillId="6" borderId="9" xfId="0" applyFill="1" applyBorder="1" applyAlignment="1">
      <alignment horizontal="center" vertical="center"/>
    </xf>
    <xf numFmtId="0" fontId="0" fillId="6" borderId="9" xfId="1" applyFont="1" applyFill="1" applyBorder="1" applyAlignment="1" applyProtection="1">
      <alignment horizontal="center" vertical="center"/>
    </xf>
    <xf numFmtId="0" fontId="2" fillId="6" borderId="9" xfId="1" applyFont="1" applyFill="1" applyBorder="1" applyAlignment="1" applyProtection="1">
      <alignment horizontal="center" vertical="center"/>
    </xf>
    <xf numFmtId="0" fontId="2" fillId="6" borderId="8" xfId="1" applyFont="1" applyFill="1" applyBorder="1" applyAlignment="1" applyProtection="1">
      <alignment horizontal="center" vertical="center"/>
    </xf>
    <xf numFmtId="0" fontId="11" fillId="6" borderId="2" xfId="1" quotePrefix="1" applyFill="1" applyBorder="1" applyAlignment="1" applyProtection="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0" fillId="6" borderId="2" xfId="1" applyFont="1" applyFill="1" applyBorder="1" applyAlignment="1" applyProtection="1">
      <alignment horizontal="center" vertical="center"/>
    </xf>
    <xf numFmtId="0" fontId="2" fillId="6" borderId="2" xfId="1" applyFont="1" applyFill="1" applyBorder="1" applyAlignment="1" applyProtection="1">
      <alignment horizontal="center" vertical="center"/>
    </xf>
    <xf numFmtId="0" fontId="2" fillId="6" borderId="19" xfId="1" applyFont="1" applyFill="1" applyBorder="1" applyAlignment="1" applyProtection="1">
      <alignment horizontal="center" vertical="center"/>
    </xf>
    <xf numFmtId="0" fontId="13" fillId="0" borderId="0" xfId="0" applyFont="1" applyAlignment="1">
      <alignment horizontal="center" vertical="center" wrapText="1"/>
    </xf>
    <xf numFmtId="0" fontId="4" fillId="0" borderId="0" xfId="0" applyFont="1" applyAlignment="1">
      <alignment horizontal="center" vertical="center"/>
    </xf>
    <xf numFmtId="165" fontId="0" fillId="0" borderId="0" xfId="0" applyNumberFormat="1" applyAlignment="1">
      <alignment horizontal="center"/>
    </xf>
    <xf numFmtId="0" fontId="0" fillId="6" borderId="2" xfId="0" applyFill="1" applyBorder="1" applyAlignment="1">
      <alignment horizontal="center"/>
    </xf>
    <xf numFmtId="0" fontId="4" fillId="2" borderId="0" xfId="0" applyFont="1" applyFill="1" applyAlignment="1">
      <alignment horizontal="center"/>
    </xf>
    <xf numFmtId="0" fontId="0" fillId="4" borderId="13" xfId="0" applyFill="1" applyBorder="1" applyAlignment="1">
      <alignment horizontal="center" vertical="center" wrapText="1"/>
    </xf>
    <xf numFmtId="0" fontId="0" fillId="4" borderId="12" xfId="0" applyFill="1" applyBorder="1" applyAlignment="1">
      <alignment horizontal="center" vertical="center" wrapText="1"/>
    </xf>
    <xf numFmtId="0" fontId="2" fillId="0" borderId="0" xfId="0" applyFont="1" applyAlignment="1">
      <alignment horizontal="left"/>
    </xf>
    <xf numFmtId="0" fontId="2" fillId="0" borderId="0" xfId="0" applyFont="1" applyAlignment="1">
      <alignment horizontal="left" vertical="top" wrapText="1"/>
    </xf>
    <xf numFmtId="0" fontId="2" fillId="0" borderId="14" xfId="0" applyFont="1" applyBorder="1" applyAlignment="1">
      <alignment horizontal="left"/>
    </xf>
    <xf numFmtId="0" fontId="17" fillId="0" borderId="0" xfId="0" applyFont="1" applyAlignment="1">
      <alignment horizontal="center" vertical="center" wrapText="1"/>
    </xf>
    <xf numFmtId="0" fontId="9" fillId="0" borderId="0" xfId="0" applyFont="1" applyAlignment="1">
      <alignment horizontal="left" vertical="top" wrapText="1"/>
    </xf>
    <xf numFmtId="0" fontId="0" fillId="6" borderId="16" xfId="0" applyFill="1" applyBorder="1" applyAlignment="1">
      <alignment horizontal="center"/>
    </xf>
    <xf numFmtId="0" fontId="0" fillId="6" borderId="16" xfId="0" applyFill="1" applyBorder="1" applyAlignment="1">
      <alignment horizontal="center" vertical="center"/>
    </xf>
    <xf numFmtId="0" fontId="0" fillId="6" borderId="1" xfId="0" applyFill="1" applyBorder="1" applyAlignment="1">
      <alignment horizontal="center" vertical="center"/>
    </xf>
    <xf numFmtId="0" fontId="0" fillId="6" borderId="17" xfId="0" applyFill="1" applyBorder="1" applyAlignment="1">
      <alignment horizontal="center"/>
    </xf>
    <xf numFmtId="0" fontId="0" fillId="0" borderId="2" xfId="0" applyBorder="1" applyAlignment="1">
      <alignment horizontal="center"/>
    </xf>
    <xf numFmtId="0" fontId="0" fillId="0" borderId="13"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4" xfId="0" applyBorder="1" applyAlignment="1">
      <alignment horizontal="right" vertical="center"/>
    </xf>
    <xf numFmtId="0" fontId="0" fillId="4" borderId="13" xfId="0"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4" fillId="0" borderId="0" xfId="0" applyFont="1" applyAlignment="1">
      <alignment horizontal="center" vertical="center" wrapText="1"/>
    </xf>
    <xf numFmtId="0" fontId="12" fillId="0" borderId="0" xfId="0" applyFont="1" applyAlignment="1">
      <alignment horizontal="center" vertical="center" wrapText="1"/>
    </xf>
    <xf numFmtId="0" fontId="0" fillId="2" borderId="9" xfId="0" applyFill="1" applyBorder="1" applyAlignment="1">
      <alignment horizontal="center" vertical="center"/>
    </xf>
  </cellXfs>
  <cellStyles count="17">
    <cellStyle name="Comma 2" xfId="11" xr:uid="{DA5B9FFC-C34A-4569-A725-8AB2BCC19470}"/>
    <cellStyle name="Comma 3" xfId="2" xr:uid="{4DAA52F1-2D9D-4EDA-B9D4-BBFC874B536A}"/>
    <cellStyle name="Currency 2" xfId="12" xr:uid="{9958EE30-7153-4F82-9C36-D088F65730C4}"/>
    <cellStyle name="Currency 3" xfId="14" xr:uid="{C567FC73-E14C-4DF4-B9A4-80A48019DC8C}"/>
    <cellStyle name="Eliminate" xfId="4" xr:uid="{E4580FE6-EF2B-4DAD-8E73-A333E52F3547}"/>
    <cellStyle name="Hyperlink" xfId="1" builtinId="8"/>
    <cellStyle name="INCLUDED" xfId="5" xr:uid="{F1EA2460-D6FB-4574-95E8-AFCC5133C5F5}"/>
    <cellStyle name="Normal" xfId="0" builtinId="0"/>
    <cellStyle name="Normal 2" xfId="7" xr:uid="{90B0BB83-0AC6-4263-BBFC-3C135BC9C424}"/>
    <cellStyle name="Normal 3" xfId="10" xr:uid="{F7B42FBD-91A9-424A-827F-7455E801EEA3}"/>
    <cellStyle name="Normal 4" xfId="8" xr:uid="{28CBA861-E827-454D-AF2D-1D0D9488A72F}"/>
    <cellStyle name="Normal 5" xfId="16" xr:uid="{368E1B0F-D9F5-4BBC-9F09-B740820B6C44}"/>
    <cellStyle name="Percent 2" xfId="13" xr:uid="{9FA9FC4C-1E07-4487-AF33-669566EE9CA3}"/>
    <cellStyle name="Percent 3" xfId="9" xr:uid="{7F80D3FC-336B-4D85-8487-1493C87DD14B}"/>
    <cellStyle name="Percent 4" xfId="3" xr:uid="{835C427C-4789-41D6-BC6B-7D5DDF9FC397}"/>
    <cellStyle name="STANDARD ENTRY" xfId="6" xr:uid="{2BBF1FE0-8D3C-472F-AB85-BCD465E1EF8D}"/>
    <cellStyle name="SubTotal" xfId="15" xr:uid="{B6F96FAA-9A89-4E81-A9EC-AFC58C0D13CD}"/>
  </cellStyles>
  <dxfs count="0"/>
  <tableStyles count="0" defaultTableStyle="TableStyleMedium2" defaultPivotStyle="PivotStyleLight16"/>
  <colors>
    <mruColors>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98135</xdr:colOff>
      <xdr:row>1</xdr:row>
      <xdr:rowOff>75044</xdr:rowOff>
    </xdr:from>
    <xdr:ext cx="1854993" cy="1050638"/>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35" y="242453"/>
          <a:ext cx="1854993" cy="1050638"/>
        </a:xfrm>
        <a:prstGeom prst="rect">
          <a:avLst/>
        </a:prstGeom>
      </xdr:spPr>
    </xdr:pic>
    <xdr:clientData/>
  </xdr:oneCellAnchor>
  <xdr:oneCellAnchor>
    <xdr:from>
      <xdr:col>0</xdr:col>
      <xdr:colOff>77354</xdr:colOff>
      <xdr:row>67</xdr:row>
      <xdr:rowOff>25398</xdr:rowOff>
    </xdr:from>
    <xdr:ext cx="1854993" cy="105063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54" y="12465625"/>
          <a:ext cx="1854993" cy="105063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23e3624f79f662c/Desktop/_PDrive/Forms/2024%20Agreement.xlsm" TargetMode="External"/><Relationship Id="rId1" Type="http://schemas.openxmlformats.org/officeDocument/2006/relationships/externalLinkPath" Target="/523e3624f79f662c/Desktop/_PDrive/Forms/2024%20Agreem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xml:space="preserve">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v/>
          </cell>
          <cell r="D3" t="str">
            <v/>
          </cell>
          <cell r="E3" t="str">
            <v/>
          </cell>
          <cell r="F3" t="str">
            <v/>
          </cell>
          <cell r="G3" t="str">
            <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v/>
          </cell>
          <cell r="C52">
            <v>0</v>
          </cell>
          <cell r="D52">
            <v>0</v>
          </cell>
          <cell r="E52">
            <v>0</v>
          </cell>
          <cell r="F52" t="str">
            <v/>
          </cell>
          <cell r="G52" t="str">
            <v/>
          </cell>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v/>
          </cell>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v/>
          </cell>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v/>
          </cell>
        </row>
        <row r="68">
          <cell r="A68" t="str">
            <v>Graphite</v>
          </cell>
          <cell r="C68">
            <v>31.25</v>
          </cell>
          <cell r="D68">
            <v>62.5</v>
          </cell>
          <cell r="E68">
            <v>84.459459459459467</v>
          </cell>
          <cell r="F68" t="str">
            <v>Mineral Series</v>
          </cell>
          <cell r="G68" t="str">
            <v/>
          </cell>
        </row>
        <row r="69">
          <cell r="A69" t="str">
            <v>Quartz</v>
          </cell>
          <cell r="C69">
            <v>31.25</v>
          </cell>
          <cell r="D69">
            <v>62.5</v>
          </cell>
          <cell r="E69">
            <v>84.459459459459467</v>
          </cell>
          <cell r="F69" t="str">
            <v>Mineral Series</v>
          </cell>
          <cell r="G69" t="str">
            <v/>
          </cell>
        </row>
        <row r="70">
          <cell r="A70" t="str">
            <v>Azurite</v>
          </cell>
          <cell r="C70">
            <v>31.25</v>
          </cell>
          <cell r="D70">
            <v>62.5</v>
          </cell>
          <cell r="E70">
            <v>84.459459459459467</v>
          </cell>
          <cell r="F70" t="str">
            <v>Mineral Series</v>
          </cell>
          <cell r="G70" t="str">
            <v/>
          </cell>
        </row>
        <row r="71">
          <cell r="A71" t="str">
            <v>Cinnabar</v>
          </cell>
          <cell r="C71">
            <v>31.25</v>
          </cell>
          <cell r="D71">
            <v>62.5</v>
          </cell>
          <cell r="E71">
            <v>84.459459459459467</v>
          </cell>
          <cell r="F71" t="str">
            <v>Mineral Series</v>
          </cell>
          <cell r="G71" t="str">
            <v/>
          </cell>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v/>
          </cell>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v/>
          </cell>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v/>
          </cell>
          <cell r="D181" t="str">
            <v/>
          </cell>
          <cell r="E181" t="str">
            <v/>
          </cell>
          <cell r="F181" t="str">
            <v/>
          </cell>
          <cell r="G181" t="str">
            <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v/>
          </cell>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0C3F-D555-4EFA-B9AE-A7F6713D41E0}">
  <sheetPr codeName="Sheet17">
    <pageSetUpPr fitToPage="1"/>
  </sheetPr>
  <dimension ref="A1:AK312"/>
  <sheetViews>
    <sheetView showGridLines="0" tabSelected="1" view="pageBreakPreview" topLeftCell="M63" zoomScale="110" zoomScaleNormal="110" zoomScaleSheetLayoutView="110" workbookViewId="0">
      <selection activeCell="W83" sqref="W83"/>
    </sheetView>
  </sheetViews>
  <sheetFormatPr defaultRowHeight="12.75"/>
  <cols>
    <col min="1" max="7" width="5.85546875" customWidth="1"/>
    <col min="8" max="8" width="6" customWidth="1"/>
    <col min="9" max="10" width="5.85546875" customWidth="1"/>
    <col min="11" max="11" width="2.5703125" customWidth="1"/>
    <col min="12" max="18" width="5.85546875" customWidth="1"/>
    <col min="19" max="19" width="6" customWidth="1"/>
    <col min="20" max="20" width="5.85546875" customWidth="1"/>
    <col min="21" max="21" width="16.42578125" customWidth="1"/>
    <col min="22" max="22" width="5.5703125" customWidth="1"/>
    <col min="23" max="23" width="6.85546875" customWidth="1"/>
    <col min="24" max="24" width="8.5703125" customWidth="1"/>
    <col min="25" max="25" width="5.5703125" customWidth="1"/>
    <col min="26" max="26" width="12.7109375" customWidth="1"/>
    <col min="27" max="27" width="6.5703125" customWidth="1"/>
    <col min="28" max="28" width="5.5703125" customWidth="1"/>
    <col min="29" max="29" width="9.85546875" bestFit="1" customWidth="1"/>
    <col min="30" max="30" width="5.5703125" customWidth="1"/>
    <col min="31" max="31" width="9.140625" customWidth="1"/>
    <col min="32" max="32" width="12.28515625" customWidth="1"/>
    <col min="33" max="33" width="11.42578125" customWidth="1"/>
    <col min="34" max="34" width="11.7109375" customWidth="1"/>
    <col min="35" max="36" width="10.5703125" customWidth="1"/>
  </cols>
  <sheetData>
    <row r="1" spans="1:26" ht="23.25">
      <c r="A1" s="98" t="s">
        <v>160</v>
      </c>
      <c r="B1" s="99"/>
      <c r="C1" s="99"/>
      <c r="D1" s="99"/>
      <c r="E1" s="99"/>
      <c r="F1" s="99"/>
      <c r="G1" s="99"/>
      <c r="H1" s="99"/>
      <c r="I1" s="99"/>
      <c r="J1" s="99"/>
      <c r="K1" s="99"/>
      <c r="L1" s="99"/>
      <c r="M1" s="99"/>
      <c r="N1" s="99"/>
      <c r="O1" s="99"/>
      <c r="P1" s="99"/>
      <c r="Q1" s="99"/>
      <c r="R1" s="99"/>
      <c r="S1" s="99"/>
      <c r="T1" s="99"/>
      <c r="U1" s="99"/>
    </row>
    <row r="2" spans="1:26" ht="16.5" thickBot="1">
      <c r="F2" s="128" t="str">
        <f>IF(A1=W3,"North Carolina Construction Contract - Home Improvement - Fiberglass Swimming Pool","North Carolina Construction Contract - Home Improvement - Shotcrete Swimming Pool")</f>
        <v>North Carolina Construction Contract - Home Improvement - Shotcrete Swimming Pool</v>
      </c>
      <c r="G2" s="128"/>
      <c r="H2" s="128"/>
      <c r="I2" s="128"/>
      <c r="J2" s="128"/>
      <c r="K2" s="128"/>
      <c r="L2" s="128"/>
      <c r="M2" s="128"/>
      <c r="N2" s="128"/>
      <c r="O2" s="128"/>
      <c r="P2" s="128"/>
      <c r="Q2" s="128"/>
      <c r="R2" s="128"/>
      <c r="S2" s="128"/>
      <c r="T2" s="128"/>
      <c r="U2" s="128"/>
      <c r="W2" s="88" t="s">
        <v>302</v>
      </c>
      <c r="X2" s="90"/>
      <c r="Z2" s="70" t="s">
        <v>303</v>
      </c>
    </row>
    <row r="3" spans="1:26" ht="16.5" customHeight="1" thickBot="1">
      <c r="F3" s="129" t="s">
        <v>161</v>
      </c>
      <c r="G3" s="119"/>
      <c r="H3" s="119"/>
      <c r="I3" s="130"/>
      <c r="J3" s="130"/>
      <c r="K3" s="130"/>
      <c r="L3" s="130"/>
      <c r="M3" s="130"/>
      <c r="N3" s="130"/>
      <c r="O3" s="130"/>
      <c r="P3" s="119" t="s">
        <v>163</v>
      </c>
      <c r="Q3" s="119"/>
      <c r="R3" s="131"/>
      <c r="S3" s="132"/>
      <c r="T3" s="132"/>
      <c r="U3" s="133"/>
      <c r="W3" s="60" t="s">
        <v>159</v>
      </c>
      <c r="X3" s="49"/>
      <c r="Z3" s="66" t="s">
        <v>31</v>
      </c>
    </row>
    <row r="4" spans="1:26" ht="15.95" customHeight="1">
      <c r="F4" s="122" t="s">
        <v>164</v>
      </c>
      <c r="G4" s="80"/>
      <c r="H4" s="80"/>
      <c r="I4" s="135"/>
      <c r="J4" s="135"/>
      <c r="K4" s="135"/>
      <c r="L4" s="135"/>
      <c r="M4" s="135"/>
      <c r="N4" s="135"/>
      <c r="O4" s="135"/>
      <c r="P4" s="119" t="s">
        <v>165</v>
      </c>
      <c r="Q4" s="119"/>
      <c r="R4" s="137"/>
      <c r="S4" s="138"/>
      <c r="T4" s="138"/>
      <c r="U4" s="139"/>
      <c r="W4" s="63" t="s">
        <v>160</v>
      </c>
      <c r="X4" s="64"/>
      <c r="Z4" s="67" t="s">
        <v>34</v>
      </c>
    </row>
    <row r="5" spans="1:26" ht="15.95" customHeight="1">
      <c r="F5" s="122" t="s">
        <v>166</v>
      </c>
      <c r="G5" s="80"/>
      <c r="H5" s="80"/>
      <c r="I5" s="135"/>
      <c r="J5" s="135"/>
      <c r="K5" s="135"/>
      <c r="L5" s="135"/>
      <c r="M5" t="s">
        <v>167</v>
      </c>
      <c r="N5" s="135"/>
      <c r="O5" s="135"/>
      <c r="U5" s="20"/>
      <c r="Z5" s="55" t="s">
        <v>62</v>
      </c>
    </row>
    <row r="6" spans="1:26" ht="6.95" customHeight="1">
      <c r="F6" s="19"/>
      <c r="U6" s="20"/>
    </row>
    <row r="7" spans="1:26" ht="15.95" customHeight="1">
      <c r="F7" s="122" t="s">
        <v>162</v>
      </c>
      <c r="G7" s="80"/>
      <c r="H7" s="134"/>
      <c r="I7" s="135"/>
      <c r="J7" s="135"/>
      <c r="K7" s="135"/>
      <c r="L7" s="135"/>
      <c r="M7" s="135"/>
      <c r="N7" s="80" t="s">
        <v>168</v>
      </c>
      <c r="O7" s="80"/>
      <c r="P7" s="134"/>
      <c r="Q7" s="135"/>
      <c r="R7" s="135"/>
      <c r="S7" s="135"/>
      <c r="T7" s="135"/>
      <c r="U7" s="136"/>
    </row>
    <row r="8" spans="1:26" ht="5.45" customHeight="1" thickBot="1">
      <c r="F8" s="5"/>
      <c r="G8" s="4"/>
      <c r="H8" s="4"/>
      <c r="I8" s="4"/>
      <c r="J8" s="4"/>
      <c r="K8" s="4"/>
      <c r="L8" s="4"/>
      <c r="M8" s="4"/>
      <c r="N8" s="4"/>
      <c r="O8" s="4"/>
      <c r="P8" s="4"/>
      <c r="Q8" s="4"/>
      <c r="R8" s="4"/>
      <c r="S8" s="4"/>
      <c r="T8" s="4"/>
      <c r="U8" s="3"/>
    </row>
    <row r="9" spans="1:26" ht="5.0999999999999996" customHeight="1"/>
    <row r="10" spans="1:26">
      <c r="C10" s="105" t="s">
        <v>111</v>
      </c>
      <c r="D10" s="105"/>
      <c r="E10" s="105"/>
      <c r="F10" s="105"/>
      <c r="P10" s="105"/>
      <c r="Q10" s="105"/>
      <c r="R10" s="105"/>
      <c r="S10" s="105"/>
    </row>
    <row r="11" spans="1:26">
      <c r="B11" s="109" t="s">
        <v>383</v>
      </c>
      <c r="C11" s="109"/>
      <c r="D11" s="109"/>
      <c r="E11" s="109"/>
      <c r="F11" s="109"/>
      <c r="G11" s="109"/>
      <c r="H11" s="105" t="s">
        <v>386</v>
      </c>
      <c r="I11" s="105"/>
      <c r="J11" s="105"/>
      <c r="K11" s="105"/>
      <c r="L11" s="105"/>
      <c r="M11" s="105"/>
      <c r="N11" s="105"/>
      <c r="O11" s="109"/>
      <c r="P11" s="109"/>
      <c r="Q11" s="109"/>
      <c r="R11" s="109"/>
      <c r="S11" s="109"/>
      <c r="T11" s="109"/>
    </row>
    <row r="12" spans="1:26">
      <c r="B12" s="109" t="s">
        <v>384</v>
      </c>
      <c r="C12" s="109"/>
      <c r="D12" s="109"/>
      <c r="E12" s="109"/>
      <c r="F12" s="109"/>
      <c r="G12" s="109"/>
      <c r="H12" s="105" t="s">
        <v>169</v>
      </c>
      <c r="I12" s="105"/>
      <c r="J12" s="105"/>
      <c r="K12" s="105"/>
      <c r="L12" s="105"/>
      <c r="M12" s="105"/>
      <c r="N12" s="105"/>
      <c r="O12" s="109"/>
      <c r="P12" s="109"/>
      <c r="Q12" s="109"/>
      <c r="R12" s="109"/>
      <c r="S12" s="109"/>
      <c r="T12" s="109"/>
    </row>
    <row r="13" spans="1:26">
      <c r="B13" s="109" t="s">
        <v>385</v>
      </c>
      <c r="C13" s="109"/>
      <c r="D13" s="109"/>
      <c r="E13" s="109"/>
      <c r="F13" s="109"/>
      <c r="G13" s="109"/>
      <c r="H13" s="105"/>
      <c r="I13" s="105"/>
      <c r="J13" s="105"/>
      <c r="K13" s="105"/>
      <c r="L13" s="105"/>
      <c r="M13" s="105"/>
      <c r="N13" s="105"/>
      <c r="O13" s="109"/>
      <c r="P13" s="109"/>
      <c r="Q13" s="109"/>
      <c r="R13" s="109"/>
      <c r="S13" s="109"/>
      <c r="T13" s="109"/>
    </row>
    <row r="14" spans="1:26" ht="21" customHeight="1">
      <c r="B14" s="141" t="s">
        <v>223</v>
      </c>
      <c r="C14" s="141"/>
      <c r="D14" s="141"/>
      <c r="E14" s="141"/>
      <c r="F14" s="141"/>
      <c r="G14" s="141"/>
      <c r="H14" s="141"/>
      <c r="I14" s="141"/>
      <c r="J14" s="141"/>
      <c r="K14" s="141"/>
      <c r="L14" s="141"/>
      <c r="M14" s="141"/>
      <c r="N14" s="141"/>
      <c r="O14" s="141"/>
      <c r="P14" s="141"/>
      <c r="Q14" s="141"/>
      <c r="R14" s="141"/>
      <c r="S14" s="141"/>
      <c r="T14" s="141"/>
    </row>
    <row r="15" spans="1:26">
      <c r="A15" t="s">
        <v>170</v>
      </c>
      <c r="P15" s="86">
        <f>I3</f>
        <v>0</v>
      </c>
      <c r="Q15" s="86"/>
      <c r="R15" s="86"/>
      <c r="S15" s="86"/>
      <c r="T15" t="s">
        <v>171</v>
      </c>
    </row>
    <row r="16" spans="1:26">
      <c r="A16" t="s">
        <v>172</v>
      </c>
      <c r="I16" s="86">
        <f>I4</f>
        <v>0</v>
      </c>
      <c r="J16" s="86"/>
      <c r="K16" s="86"/>
      <c r="L16" s="86"/>
      <c r="M16" s="86"/>
      <c r="N16" t="s">
        <v>173</v>
      </c>
      <c r="Q16" s="124">
        <v>0</v>
      </c>
      <c r="R16" s="124"/>
      <c r="S16" s="124"/>
      <c r="T16" s="124"/>
      <c r="U16" t="s">
        <v>174</v>
      </c>
    </row>
    <row r="17" spans="1:37">
      <c r="A17" t="s">
        <v>175</v>
      </c>
      <c r="I17" s="8"/>
      <c r="J17" s="8"/>
      <c r="K17" s="8"/>
      <c r="L17" s="8"/>
      <c r="M17" s="8"/>
      <c r="Q17" s="125">
        <v>0</v>
      </c>
      <c r="R17" s="125"/>
      <c r="S17" s="125"/>
      <c r="T17" s="125"/>
      <c r="U17" t="s">
        <v>176</v>
      </c>
    </row>
    <row r="18" spans="1:37">
      <c r="A18" t="s">
        <v>177</v>
      </c>
      <c r="G18" s="11">
        <v>4</v>
      </c>
      <c r="H18" t="s">
        <v>185</v>
      </c>
      <c r="I18" s="8"/>
      <c r="J18" s="8"/>
      <c r="K18" s="8"/>
      <c r="L18" s="8"/>
      <c r="M18" s="8"/>
      <c r="Q18" s="8"/>
      <c r="R18" s="8"/>
      <c r="S18" s="8"/>
      <c r="T18" s="8"/>
    </row>
    <row r="19" spans="1:37" ht="7.5" customHeight="1">
      <c r="G19" s="8"/>
      <c r="I19" s="8"/>
      <c r="J19" s="8"/>
      <c r="K19" s="8"/>
      <c r="L19" s="8"/>
      <c r="M19" s="8"/>
      <c r="Q19" s="8"/>
      <c r="R19" s="8"/>
      <c r="S19" s="8"/>
      <c r="T19" s="8"/>
    </row>
    <row r="20" spans="1:37">
      <c r="A20" t="s">
        <v>178</v>
      </c>
      <c r="G20" s="8"/>
      <c r="I20" s="126">
        <v>45717</v>
      </c>
      <c r="J20" s="126"/>
      <c r="K20" s="126"/>
      <c r="L20" s="126"/>
      <c r="M20" s="126"/>
      <c r="N20" s="126"/>
      <c r="Q20" s="8"/>
      <c r="R20" s="8"/>
      <c r="S20" s="8"/>
      <c r="T20" s="8"/>
    </row>
    <row r="21" spans="1:37">
      <c r="A21" t="s">
        <v>179</v>
      </c>
      <c r="G21" s="8"/>
      <c r="I21" s="126">
        <v>45901</v>
      </c>
      <c r="J21" s="126"/>
      <c r="K21" s="126"/>
      <c r="L21" s="126"/>
      <c r="M21" s="126"/>
      <c r="N21" s="126"/>
      <c r="Q21" s="8"/>
      <c r="R21" s="8"/>
      <c r="S21" s="8"/>
      <c r="T21" s="8"/>
    </row>
    <row r="22" spans="1:37" ht="7.5" customHeight="1">
      <c r="G22" s="8"/>
      <c r="I22" s="8"/>
      <c r="J22" s="8"/>
      <c r="K22" s="8"/>
      <c r="L22" s="8"/>
      <c r="M22" s="8"/>
      <c r="N22" s="8"/>
      <c r="Q22" s="8"/>
      <c r="R22" s="8"/>
      <c r="S22" s="8"/>
      <c r="T22" s="8"/>
    </row>
    <row r="23" spans="1:37" ht="51" customHeight="1">
      <c r="A23" s="85" t="s">
        <v>180</v>
      </c>
      <c r="B23" s="127"/>
      <c r="C23" s="127"/>
      <c r="D23" s="127"/>
      <c r="E23" s="127"/>
      <c r="F23" s="127"/>
      <c r="G23" s="127"/>
      <c r="H23" s="127"/>
      <c r="I23" s="127"/>
      <c r="J23" s="127"/>
      <c r="K23" s="127"/>
      <c r="L23" s="127"/>
      <c r="M23" s="127"/>
      <c r="N23" s="127"/>
      <c r="O23" s="127"/>
      <c r="P23" s="127"/>
      <c r="Q23" s="127"/>
      <c r="R23" s="127"/>
      <c r="S23" s="127"/>
      <c r="T23" s="127"/>
      <c r="U23" s="127"/>
    </row>
    <row r="24" spans="1:37" ht="7.5" customHeight="1">
      <c r="A24" s="14"/>
      <c r="B24" s="24"/>
      <c r="C24" s="24"/>
      <c r="D24" s="24"/>
      <c r="E24" s="24"/>
      <c r="F24" s="24"/>
      <c r="G24" s="24"/>
      <c r="H24" s="24"/>
      <c r="I24" s="24"/>
      <c r="J24" s="24"/>
      <c r="K24" s="24"/>
      <c r="L24" s="24"/>
      <c r="M24" s="24"/>
      <c r="N24" s="24"/>
      <c r="O24" s="24"/>
      <c r="P24" s="24"/>
      <c r="Q24" s="24"/>
      <c r="R24" s="24"/>
      <c r="S24" s="24"/>
      <c r="T24" s="24"/>
      <c r="U24" s="24"/>
    </row>
    <row r="25" spans="1:37" ht="75.95" customHeight="1">
      <c r="A25" s="85" t="s">
        <v>188</v>
      </c>
      <c r="B25" s="85"/>
      <c r="C25" s="85"/>
      <c r="D25" s="85"/>
      <c r="E25" s="85"/>
      <c r="F25" s="85"/>
      <c r="G25" s="85"/>
      <c r="H25" s="85"/>
      <c r="I25" s="85"/>
      <c r="J25" s="85"/>
      <c r="K25" s="85"/>
      <c r="L25" s="85"/>
      <c r="M25" s="85"/>
      <c r="N25" s="85"/>
      <c r="O25" s="85"/>
      <c r="P25" s="85"/>
      <c r="Q25" s="85"/>
      <c r="R25" s="85"/>
      <c r="S25" s="85"/>
      <c r="T25" s="85"/>
      <c r="U25" s="85"/>
    </row>
    <row r="26" spans="1:37" ht="12.95" customHeight="1">
      <c r="A26" s="14"/>
      <c r="B26" s="24"/>
      <c r="C26" s="24"/>
      <c r="D26" s="24"/>
      <c r="E26" s="24"/>
      <c r="F26" s="24"/>
      <c r="G26" s="24"/>
      <c r="H26" s="24"/>
      <c r="I26" s="24"/>
      <c r="J26" s="24"/>
      <c r="K26" s="24"/>
      <c r="L26" s="24"/>
      <c r="M26" s="24"/>
      <c r="N26" s="24"/>
      <c r="O26" s="24"/>
      <c r="P26" s="24"/>
      <c r="Q26" s="24"/>
      <c r="R26" s="24"/>
      <c r="S26" s="24"/>
      <c r="T26" s="24"/>
      <c r="U26" s="24"/>
    </row>
    <row r="27" spans="1:37">
      <c r="A27" s="107" t="s">
        <v>184</v>
      </c>
      <c r="B27" s="107"/>
      <c r="C27" s="107"/>
      <c r="D27" s="107"/>
      <c r="E27" s="107"/>
      <c r="F27" s="107"/>
      <c r="G27" s="107"/>
      <c r="H27" s="107"/>
      <c r="I27" s="107"/>
      <c r="J27" s="107"/>
      <c r="K27" s="8"/>
      <c r="L27" s="107" t="s">
        <v>181</v>
      </c>
      <c r="M27" s="107"/>
      <c r="N27" s="107"/>
      <c r="O27" s="107"/>
      <c r="P27" s="107"/>
      <c r="Q27" s="107"/>
      <c r="R27" s="107"/>
      <c r="S27" s="107"/>
      <c r="T27" s="107"/>
      <c r="U27" s="107"/>
      <c r="W27" s="109" t="s">
        <v>159</v>
      </c>
      <c r="X27" s="109"/>
      <c r="Y27" s="109"/>
      <c r="Z27" s="109"/>
      <c r="AA27" s="109"/>
      <c r="AB27" s="109"/>
      <c r="AC27" s="6"/>
      <c r="AE27" s="109" t="s">
        <v>160</v>
      </c>
      <c r="AF27" s="109"/>
      <c r="AG27" s="109"/>
      <c r="AH27" s="109"/>
      <c r="AI27" s="45" t="s">
        <v>248</v>
      </c>
      <c r="AJ27" s="59" t="s">
        <v>249</v>
      </c>
      <c r="AK27" s="52" t="s">
        <v>247</v>
      </c>
    </row>
    <row r="28" spans="1:37" ht="14.45" customHeight="1">
      <c r="A28" t="s">
        <v>182</v>
      </c>
      <c r="G28" s="142">
        <f>Q17</f>
        <v>0</v>
      </c>
      <c r="H28" s="109"/>
      <c r="I28" s="109"/>
      <c r="J28" s="109"/>
      <c r="K28" s="8"/>
      <c r="L28" s="9" t="s">
        <v>107</v>
      </c>
      <c r="M28" s="8"/>
      <c r="N28" s="143"/>
      <c r="O28" s="143"/>
      <c r="P28" s="16" t="s">
        <v>186</v>
      </c>
      <c r="Q28" s="8"/>
      <c r="R28" s="8"/>
      <c r="S28" s="123"/>
      <c r="T28" s="123"/>
      <c r="U28" s="9" t="s">
        <v>106</v>
      </c>
      <c r="W28" s="16" t="s">
        <v>371</v>
      </c>
      <c r="AC28" s="21">
        <f>(($Q$16-$Q$17)*0.3)</f>
        <v>0</v>
      </c>
      <c r="AE28" s="16" t="s">
        <v>390</v>
      </c>
      <c r="AH28" s="21">
        <f>(($Q$16-$Q$17)*0.3)</f>
        <v>0</v>
      </c>
      <c r="AI28" s="53">
        <v>1</v>
      </c>
      <c r="AJ28" s="53">
        <v>3</v>
      </c>
      <c r="AK28" s="56">
        <v>1</v>
      </c>
    </row>
    <row r="29" spans="1:37" ht="14.45" customHeight="1">
      <c r="A29" t="str">
        <f>IF($A$1=$W$3,W28,AE28)</f>
        <v>30% - Prior to Excavation</v>
      </c>
      <c r="G29" s="142">
        <f>IF($A$1=$W$3,AC28,AH28)</f>
        <v>0</v>
      </c>
      <c r="H29" s="142"/>
      <c r="I29" s="142"/>
      <c r="J29" s="142"/>
      <c r="K29" s="8"/>
      <c r="L29" s="6"/>
      <c r="M29" s="6"/>
      <c r="Q29" s="6"/>
      <c r="R29" s="6"/>
      <c r="S29" s="6"/>
      <c r="T29" s="6"/>
      <c r="W29" s="16" t="s">
        <v>183</v>
      </c>
      <c r="AC29" s="21">
        <f>((Q$16-Q$17)*0.3)</f>
        <v>0</v>
      </c>
      <c r="AE29" s="16" t="s">
        <v>387</v>
      </c>
      <c r="AH29" s="21">
        <f>(($Q$16-$Q$17)*0.3)</f>
        <v>0</v>
      </c>
      <c r="AI29" s="54">
        <v>2</v>
      </c>
      <c r="AJ29" s="54">
        <v>4</v>
      </c>
      <c r="AK29" s="57">
        <v>2</v>
      </c>
    </row>
    <row r="30" spans="1:37" ht="14.45" customHeight="1">
      <c r="A30" t="str">
        <f>IF($A$1=$W$3,W29,AE29)</f>
        <v xml:space="preserve">30% - Prior to Shotcete </v>
      </c>
      <c r="G30" s="142">
        <f>IF(A$1=W$3,AC29,AH29)</f>
        <v>0</v>
      </c>
      <c r="H30" s="142"/>
      <c r="I30" s="142"/>
      <c r="J30" s="142"/>
      <c r="K30" s="8"/>
      <c r="L30" s="9" t="s">
        <v>105</v>
      </c>
      <c r="M30" s="6"/>
      <c r="N30" s="50"/>
      <c r="O30" s="23" t="s">
        <v>187</v>
      </c>
      <c r="P30" s="69"/>
      <c r="Q30" s="23" t="s">
        <v>103</v>
      </c>
      <c r="T30" s="23"/>
      <c r="W30" s="16" t="s">
        <v>370</v>
      </c>
      <c r="AC30" s="21">
        <f>((Q$16-Q$17)*0.3)</f>
        <v>0</v>
      </c>
      <c r="AE30" s="16" t="s">
        <v>388</v>
      </c>
      <c r="AH30" s="21">
        <f>(($Q$16-$Q$17)*0.3)</f>
        <v>0</v>
      </c>
      <c r="AI30" s="54">
        <v>3</v>
      </c>
      <c r="AJ30" s="54">
        <v>5</v>
      </c>
      <c r="AK30" s="57">
        <v>3</v>
      </c>
    </row>
    <row r="31" spans="1:37" ht="14.45" customHeight="1">
      <c r="A31" t="str">
        <f>IF($A$1=$W$3,W30,AE30)</f>
        <v>30% - Prior to Decking</v>
      </c>
      <c r="G31" s="142">
        <f>IF(A$1=W$3,AC30,AH30)</f>
        <v>0</v>
      </c>
      <c r="H31" s="142"/>
      <c r="I31" s="142"/>
      <c r="J31" s="142"/>
      <c r="K31" s="8"/>
      <c r="L31" s="6"/>
      <c r="M31" s="6"/>
      <c r="Q31" s="6"/>
      <c r="R31" s="6"/>
      <c r="S31" s="6"/>
      <c r="T31" s="6"/>
      <c r="W31" s="16" t="s">
        <v>391</v>
      </c>
      <c r="AC31" s="21">
        <f>((Q$16-Q$17)*0.1)</f>
        <v>0</v>
      </c>
      <c r="AE31" s="16" t="s">
        <v>389</v>
      </c>
      <c r="AH31" s="21">
        <f>(($Q$16-$Q$17)*0.1)</f>
        <v>0</v>
      </c>
      <c r="AI31" s="55"/>
      <c r="AJ31" s="55"/>
      <c r="AK31" s="57">
        <v>4</v>
      </c>
    </row>
    <row r="32" spans="1:37" ht="14.45" customHeight="1">
      <c r="A32" t="str">
        <f>IF($A$1=$W$3,W31,AE31)</f>
        <v xml:space="preserve">10% - Prior to Interior Finish </v>
      </c>
      <c r="G32" s="142">
        <f>IF(A$1=W$3,AC31,AH31)</f>
        <v>0</v>
      </c>
      <c r="H32" s="142"/>
      <c r="I32" s="142"/>
      <c r="J32" s="142"/>
      <c r="K32" s="8"/>
      <c r="L32" s="9" t="s">
        <v>104</v>
      </c>
      <c r="M32" s="6"/>
      <c r="N32" s="72"/>
      <c r="O32" s="23" t="s">
        <v>187</v>
      </c>
      <c r="P32" s="73"/>
      <c r="Q32" s="23" t="s">
        <v>187</v>
      </c>
      <c r="R32" s="73"/>
      <c r="S32" s="23" t="s">
        <v>103</v>
      </c>
      <c r="T32" s="6"/>
      <c r="AK32" s="57">
        <v>5</v>
      </c>
    </row>
    <row r="33" spans="1:37" ht="14.45" customHeight="1" thickBot="1">
      <c r="G33" s="22"/>
      <c r="H33" s="22"/>
      <c r="I33" s="22"/>
      <c r="J33" s="22"/>
      <c r="K33" s="8"/>
      <c r="L33" s="109" t="str">
        <f>IF(R32&lt;8.5,"Pool Depth Does NOT Permit Diving","")</f>
        <v>Pool Depth Does NOT Permit Diving</v>
      </c>
      <c r="M33" s="109"/>
      <c r="N33" s="109"/>
      <c r="O33" s="109"/>
      <c r="P33" s="109"/>
      <c r="Q33" s="109"/>
      <c r="R33" s="109"/>
      <c r="S33" s="109"/>
      <c r="T33" s="109"/>
      <c r="U33" s="109"/>
      <c r="AK33" s="58"/>
    </row>
    <row r="34" spans="1:37" ht="6" customHeight="1" thickBot="1">
      <c r="A34" s="110"/>
      <c r="B34" s="111"/>
      <c r="C34" s="111"/>
      <c r="D34" s="111"/>
      <c r="E34" s="111"/>
      <c r="F34" s="111"/>
      <c r="G34" s="111"/>
      <c r="H34" s="111"/>
      <c r="I34" s="111"/>
      <c r="J34" s="111"/>
      <c r="K34" s="111"/>
      <c r="L34" s="111"/>
      <c r="M34" s="111"/>
      <c r="N34" s="111"/>
      <c r="O34" s="111"/>
      <c r="P34" s="111"/>
      <c r="Q34" s="111"/>
      <c r="R34" s="111"/>
      <c r="S34" s="111"/>
      <c r="T34" s="111"/>
      <c r="U34" s="112"/>
    </row>
    <row r="35" spans="1:37" ht="13.5" thickBot="1">
      <c r="A35" s="19"/>
      <c r="B35" t="s">
        <v>189</v>
      </c>
      <c r="G35" s="34"/>
      <c r="H35" s="25" t="s">
        <v>109</v>
      </c>
      <c r="I35" s="34"/>
      <c r="J35" s="25" t="s">
        <v>110</v>
      </c>
      <c r="K35" s="8"/>
      <c r="L35" s="6"/>
      <c r="M35" t="s">
        <v>190</v>
      </c>
      <c r="R35" s="34"/>
      <c r="S35" s="25" t="s">
        <v>109</v>
      </c>
      <c r="T35" s="34"/>
      <c r="U35" s="26" t="s">
        <v>110</v>
      </c>
    </row>
    <row r="36" spans="1:37" ht="6" customHeight="1" thickBot="1">
      <c r="A36" s="113"/>
      <c r="B36" s="114"/>
      <c r="C36" s="114"/>
      <c r="D36" s="114"/>
      <c r="E36" s="114"/>
      <c r="F36" s="114"/>
      <c r="G36" s="114"/>
      <c r="H36" s="114"/>
      <c r="I36" s="114"/>
      <c r="J36" s="114"/>
      <c r="K36" s="114"/>
      <c r="L36" s="114"/>
      <c r="M36" s="114"/>
      <c r="N36" s="114"/>
      <c r="O36" s="114"/>
      <c r="P36" s="114"/>
      <c r="Q36" s="114"/>
      <c r="R36" s="114"/>
      <c r="S36" s="114"/>
      <c r="T36" s="114"/>
      <c r="U36" s="115"/>
    </row>
    <row r="37" spans="1:37" ht="6" customHeight="1">
      <c r="A37" s="6"/>
      <c r="B37" s="6"/>
      <c r="C37" s="6"/>
      <c r="D37" s="6"/>
      <c r="E37" s="6"/>
      <c r="F37" s="6"/>
      <c r="G37" s="6"/>
      <c r="H37" s="6"/>
      <c r="I37" s="6"/>
      <c r="J37" s="6"/>
      <c r="K37" s="6"/>
      <c r="L37" s="6"/>
      <c r="M37" s="6"/>
      <c r="N37" s="6"/>
      <c r="O37" s="6"/>
      <c r="P37" s="6"/>
      <c r="Q37" s="6"/>
      <c r="R37" s="6"/>
      <c r="S37" s="6"/>
      <c r="T37" s="6"/>
      <c r="U37" s="6"/>
    </row>
    <row r="38" spans="1:37" ht="14.45" customHeight="1">
      <c r="A38" s="107" t="s">
        <v>102</v>
      </c>
      <c r="B38" s="107"/>
      <c r="C38" s="107"/>
      <c r="D38" s="107"/>
      <c r="E38" s="107"/>
      <c r="F38" s="107"/>
      <c r="G38" s="107"/>
      <c r="H38" s="107"/>
      <c r="I38" s="107"/>
      <c r="J38" s="107"/>
      <c r="K38" s="6"/>
      <c r="L38" s="107" t="s">
        <v>203</v>
      </c>
      <c r="M38" s="107"/>
      <c r="N38" s="107"/>
      <c r="O38" s="107"/>
      <c r="P38" s="107"/>
      <c r="Q38" s="107"/>
      <c r="R38" s="107"/>
      <c r="S38" s="107"/>
      <c r="T38" s="107"/>
      <c r="U38" s="107"/>
      <c r="W38" s="88" t="s">
        <v>232</v>
      </c>
      <c r="X38" s="89"/>
      <c r="Y38" s="89"/>
      <c r="Z38" s="90"/>
      <c r="AA38" s="88" t="s">
        <v>233</v>
      </c>
      <c r="AB38" s="89"/>
      <c r="AC38" s="90"/>
      <c r="AD38" s="88" t="s">
        <v>237</v>
      </c>
      <c r="AE38" s="89"/>
      <c r="AF38" s="90"/>
      <c r="AG38" s="88" t="s">
        <v>238</v>
      </c>
      <c r="AH38" s="90"/>
      <c r="AI38" s="91" t="s">
        <v>241</v>
      </c>
      <c r="AJ38" s="92"/>
      <c r="AK38" s="93"/>
    </row>
    <row r="39" spans="1:37" s="17" customFormat="1" ht="14.45" customHeight="1">
      <c r="A39" s="17" t="s">
        <v>101</v>
      </c>
      <c r="I39" s="106" t="s">
        <v>34</v>
      </c>
      <c r="J39" s="106"/>
      <c r="L39" s="17" t="s">
        <v>204</v>
      </c>
      <c r="Q39" s="153" t="s">
        <v>31</v>
      </c>
      <c r="R39" s="153"/>
      <c r="S39" s="153"/>
      <c r="T39" s="153"/>
      <c r="U39" s="153"/>
      <c r="W39" s="37" t="s">
        <v>31</v>
      </c>
      <c r="X39" s="38"/>
      <c r="Y39" s="38"/>
      <c r="Z39" s="38"/>
      <c r="AA39" s="37" t="s">
        <v>31</v>
      </c>
      <c r="AB39" s="38"/>
      <c r="AC39" s="39"/>
      <c r="AD39" s="40" t="s">
        <v>31</v>
      </c>
      <c r="AF39" s="41"/>
      <c r="AG39" s="37" t="s">
        <v>31</v>
      </c>
      <c r="AH39" s="39"/>
      <c r="AI39" s="38" t="s">
        <v>31</v>
      </c>
      <c r="AJ39" s="38"/>
      <c r="AK39" s="39"/>
    </row>
    <row r="40" spans="1:37" s="17" customFormat="1" ht="14.45" customHeight="1">
      <c r="A40" s="17" t="s">
        <v>99</v>
      </c>
      <c r="I40" s="106" t="s">
        <v>34</v>
      </c>
      <c r="J40" s="106"/>
      <c r="L40" s="17" t="s">
        <v>205</v>
      </c>
      <c r="Q40" s="100" t="s">
        <v>31</v>
      </c>
      <c r="R40" s="101"/>
      <c r="S40" s="101"/>
      <c r="T40" s="101"/>
      <c r="U40" s="102"/>
      <c r="W40" s="40" t="s">
        <v>230</v>
      </c>
      <c r="AA40" s="40" t="s">
        <v>234</v>
      </c>
      <c r="AC40" s="41"/>
      <c r="AD40" s="40" t="s">
        <v>44</v>
      </c>
      <c r="AF40" s="41"/>
      <c r="AG40" s="40" t="s">
        <v>42</v>
      </c>
      <c r="AH40" s="41"/>
      <c r="AI40" s="17" t="s">
        <v>244</v>
      </c>
      <c r="AK40" s="41"/>
    </row>
    <row r="41" spans="1:37" s="17" customFormat="1" ht="14.45" customHeight="1">
      <c r="A41" s="17" t="s">
        <v>98</v>
      </c>
      <c r="I41" s="106" t="s">
        <v>34</v>
      </c>
      <c r="J41" s="106"/>
      <c r="L41" s="17" t="s">
        <v>45</v>
      </c>
      <c r="Q41" s="153" t="s">
        <v>35</v>
      </c>
      <c r="R41" s="153"/>
      <c r="S41" s="153"/>
      <c r="T41" s="153"/>
      <c r="U41" s="153"/>
      <c r="W41" s="40" t="s">
        <v>231</v>
      </c>
      <c r="AA41" s="40" t="s">
        <v>219</v>
      </c>
      <c r="AC41" s="41"/>
      <c r="AD41" s="40" t="s">
        <v>40</v>
      </c>
      <c r="AF41" s="41"/>
      <c r="AG41" s="40" t="s">
        <v>239</v>
      </c>
      <c r="AH41" s="41"/>
      <c r="AI41" s="17" t="s">
        <v>245</v>
      </c>
      <c r="AK41" s="41"/>
    </row>
    <row r="42" spans="1:37" s="17" customFormat="1" ht="14.45" customHeight="1">
      <c r="A42" s="17" t="s">
        <v>94</v>
      </c>
      <c r="I42" s="106" t="s">
        <v>62</v>
      </c>
      <c r="J42" s="106"/>
      <c r="L42" s="17" t="s">
        <v>41</v>
      </c>
      <c r="Q42" s="100" t="s">
        <v>31</v>
      </c>
      <c r="R42" s="101"/>
      <c r="S42" s="101"/>
      <c r="T42" s="101"/>
      <c r="U42" s="102"/>
      <c r="W42" s="42"/>
      <c r="X42" s="43"/>
      <c r="Y42" s="43"/>
      <c r="Z42" s="43"/>
      <c r="AA42" s="40" t="s">
        <v>235</v>
      </c>
      <c r="AC42" s="41"/>
      <c r="AD42" s="40" t="s">
        <v>39</v>
      </c>
      <c r="AF42" s="41"/>
      <c r="AG42" s="40" t="s">
        <v>38</v>
      </c>
      <c r="AH42" s="41"/>
      <c r="AI42" s="17" t="s">
        <v>246</v>
      </c>
      <c r="AK42" s="41"/>
    </row>
    <row r="43" spans="1:37" s="17" customFormat="1" ht="14.45" customHeight="1">
      <c r="A43" s="17" t="s">
        <v>93</v>
      </c>
      <c r="I43" s="106" t="s">
        <v>62</v>
      </c>
      <c r="J43" s="106"/>
      <c r="L43" s="17" t="s">
        <v>206</v>
      </c>
      <c r="Q43" s="100" t="s">
        <v>31</v>
      </c>
      <c r="R43" s="101"/>
      <c r="S43" s="101"/>
      <c r="T43" s="101"/>
      <c r="U43" s="102"/>
      <c r="AA43" s="40" t="s">
        <v>236</v>
      </c>
      <c r="AC43" s="41"/>
      <c r="AD43" s="40" t="s">
        <v>36</v>
      </c>
      <c r="AF43" s="41"/>
      <c r="AG43" s="40" t="s">
        <v>240</v>
      </c>
      <c r="AH43" s="41"/>
      <c r="AI43" s="43"/>
      <c r="AJ43" s="43"/>
      <c r="AK43" s="44"/>
    </row>
    <row r="44" spans="1:37" s="17" customFormat="1" ht="14.45" customHeight="1">
      <c r="A44" s="17" t="s">
        <v>88</v>
      </c>
      <c r="I44" s="106" t="s">
        <v>62</v>
      </c>
      <c r="J44" s="106"/>
      <c r="L44" s="17" t="s">
        <v>207</v>
      </c>
      <c r="Q44" s="153" t="s">
        <v>31</v>
      </c>
      <c r="R44" s="153"/>
      <c r="S44" s="153"/>
      <c r="T44" s="153"/>
      <c r="U44" s="153"/>
      <c r="W44" s="103" t="s">
        <v>306</v>
      </c>
      <c r="X44" s="104"/>
      <c r="AA44" s="40" t="s">
        <v>52</v>
      </c>
      <c r="AC44" s="41"/>
      <c r="AD44" s="40" t="s">
        <v>35</v>
      </c>
      <c r="AF44" s="41"/>
      <c r="AG44" s="42"/>
      <c r="AH44" s="44"/>
    </row>
    <row r="45" spans="1:37" s="17" customFormat="1" ht="14.45" customHeight="1">
      <c r="A45" s="18" t="s">
        <v>87</v>
      </c>
      <c r="L45" s="17" t="s">
        <v>208</v>
      </c>
      <c r="Q45" s="153" t="s">
        <v>31</v>
      </c>
      <c r="R45" s="153"/>
      <c r="S45" s="153"/>
      <c r="T45" s="153"/>
      <c r="U45" s="153"/>
      <c r="W45" s="37" t="s">
        <v>31</v>
      </c>
      <c r="X45" s="39"/>
      <c r="AA45" s="40" t="s">
        <v>50</v>
      </c>
      <c r="AC45" s="41"/>
      <c r="AD45" s="42"/>
      <c r="AE45" s="43"/>
      <c r="AF45" s="44"/>
    </row>
    <row r="46" spans="1:37" s="17" customFormat="1" ht="14.45" customHeight="1">
      <c r="A46" s="17" t="s">
        <v>83</v>
      </c>
      <c r="I46" s="106" t="s">
        <v>62</v>
      </c>
      <c r="J46" s="106"/>
      <c r="L46" s="18" t="s">
        <v>304</v>
      </c>
      <c r="Q46" s="100" t="s">
        <v>31</v>
      </c>
      <c r="R46" s="101"/>
      <c r="S46" s="101"/>
      <c r="T46" s="101"/>
      <c r="U46" s="102"/>
      <c r="W46" s="40" t="s">
        <v>243</v>
      </c>
      <c r="X46" s="41"/>
      <c r="AA46" s="42"/>
      <c r="AB46" s="43"/>
      <c r="AC46" s="44"/>
    </row>
    <row r="47" spans="1:37" s="17" customFormat="1" ht="14.45" customHeight="1">
      <c r="A47" s="17" t="s">
        <v>80</v>
      </c>
      <c r="I47" s="106" t="s">
        <v>62</v>
      </c>
      <c r="J47" s="106"/>
      <c r="L47" s="17" t="s">
        <v>305</v>
      </c>
      <c r="Q47" s="100" t="s">
        <v>31</v>
      </c>
      <c r="R47" s="101"/>
      <c r="S47" s="101"/>
      <c r="T47" s="101"/>
      <c r="U47" s="102"/>
      <c r="W47" s="42" t="s">
        <v>242</v>
      </c>
      <c r="X47" s="44"/>
    </row>
    <row r="48" spans="1:37" s="17" customFormat="1" ht="14.45" customHeight="1" thickBot="1">
      <c r="A48" s="17" t="s">
        <v>78</v>
      </c>
      <c r="I48" s="106" t="s">
        <v>62</v>
      </c>
      <c r="J48" s="106"/>
    </row>
    <row r="49" spans="1:35" s="17" customFormat="1" ht="14.45" customHeight="1" thickBot="1">
      <c r="A49" s="17" t="s">
        <v>76</v>
      </c>
      <c r="F49" s="51">
        <v>1</v>
      </c>
      <c r="G49" s="17" t="s">
        <v>191</v>
      </c>
      <c r="L49" s="107" t="s">
        <v>209</v>
      </c>
      <c r="M49" s="107"/>
      <c r="N49" s="107"/>
      <c r="O49" s="107"/>
      <c r="P49" s="107"/>
      <c r="Q49" s="107"/>
      <c r="R49" s="107"/>
      <c r="S49" s="107"/>
      <c r="T49" s="107"/>
      <c r="U49" s="107"/>
      <c r="AI49" s="17" t="s">
        <v>34</v>
      </c>
    </row>
    <row r="50" spans="1:35" s="17" customFormat="1" ht="14.45" customHeight="1">
      <c r="A50" s="17" t="s">
        <v>192</v>
      </c>
      <c r="L50" s="21" t="str">
        <f>IF($A$1=$W$3,W50,AE50)</f>
        <v>31. Pneumatically applied shotcrete shell - Per Code</v>
      </c>
      <c r="M50" s="21"/>
      <c r="N50" s="21"/>
      <c r="O50" s="21"/>
      <c r="T50" s="106"/>
      <c r="U50" s="106"/>
      <c r="W50" s="17" t="s">
        <v>308</v>
      </c>
      <c r="AE50" s="17" t="s">
        <v>309</v>
      </c>
    </row>
    <row r="51" spans="1:35" s="17" customFormat="1" ht="14.45" customHeight="1">
      <c r="A51" s="17" t="s">
        <v>193</v>
      </c>
      <c r="L51" s="17" t="s">
        <v>310</v>
      </c>
      <c r="T51" s="116" t="s">
        <v>251</v>
      </c>
      <c r="U51" s="116"/>
    </row>
    <row r="52" spans="1:35" s="17" customFormat="1" ht="14.45" customHeight="1">
      <c r="A52" s="18" t="s">
        <v>68</v>
      </c>
      <c r="L52" s="17" t="s">
        <v>311</v>
      </c>
      <c r="T52" s="116" t="s">
        <v>31</v>
      </c>
      <c r="U52" s="116"/>
    </row>
    <row r="53" spans="1:35" s="17" customFormat="1" ht="14.45" customHeight="1">
      <c r="A53" s="108" t="s">
        <v>194</v>
      </c>
      <c r="B53" s="108"/>
      <c r="C53" s="108"/>
      <c r="D53" s="108"/>
      <c r="E53" s="108"/>
      <c r="F53" s="108"/>
      <c r="G53" s="108"/>
      <c r="H53" s="108"/>
      <c r="L53" s="17" t="s">
        <v>312</v>
      </c>
      <c r="W53" s="17" t="s">
        <v>307</v>
      </c>
      <c r="AE53" s="17" t="s">
        <v>195</v>
      </c>
    </row>
    <row r="54" spans="1:35" ht="14.45" customHeight="1">
      <c r="A54" s="21" t="str">
        <f>IF($A$1=$W$3,W53,AE53)</f>
        <v>14. Steel reinforcing as per Plan.</v>
      </c>
      <c r="B54" s="21"/>
      <c r="C54" s="21"/>
      <c r="D54" s="21"/>
      <c r="L54" s="17"/>
      <c r="M54" s="30" t="s">
        <v>158</v>
      </c>
      <c r="N54" s="29" t="s">
        <v>92</v>
      </c>
      <c r="O54" s="30" t="s">
        <v>158</v>
      </c>
      <c r="P54" s="29" t="s">
        <v>91</v>
      </c>
      <c r="Q54" s="30" t="s">
        <v>158</v>
      </c>
      <c r="R54" s="29" t="s">
        <v>220</v>
      </c>
      <c r="S54" s="30" t="s">
        <v>158</v>
      </c>
      <c r="T54" s="29" t="s">
        <v>90</v>
      </c>
      <c r="U54" s="17"/>
    </row>
    <row r="55" spans="1:35" ht="14.45" customHeight="1">
      <c r="M55" s="30" t="s">
        <v>158</v>
      </c>
      <c r="N55" s="29" t="s">
        <v>86</v>
      </c>
      <c r="O55" s="30" t="s">
        <v>158</v>
      </c>
      <c r="P55" s="29" t="s">
        <v>85</v>
      </c>
      <c r="Q55" s="27" t="s">
        <v>158</v>
      </c>
      <c r="R55" s="29" t="s">
        <v>221</v>
      </c>
      <c r="S55" s="27" t="s">
        <v>158</v>
      </c>
      <c r="T55" s="29" t="s">
        <v>84</v>
      </c>
      <c r="W55" s="45" t="s">
        <v>250</v>
      </c>
      <c r="X55" s="46"/>
      <c r="Y55" s="45" t="s">
        <v>252</v>
      </c>
      <c r="Z55" s="46"/>
      <c r="AA55" s="47" t="s">
        <v>254</v>
      </c>
      <c r="AB55" s="49"/>
      <c r="AC55" s="47" t="s">
        <v>256</v>
      </c>
      <c r="AD55" s="48"/>
      <c r="AE55" s="49"/>
      <c r="AF55" s="45" t="s">
        <v>0</v>
      </c>
      <c r="AG55" s="59"/>
    </row>
    <row r="56" spans="1:35" ht="14.45" customHeight="1">
      <c r="A56" s="107" t="s">
        <v>196</v>
      </c>
      <c r="B56" s="107"/>
      <c r="C56" s="107"/>
      <c r="D56" s="107"/>
      <c r="E56" s="107"/>
      <c r="F56" s="107"/>
      <c r="G56" s="107"/>
      <c r="H56" s="107"/>
      <c r="I56" s="107"/>
      <c r="J56" s="107"/>
      <c r="L56" s="17" t="s">
        <v>313</v>
      </c>
      <c r="Q56" s="95" t="s">
        <v>31</v>
      </c>
      <c r="R56" s="96"/>
      <c r="S56" s="96"/>
      <c r="T56" s="96"/>
      <c r="U56" s="97"/>
      <c r="W56" s="60" t="s">
        <v>31</v>
      </c>
      <c r="X56" s="48"/>
      <c r="Y56" s="60" t="s">
        <v>31</v>
      </c>
      <c r="Z56" s="48"/>
      <c r="AA56" s="60" t="s">
        <v>31</v>
      </c>
      <c r="AB56" s="49"/>
      <c r="AC56" s="48" t="s">
        <v>31</v>
      </c>
      <c r="AD56" s="48"/>
      <c r="AE56" s="49"/>
      <c r="AF56" s="60" t="s">
        <v>31</v>
      </c>
      <c r="AG56" s="49"/>
    </row>
    <row r="57" spans="1:35" ht="14.45" customHeight="1">
      <c r="A57" t="s">
        <v>197</v>
      </c>
      <c r="E57" s="31" t="s">
        <v>48</v>
      </c>
      <c r="F57" s="50">
        <v>1</v>
      </c>
      <c r="G57" t="s">
        <v>61</v>
      </c>
      <c r="I57" s="106" t="s">
        <v>34</v>
      </c>
      <c r="J57" s="106"/>
      <c r="L57" s="17" t="s">
        <v>314</v>
      </c>
      <c r="Q57" s="95" t="s">
        <v>31</v>
      </c>
      <c r="R57" s="96"/>
      <c r="S57" s="96"/>
      <c r="T57" s="96"/>
      <c r="U57" s="97"/>
      <c r="W57" s="61" t="s">
        <v>251</v>
      </c>
      <c r="Y57" s="61" t="s">
        <v>96</v>
      </c>
      <c r="AA57" s="61" t="s">
        <v>95</v>
      </c>
      <c r="AB57" s="62"/>
      <c r="AC57" t="s">
        <v>257</v>
      </c>
      <c r="AE57" s="62"/>
      <c r="AF57" s="61" t="s">
        <v>259</v>
      </c>
      <c r="AG57" s="62"/>
    </row>
    <row r="58" spans="1:35" ht="14.45" customHeight="1">
      <c r="A58" t="s">
        <v>198</v>
      </c>
      <c r="E58" s="31" t="s">
        <v>48</v>
      </c>
      <c r="F58" s="50">
        <v>3</v>
      </c>
      <c r="G58" t="s">
        <v>61</v>
      </c>
      <c r="I58" s="106" t="s">
        <v>34</v>
      </c>
      <c r="J58" s="106"/>
      <c r="L58" s="17" t="s">
        <v>315</v>
      </c>
      <c r="Q58" s="95" t="s">
        <v>59</v>
      </c>
      <c r="R58" s="96"/>
      <c r="S58" s="96"/>
      <c r="T58" s="96"/>
      <c r="U58" s="97"/>
      <c r="W58" s="63"/>
      <c r="X58" s="65"/>
      <c r="Y58" s="61" t="s">
        <v>253</v>
      </c>
      <c r="AA58" s="61" t="s">
        <v>58</v>
      </c>
      <c r="AB58" s="62"/>
      <c r="AC58" t="s">
        <v>59</v>
      </c>
      <c r="AE58" s="62"/>
      <c r="AF58" s="61" t="s">
        <v>260</v>
      </c>
      <c r="AG58" s="62"/>
    </row>
    <row r="59" spans="1:35" ht="14.45" customHeight="1">
      <c r="A59" t="s">
        <v>199</v>
      </c>
      <c r="I59" s="106" t="s">
        <v>62</v>
      </c>
      <c r="J59" s="106"/>
      <c r="L59" s="17" t="s">
        <v>316</v>
      </c>
      <c r="P59" t="s">
        <v>392</v>
      </c>
      <c r="Q59" s="95" t="s">
        <v>58</v>
      </c>
      <c r="R59" s="96"/>
      <c r="S59" s="96"/>
      <c r="T59" s="96"/>
      <c r="U59" s="97"/>
      <c r="Y59" s="63"/>
      <c r="Z59" s="65"/>
      <c r="AA59" s="61" t="s">
        <v>255</v>
      </c>
      <c r="AB59" s="62"/>
      <c r="AC59" t="s">
        <v>56</v>
      </c>
      <c r="AE59" s="62"/>
      <c r="AF59" s="61" t="s">
        <v>58</v>
      </c>
      <c r="AG59" s="62"/>
    </row>
    <row r="60" spans="1:35" ht="14.45" customHeight="1">
      <c r="A60" t="s">
        <v>200</v>
      </c>
      <c r="I60" s="106" t="s">
        <v>34</v>
      </c>
      <c r="J60" s="106"/>
      <c r="L60" s="17" t="s">
        <v>72</v>
      </c>
      <c r="T60" s="154" t="s">
        <v>34</v>
      </c>
      <c r="U60" s="154"/>
      <c r="AA60" s="61" t="s">
        <v>89</v>
      </c>
      <c r="AB60" s="62"/>
      <c r="AC60" t="s">
        <v>258</v>
      </c>
      <c r="AE60" s="62"/>
      <c r="AF60" s="61" t="s">
        <v>258</v>
      </c>
      <c r="AG60" s="62"/>
    </row>
    <row r="61" spans="1:35" ht="14.45" customHeight="1">
      <c r="A61" t="s">
        <v>201</v>
      </c>
      <c r="I61" s="106" t="s">
        <v>34</v>
      </c>
      <c r="J61" s="106"/>
      <c r="L61" s="17" t="s">
        <v>394</v>
      </c>
      <c r="R61" t="s">
        <v>393</v>
      </c>
      <c r="T61" s="116" t="s">
        <v>62</v>
      </c>
      <c r="U61" s="116"/>
      <c r="AA61" s="63"/>
      <c r="AB61" s="64"/>
      <c r="AC61" t="s">
        <v>51</v>
      </c>
      <c r="AE61" s="62"/>
      <c r="AF61" s="61" t="s">
        <v>51</v>
      </c>
      <c r="AG61" s="62"/>
    </row>
    <row r="62" spans="1:35" ht="14.45" customHeight="1">
      <c r="A62" t="s">
        <v>202</v>
      </c>
      <c r="F62" s="152" t="s">
        <v>231</v>
      </c>
      <c r="G62" s="152"/>
      <c r="H62" s="152"/>
      <c r="I62" s="152"/>
      <c r="J62" s="152"/>
      <c r="L62" s="85" t="s">
        <v>210</v>
      </c>
      <c r="M62" s="85"/>
      <c r="N62" s="85"/>
      <c r="O62" s="85"/>
      <c r="P62" s="85"/>
      <c r="Q62" s="85"/>
      <c r="R62" s="85"/>
      <c r="S62" s="85"/>
      <c r="T62" s="85"/>
      <c r="U62" s="85"/>
      <c r="AC62" s="63"/>
      <c r="AD62" s="65"/>
      <c r="AE62" s="64"/>
      <c r="AF62" s="63"/>
      <c r="AG62" s="64"/>
    </row>
    <row r="63" spans="1:35" ht="14.45" customHeight="1">
      <c r="A63" t="s">
        <v>55</v>
      </c>
      <c r="F63" s="152" t="s">
        <v>236</v>
      </c>
      <c r="G63" s="152"/>
      <c r="H63" s="152"/>
      <c r="I63" s="152"/>
      <c r="J63" s="152"/>
      <c r="L63" s="85"/>
      <c r="M63" s="85"/>
      <c r="N63" s="85"/>
      <c r="O63" s="85"/>
      <c r="P63" s="85"/>
      <c r="Q63" s="85"/>
      <c r="R63" s="85"/>
      <c r="S63" s="85"/>
      <c r="T63" s="85"/>
      <c r="U63" s="85"/>
    </row>
    <row r="64" spans="1:35" ht="14.45" customHeight="1">
      <c r="F64" s="6"/>
      <c r="G64" s="6"/>
      <c r="H64" s="6"/>
      <c r="I64" s="6"/>
      <c r="J64" s="6"/>
      <c r="L64" s="85"/>
      <c r="M64" s="85"/>
      <c r="N64" s="85"/>
      <c r="O64" s="85"/>
      <c r="P64" s="85"/>
      <c r="Q64" s="85"/>
      <c r="R64" s="85"/>
      <c r="S64" s="85"/>
      <c r="T64" s="85"/>
      <c r="U64" s="85"/>
    </row>
    <row r="65" spans="1:35" ht="14.45" customHeight="1">
      <c r="F65" s="6"/>
      <c r="G65" s="6"/>
      <c r="H65" s="6"/>
      <c r="I65" s="6"/>
      <c r="J65" s="6"/>
      <c r="L65" s="14"/>
      <c r="M65" s="14"/>
      <c r="N65" s="14"/>
      <c r="O65" s="32" t="s">
        <v>6</v>
      </c>
      <c r="P65" s="145"/>
      <c r="Q65" s="146"/>
      <c r="R65" s="33"/>
      <c r="S65" s="32" t="s">
        <v>6</v>
      </c>
      <c r="T65" s="145"/>
      <c r="U65" s="146"/>
    </row>
    <row r="66" spans="1:35" ht="14.45" customHeight="1">
      <c r="A66" s="109" t="s">
        <v>369</v>
      </c>
      <c r="B66" s="109"/>
      <c r="C66" s="109"/>
      <c r="D66" s="109"/>
      <c r="E66" s="109"/>
      <c r="F66" s="109"/>
      <c r="G66" s="109"/>
      <c r="H66" s="109"/>
      <c r="I66" s="109"/>
      <c r="J66" s="109"/>
      <c r="K66" s="109"/>
      <c r="L66" s="109"/>
      <c r="M66" s="109"/>
      <c r="N66" s="109"/>
      <c r="O66" s="109"/>
      <c r="P66" s="109"/>
      <c r="Q66" s="109"/>
      <c r="R66" s="109"/>
      <c r="S66" s="109"/>
      <c r="T66" s="109"/>
      <c r="U66" s="109"/>
      <c r="W66" s="70" t="s">
        <v>339</v>
      </c>
    </row>
    <row r="67" spans="1:35" ht="14.45" customHeight="1" thickBot="1">
      <c r="F67" s="128" t="str">
        <f>IF(A1=W3,"NORTH CAROLINA Construction Contract - Home Improvement - Fiberglass Swimming Pool","NORTH CAROLINA Construction Contract - Home Improvement - Shotcrete Swimming Pool")</f>
        <v>NORTH CAROLINA Construction Contract - Home Improvement - Shotcrete Swimming Pool</v>
      </c>
      <c r="G67" s="128"/>
      <c r="H67" s="128"/>
      <c r="I67" s="128"/>
      <c r="J67" s="128"/>
      <c r="K67" s="128"/>
      <c r="L67" s="128"/>
      <c r="M67" s="128"/>
      <c r="N67" s="128"/>
      <c r="O67" s="128"/>
      <c r="P67" s="128"/>
      <c r="Q67" s="128"/>
      <c r="R67" s="128"/>
      <c r="S67" s="128"/>
      <c r="T67" s="128"/>
      <c r="U67" s="128"/>
      <c r="W67" s="53">
        <v>0</v>
      </c>
    </row>
    <row r="68" spans="1:35" ht="14.45" customHeight="1">
      <c r="F68" s="129" t="s">
        <v>161</v>
      </c>
      <c r="G68" s="119"/>
      <c r="H68" s="119"/>
      <c r="I68" s="166">
        <f>I3</f>
        <v>0</v>
      </c>
      <c r="J68" s="166"/>
      <c r="K68" s="166"/>
      <c r="L68" s="166"/>
      <c r="M68" s="166"/>
      <c r="N68" s="166"/>
      <c r="O68" s="166"/>
      <c r="P68" s="119" t="s">
        <v>163</v>
      </c>
      <c r="Q68" s="119"/>
      <c r="R68" s="120">
        <f>R3</f>
        <v>0</v>
      </c>
      <c r="S68" s="120"/>
      <c r="T68" s="120"/>
      <c r="U68" s="121"/>
      <c r="W68" s="54">
        <v>1</v>
      </c>
    </row>
    <row r="69" spans="1:35" ht="14.45" customHeight="1">
      <c r="F69" s="122" t="s">
        <v>164</v>
      </c>
      <c r="G69" s="80"/>
      <c r="H69" s="80"/>
      <c r="I69" s="117">
        <f>I4</f>
        <v>0</v>
      </c>
      <c r="J69" s="117"/>
      <c r="K69" s="117"/>
      <c r="L69" s="117"/>
      <c r="M69" s="117"/>
      <c r="N69" s="117"/>
      <c r="O69" s="117"/>
      <c r="P69" s="80" t="s">
        <v>165</v>
      </c>
      <c r="Q69" s="80"/>
      <c r="R69" s="117">
        <f>R4</f>
        <v>0</v>
      </c>
      <c r="S69" s="117"/>
      <c r="T69" s="117"/>
      <c r="U69" s="118"/>
      <c r="W69" s="54">
        <v>2</v>
      </c>
    </row>
    <row r="70" spans="1:35" ht="14.45" customHeight="1">
      <c r="F70" s="122" t="s">
        <v>166</v>
      </c>
      <c r="G70" s="80"/>
      <c r="H70" s="80"/>
      <c r="I70" s="117">
        <f>I5</f>
        <v>0</v>
      </c>
      <c r="J70" s="117"/>
      <c r="K70" s="117"/>
      <c r="L70" s="117"/>
      <c r="M70" t="s">
        <v>167</v>
      </c>
      <c r="N70" s="117">
        <f>N5</f>
        <v>0</v>
      </c>
      <c r="O70" s="117"/>
      <c r="U70" s="20"/>
      <c r="W70" s="54">
        <v>3</v>
      </c>
    </row>
    <row r="71" spans="1:35" ht="14.45" customHeight="1">
      <c r="F71" s="19"/>
      <c r="U71" s="20"/>
      <c r="W71" s="54">
        <v>4</v>
      </c>
    </row>
    <row r="72" spans="1:35" ht="14.45" customHeight="1">
      <c r="F72" s="122" t="s">
        <v>162</v>
      </c>
      <c r="G72" s="80"/>
      <c r="H72" s="117">
        <f>H7</f>
        <v>0</v>
      </c>
      <c r="I72" s="117"/>
      <c r="J72" s="117"/>
      <c r="K72" s="117"/>
      <c r="L72" s="117"/>
      <c r="M72" s="117"/>
      <c r="N72" s="80" t="s">
        <v>168</v>
      </c>
      <c r="O72" s="80"/>
      <c r="P72" s="117">
        <f>P7</f>
        <v>0</v>
      </c>
      <c r="Q72" s="117"/>
      <c r="R72" s="117"/>
      <c r="S72" s="117"/>
      <c r="T72" s="117"/>
      <c r="U72" s="118"/>
      <c r="W72" s="54">
        <v>5</v>
      </c>
    </row>
    <row r="73" spans="1:35" ht="14.45" customHeight="1" thickBot="1">
      <c r="F73" s="5"/>
      <c r="G73" s="4"/>
      <c r="H73" s="4"/>
      <c r="I73" s="4"/>
      <c r="J73" s="4"/>
      <c r="K73" s="4"/>
      <c r="L73" s="4"/>
      <c r="M73" s="4"/>
      <c r="N73" s="4"/>
      <c r="O73" s="4"/>
      <c r="P73" s="4"/>
      <c r="Q73" s="4"/>
      <c r="R73" s="4"/>
      <c r="S73" s="4"/>
      <c r="T73" s="4"/>
      <c r="U73" s="3"/>
      <c r="W73" s="55"/>
    </row>
    <row r="74" spans="1:35" ht="14.45" customHeight="1">
      <c r="A74" s="105" t="s">
        <v>223</v>
      </c>
      <c r="B74" s="105"/>
      <c r="C74" s="105"/>
      <c r="D74" s="105"/>
      <c r="E74" s="105"/>
      <c r="F74" s="105"/>
      <c r="G74" s="105"/>
      <c r="H74" s="105"/>
      <c r="I74" s="105"/>
      <c r="J74" s="105"/>
      <c r="K74" s="105"/>
      <c r="L74" s="105"/>
      <c r="M74" s="105"/>
      <c r="N74" s="105"/>
      <c r="O74" s="105"/>
      <c r="P74" s="105"/>
      <c r="Q74" s="105"/>
      <c r="R74" s="105"/>
      <c r="S74" s="105"/>
      <c r="T74" s="105"/>
      <c r="U74" s="105"/>
    </row>
    <row r="75" spans="1:35" ht="15" customHeight="1"/>
    <row r="76" spans="1:35" ht="14.45" customHeight="1">
      <c r="A76" s="107" t="s">
        <v>211</v>
      </c>
      <c r="B76" s="107"/>
      <c r="C76" s="107"/>
      <c r="D76" s="107"/>
      <c r="E76" s="107"/>
      <c r="F76" s="107"/>
      <c r="G76" s="107"/>
      <c r="H76" s="107"/>
      <c r="I76" s="107"/>
      <c r="J76" s="107"/>
      <c r="L76" s="107" t="s">
        <v>79</v>
      </c>
      <c r="M76" s="107"/>
      <c r="N76" s="107"/>
      <c r="O76" s="107"/>
      <c r="P76" s="107"/>
      <c r="Q76" s="107"/>
      <c r="R76" s="107"/>
      <c r="S76" s="107"/>
      <c r="T76" s="107"/>
      <c r="U76" s="107"/>
    </row>
    <row r="77" spans="1:35" ht="14.45" customHeight="1">
      <c r="A77" s="9" t="s">
        <v>67</v>
      </c>
      <c r="I77" s="116" t="s">
        <v>34</v>
      </c>
      <c r="J77" s="116"/>
      <c r="L77" t="s">
        <v>77</v>
      </c>
      <c r="T77" s="31" t="s">
        <v>33</v>
      </c>
      <c r="U77" s="69" t="s">
        <v>158</v>
      </c>
    </row>
    <row r="78" spans="1:35" ht="14.45" customHeight="1">
      <c r="A78" s="16" t="s">
        <v>66</v>
      </c>
      <c r="L78" t="s">
        <v>75</v>
      </c>
      <c r="P78" s="153" t="s">
        <v>31</v>
      </c>
      <c r="Q78" s="153"/>
      <c r="R78" s="153"/>
      <c r="S78" s="153"/>
      <c r="T78" s="31" t="s">
        <v>48</v>
      </c>
      <c r="U78" s="69">
        <v>0</v>
      </c>
      <c r="W78" s="88" t="s">
        <v>261</v>
      </c>
      <c r="X78" s="89"/>
      <c r="Y78" s="90"/>
      <c r="Z78" s="88" t="s">
        <v>264</v>
      </c>
      <c r="AA78" s="89"/>
      <c r="AB78" s="90"/>
      <c r="AC78" s="88" t="s">
        <v>271</v>
      </c>
      <c r="AD78" s="90"/>
      <c r="AE78" s="88" t="s">
        <v>276</v>
      </c>
      <c r="AF78" s="90"/>
      <c r="AG78" s="68" t="s">
        <v>278</v>
      </c>
      <c r="AH78" s="68" t="s">
        <v>280</v>
      </c>
      <c r="AI78" s="52" t="s">
        <v>282</v>
      </c>
    </row>
    <row r="79" spans="1:35" ht="14.45" customHeight="1">
      <c r="A79" t="s">
        <v>64</v>
      </c>
      <c r="I79" s="116" t="s">
        <v>34</v>
      </c>
      <c r="J79" s="116"/>
      <c r="L79" t="s">
        <v>74</v>
      </c>
      <c r="Q79" s="152" t="s">
        <v>31</v>
      </c>
      <c r="R79" s="152"/>
      <c r="S79" s="152"/>
      <c r="T79" s="152"/>
      <c r="U79" s="152"/>
      <c r="W79" s="60" t="s">
        <v>31</v>
      </c>
      <c r="X79" s="48"/>
      <c r="Y79" s="48"/>
      <c r="Z79" s="60" t="s">
        <v>31</v>
      </c>
      <c r="AA79" s="48"/>
      <c r="AB79" s="49"/>
      <c r="AC79" s="60" t="s">
        <v>31</v>
      </c>
      <c r="AD79" s="49"/>
      <c r="AE79" s="60" t="s">
        <v>31</v>
      </c>
      <c r="AF79" s="49"/>
      <c r="AG79" s="66" t="s">
        <v>31</v>
      </c>
      <c r="AH79" s="60" t="s">
        <v>31</v>
      </c>
      <c r="AI79" s="66" t="s">
        <v>31</v>
      </c>
    </row>
    <row r="80" spans="1:35" ht="14.45" customHeight="1">
      <c r="A80" t="s">
        <v>63</v>
      </c>
      <c r="I80" s="116" t="s">
        <v>62</v>
      </c>
      <c r="J80" s="116"/>
      <c r="L80" t="s">
        <v>73</v>
      </c>
      <c r="T80" s="94" t="s">
        <v>213</v>
      </c>
      <c r="U80" s="94"/>
      <c r="W80" s="61" t="s">
        <v>262</v>
      </c>
      <c r="Z80" s="61" t="s">
        <v>265</v>
      </c>
      <c r="AB80" s="62"/>
      <c r="AC80" s="61" t="s">
        <v>272</v>
      </c>
      <c r="AD80" s="62"/>
      <c r="AE80" s="61" t="s">
        <v>60</v>
      </c>
      <c r="AF80" s="62"/>
      <c r="AG80" s="67" t="s">
        <v>279</v>
      </c>
      <c r="AH80" s="61" t="s">
        <v>281</v>
      </c>
      <c r="AI80" s="67" t="s">
        <v>279</v>
      </c>
    </row>
    <row r="81" spans="1:35" ht="14.45" customHeight="1">
      <c r="A81" s="16" t="s">
        <v>212</v>
      </c>
      <c r="L81" t="s">
        <v>71</v>
      </c>
      <c r="Q81" s="95" t="str">
        <f>IF(U77="-","None",F102)</f>
        <v>None</v>
      </c>
      <c r="R81" s="96"/>
      <c r="S81" s="96"/>
      <c r="T81" s="96"/>
      <c r="U81" s="97"/>
      <c r="W81" s="61" t="s">
        <v>263</v>
      </c>
      <c r="Z81" s="61" t="s">
        <v>266</v>
      </c>
      <c r="AB81" s="62"/>
      <c r="AC81" s="61" t="s">
        <v>273</v>
      </c>
      <c r="AD81" s="62"/>
      <c r="AE81" s="61" t="s">
        <v>277</v>
      </c>
      <c r="AF81" s="62"/>
      <c r="AG81" s="55"/>
      <c r="AH81" s="63"/>
      <c r="AI81" s="67" t="s">
        <v>277</v>
      </c>
    </row>
    <row r="82" spans="1:35" ht="14.45" customHeight="1">
      <c r="A82" t="s">
        <v>317</v>
      </c>
      <c r="E82" s="152" t="s">
        <v>263</v>
      </c>
      <c r="F82" s="152"/>
      <c r="G82" s="152"/>
      <c r="H82" s="152"/>
      <c r="I82" s="31" t="s">
        <v>48</v>
      </c>
      <c r="J82" s="50">
        <v>3</v>
      </c>
      <c r="L82" s="16" t="s">
        <v>70</v>
      </c>
      <c r="T82" s="143" t="s">
        <v>213</v>
      </c>
      <c r="U82" s="143"/>
      <c r="W82" s="63" t="s">
        <v>398</v>
      </c>
      <c r="X82" s="65"/>
      <c r="Y82" s="65"/>
      <c r="Z82" s="61" t="s">
        <v>267</v>
      </c>
      <c r="AB82" s="62"/>
      <c r="AC82" s="61" t="s">
        <v>222</v>
      </c>
      <c r="AD82" s="62"/>
      <c r="AE82" s="61" t="s">
        <v>51</v>
      </c>
      <c r="AF82" s="62"/>
      <c r="AI82" s="55"/>
    </row>
    <row r="83" spans="1:35" ht="14.45" customHeight="1">
      <c r="A83" t="s">
        <v>318</v>
      </c>
      <c r="E83" s="152" t="s">
        <v>31</v>
      </c>
      <c r="F83" s="155"/>
      <c r="G83" s="155"/>
      <c r="H83" s="155"/>
      <c r="I83" s="31" t="s">
        <v>48</v>
      </c>
      <c r="J83" s="50">
        <v>0</v>
      </c>
      <c r="L83" s="16" t="s">
        <v>69</v>
      </c>
      <c r="T83" s="96" t="s">
        <v>213</v>
      </c>
      <c r="U83" s="96"/>
      <c r="Z83" s="61" t="s">
        <v>268</v>
      </c>
      <c r="AB83" s="62"/>
      <c r="AC83" s="61" t="s">
        <v>274</v>
      </c>
      <c r="AD83" s="62"/>
      <c r="AE83" s="63"/>
      <c r="AF83" s="64"/>
    </row>
    <row r="84" spans="1:35" ht="14.45" customHeight="1">
      <c r="A84" t="s">
        <v>319</v>
      </c>
      <c r="F84" s="152" t="s">
        <v>31</v>
      </c>
      <c r="G84" s="152"/>
      <c r="H84" s="152"/>
      <c r="I84" s="152"/>
      <c r="J84" s="152"/>
      <c r="L84" t="s">
        <v>336</v>
      </c>
      <c r="T84" s="94" t="s">
        <v>213</v>
      </c>
      <c r="U84" s="94"/>
      <c r="W84" s="88" t="s">
        <v>299</v>
      </c>
      <c r="X84" s="89"/>
      <c r="Y84" s="90"/>
      <c r="Z84" s="61" t="s">
        <v>269</v>
      </c>
      <c r="AB84" s="62"/>
      <c r="AC84" s="61" t="s">
        <v>275</v>
      </c>
      <c r="AD84" s="62"/>
    </row>
    <row r="85" spans="1:35" ht="14.45" customHeight="1">
      <c r="A85" t="s">
        <v>320</v>
      </c>
      <c r="I85" s="96" t="s">
        <v>213</v>
      </c>
      <c r="J85" s="96"/>
      <c r="L85" t="s">
        <v>337</v>
      </c>
      <c r="Q85" s="95" t="s">
        <v>31</v>
      </c>
      <c r="R85" s="96"/>
      <c r="S85" s="96"/>
      <c r="T85" s="96"/>
      <c r="U85" s="97"/>
      <c r="W85" s="60" t="s">
        <v>213</v>
      </c>
      <c r="X85" s="48"/>
      <c r="Y85" s="49"/>
      <c r="Z85" s="61" t="s">
        <v>270</v>
      </c>
      <c r="AB85" s="62"/>
      <c r="AC85" s="63"/>
      <c r="AD85" s="64"/>
    </row>
    <row r="86" spans="1:35" ht="14.45" customHeight="1">
      <c r="L86" s="16"/>
      <c r="W86" s="61" t="s">
        <v>109</v>
      </c>
      <c r="Y86" s="62"/>
      <c r="Z86" s="61" t="s">
        <v>395</v>
      </c>
      <c r="AB86" s="62"/>
    </row>
    <row r="87" spans="1:35" ht="14.45" customHeight="1">
      <c r="A87" s="107" t="s">
        <v>54</v>
      </c>
      <c r="B87" s="107"/>
      <c r="C87" s="107"/>
      <c r="D87" s="107"/>
      <c r="E87" s="107"/>
      <c r="F87" s="107"/>
      <c r="G87" s="107"/>
      <c r="H87" s="107"/>
      <c r="I87" s="107"/>
      <c r="J87" s="107"/>
      <c r="L87" s="107" t="s">
        <v>65</v>
      </c>
      <c r="M87" s="107"/>
      <c r="N87" s="107"/>
      <c r="O87" s="107"/>
      <c r="P87" s="107"/>
      <c r="Q87" s="107"/>
      <c r="R87" s="107"/>
      <c r="S87" s="107"/>
      <c r="T87" s="107"/>
      <c r="U87" s="107"/>
      <c r="W87" s="63"/>
      <c r="X87" s="65"/>
      <c r="Y87" s="64"/>
      <c r="Z87" s="61" t="s">
        <v>51</v>
      </c>
      <c r="AA87" s="65"/>
      <c r="AB87" s="64"/>
    </row>
    <row r="88" spans="1:35" ht="14.45" customHeight="1">
      <c r="A88" t="s">
        <v>321</v>
      </c>
      <c r="E88" s="152" t="s">
        <v>31</v>
      </c>
      <c r="F88" s="152"/>
      <c r="G88" s="152"/>
      <c r="H88" s="152"/>
      <c r="I88" s="31" t="s">
        <v>48</v>
      </c>
      <c r="J88" s="50">
        <v>0</v>
      </c>
    </row>
    <row r="89" spans="1:35" ht="14.45" customHeight="1">
      <c r="A89" t="s">
        <v>322</v>
      </c>
      <c r="E89" s="152" t="s">
        <v>31</v>
      </c>
      <c r="F89" s="152"/>
      <c r="G89" s="152"/>
      <c r="H89" s="152"/>
      <c r="I89" s="31" t="s">
        <v>48</v>
      </c>
      <c r="J89" s="50">
        <v>0</v>
      </c>
      <c r="L89" s="16" t="s">
        <v>57</v>
      </c>
      <c r="M89" s="156" t="s">
        <v>3</v>
      </c>
      <c r="N89" s="156"/>
      <c r="O89" s="156"/>
      <c r="P89" s="156"/>
      <c r="Q89" s="156"/>
      <c r="R89" s="156"/>
      <c r="S89" s="156"/>
      <c r="T89" s="156"/>
      <c r="U89" s="156"/>
      <c r="W89" s="91" t="s">
        <v>283</v>
      </c>
      <c r="X89" s="92"/>
      <c r="Y89" s="93"/>
      <c r="Z89" s="88" t="s">
        <v>293</v>
      </c>
      <c r="AA89" s="90"/>
      <c r="AB89" s="88" t="s">
        <v>297</v>
      </c>
      <c r="AC89" s="90"/>
      <c r="AD89" s="88" t="s">
        <v>298</v>
      </c>
      <c r="AE89" s="90"/>
      <c r="AF89" s="52" t="s">
        <v>300</v>
      </c>
    </row>
    <row r="90" spans="1:35" ht="14.45" customHeight="1">
      <c r="A90" t="s">
        <v>323</v>
      </c>
      <c r="E90" s="152" t="s">
        <v>31</v>
      </c>
      <c r="F90" s="152"/>
      <c r="G90" s="152"/>
      <c r="H90" s="152"/>
      <c r="I90" s="31" t="s">
        <v>48</v>
      </c>
      <c r="J90" s="50">
        <v>0</v>
      </c>
      <c r="W90" s="60" t="s">
        <v>31</v>
      </c>
      <c r="X90" s="48"/>
      <c r="Y90" s="49"/>
      <c r="Z90" s="60" t="s">
        <v>31</v>
      </c>
      <c r="AA90" s="49"/>
      <c r="AB90" s="60" t="s">
        <v>108</v>
      </c>
      <c r="AC90" s="49"/>
      <c r="AD90" s="60" t="s">
        <v>31</v>
      </c>
      <c r="AE90" s="48"/>
      <c r="AF90" s="66" t="s">
        <v>31</v>
      </c>
    </row>
    <row r="91" spans="1:35" ht="14.45" customHeight="1">
      <c r="A91" t="s">
        <v>324</v>
      </c>
      <c r="E91" s="152" t="s">
        <v>31</v>
      </c>
      <c r="F91" s="152"/>
      <c r="G91" s="152"/>
      <c r="H91" s="152"/>
      <c r="I91" s="31" t="s">
        <v>48</v>
      </c>
      <c r="J91" s="50">
        <v>0</v>
      </c>
      <c r="L91" s="16" t="s">
        <v>53</v>
      </c>
      <c r="M91" s="156" t="s">
        <v>3</v>
      </c>
      <c r="N91" s="156"/>
      <c r="O91" s="156"/>
      <c r="P91" s="156"/>
      <c r="Q91" s="156"/>
      <c r="R91" s="156"/>
      <c r="S91" s="156"/>
      <c r="T91" s="156"/>
      <c r="U91" s="156"/>
      <c r="W91" s="61" t="s">
        <v>284</v>
      </c>
      <c r="Y91" s="62"/>
      <c r="Z91" s="61" t="s">
        <v>294</v>
      </c>
      <c r="AA91" s="62"/>
      <c r="AB91" s="61" t="s">
        <v>100</v>
      </c>
      <c r="AC91" s="62"/>
      <c r="AD91" s="61" t="s">
        <v>95</v>
      </c>
      <c r="AF91" s="67" t="s">
        <v>95</v>
      </c>
    </row>
    <row r="92" spans="1:35" ht="14.45" customHeight="1">
      <c r="A92" t="s">
        <v>325</v>
      </c>
      <c r="E92" s="152" t="s">
        <v>31</v>
      </c>
      <c r="F92" s="152"/>
      <c r="G92" s="152"/>
      <c r="H92" s="152"/>
      <c r="I92" s="31" t="s">
        <v>48</v>
      </c>
      <c r="J92" s="50">
        <v>0</v>
      </c>
      <c r="W92" s="61" t="s">
        <v>285</v>
      </c>
      <c r="Y92" s="62"/>
      <c r="Z92" s="61" t="s">
        <v>295</v>
      </c>
      <c r="AA92" s="62"/>
      <c r="AB92" s="61" t="s">
        <v>215</v>
      </c>
      <c r="AC92" s="62"/>
      <c r="AD92" s="61" t="s">
        <v>58</v>
      </c>
      <c r="AF92" s="67" t="s">
        <v>58</v>
      </c>
    </row>
    <row r="93" spans="1:35" ht="14.45" customHeight="1">
      <c r="A93" t="s">
        <v>326</v>
      </c>
      <c r="E93" s="152" t="s">
        <v>31</v>
      </c>
      <c r="F93" s="152"/>
      <c r="G93" s="152"/>
      <c r="H93" s="152"/>
      <c r="I93" s="31" t="s">
        <v>48</v>
      </c>
      <c r="J93" s="50">
        <v>0</v>
      </c>
      <c r="L93" s="16" t="s">
        <v>49</v>
      </c>
      <c r="M93" s="156" t="s">
        <v>3</v>
      </c>
      <c r="N93" s="156"/>
      <c r="O93" s="156"/>
      <c r="P93" s="156"/>
      <c r="Q93" s="156"/>
      <c r="R93" s="156"/>
      <c r="S93" s="156"/>
      <c r="T93" s="156"/>
      <c r="U93" s="156"/>
      <c r="W93" s="61" t="s">
        <v>286</v>
      </c>
      <c r="Y93" s="62"/>
      <c r="Z93" s="61" t="s">
        <v>296</v>
      </c>
      <c r="AA93" s="62"/>
      <c r="AB93" s="61" t="s">
        <v>97</v>
      </c>
      <c r="AC93" s="62"/>
      <c r="AD93" s="61" t="s">
        <v>216</v>
      </c>
      <c r="AF93" s="67" t="s">
        <v>255</v>
      </c>
    </row>
    <row r="94" spans="1:35" ht="14.45" customHeight="1">
      <c r="W94" s="61" t="s">
        <v>287</v>
      </c>
      <c r="Y94" s="62"/>
      <c r="Z94" s="63"/>
      <c r="AA94" s="64"/>
      <c r="AB94" s="63"/>
      <c r="AC94" s="64"/>
      <c r="AD94" s="63"/>
      <c r="AE94" s="65"/>
      <c r="AF94" s="67" t="s">
        <v>89</v>
      </c>
    </row>
    <row r="95" spans="1:35" ht="14.45" customHeight="1">
      <c r="A95" s="107" t="s">
        <v>46</v>
      </c>
      <c r="B95" s="107"/>
      <c r="C95" s="107"/>
      <c r="D95" s="107"/>
      <c r="E95" s="107"/>
      <c r="F95" s="107"/>
      <c r="G95" s="107"/>
      <c r="H95" s="107"/>
      <c r="I95" s="107"/>
      <c r="J95" s="107"/>
      <c r="L95" s="16" t="s">
        <v>47</v>
      </c>
      <c r="M95" s="156" t="s">
        <v>3</v>
      </c>
      <c r="N95" s="156"/>
      <c r="O95" s="156"/>
      <c r="P95" s="156"/>
      <c r="Q95" s="156"/>
      <c r="R95" s="156"/>
      <c r="S95" s="156"/>
      <c r="T95" s="156"/>
      <c r="U95" s="156"/>
      <c r="W95" s="61" t="s">
        <v>288</v>
      </c>
      <c r="Y95" s="62"/>
      <c r="AF95" s="55"/>
    </row>
    <row r="96" spans="1:35" ht="14.45" customHeight="1">
      <c r="A96" t="s">
        <v>327</v>
      </c>
      <c r="E96" s="152" t="s">
        <v>31</v>
      </c>
      <c r="F96" s="152"/>
      <c r="G96" s="152"/>
      <c r="H96" s="152"/>
      <c r="I96" s="31" t="s">
        <v>48</v>
      </c>
      <c r="J96" s="50">
        <v>0</v>
      </c>
      <c r="W96" s="61" t="s">
        <v>289</v>
      </c>
      <c r="Y96" s="62"/>
    </row>
    <row r="97" spans="1:25" ht="14.45" customHeight="1">
      <c r="A97" t="s">
        <v>328</v>
      </c>
      <c r="E97" s="152" t="s">
        <v>31</v>
      </c>
      <c r="F97" s="152"/>
      <c r="G97" s="152"/>
      <c r="H97" s="152"/>
      <c r="I97" s="31" t="s">
        <v>48</v>
      </c>
      <c r="J97" s="50">
        <v>0</v>
      </c>
      <c r="L97" s="16" t="s">
        <v>43</v>
      </c>
      <c r="M97" s="156" t="s">
        <v>3</v>
      </c>
      <c r="N97" s="156"/>
      <c r="O97" s="156"/>
      <c r="P97" s="156"/>
      <c r="Q97" s="156"/>
      <c r="R97" s="156"/>
      <c r="S97" s="156"/>
      <c r="T97" s="156"/>
      <c r="U97" s="156"/>
      <c r="W97" s="61" t="s">
        <v>290</v>
      </c>
      <c r="Y97" s="62"/>
    </row>
    <row r="98" spans="1:25" ht="14.45" customHeight="1">
      <c r="A98" t="s">
        <v>329</v>
      </c>
      <c r="E98" s="152" t="s">
        <v>31</v>
      </c>
      <c r="F98" s="152"/>
      <c r="G98" s="152"/>
      <c r="H98" s="152"/>
      <c r="I98" s="31" t="s">
        <v>33</v>
      </c>
      <c r="J98" s="50">
        <v>0</v>
      </c>
      <c r="W98" s="61" t="s">
        <v>291</v>
      </c>
      <c r="Y98" s="62"/>
    </row>
    <row r="99" spans="1:25" ht="14.45" customHeight="1">
      <c r="A99" t="s">
        <v>330</v>
      </c>
      <c r="E99" s="152" t="s">
        <v>31</v>
      </c>
      <c r="F99" s="152"/>
      <c r="G99" s="152"/>
      <c r="H99" s="152"/>
      <c r="I99" s="31" t="s">
        <v>33</v>
      </c>
      <c r="J99" s="50">
        <v>0</v>
      </c>
      <c r="L99" s="16" t="s">
        <v>37</v>
      </c>
      <c r="M99" s="156" t="s">
        <v>3</v>
      </c>
      <c r="N99" s="156"/>
      <c r="O99" s="156"/>
      <c r="P99" s="156"/>
      <c r="Q99" s="156"/>
      <c r="R99" s="156"/>
      <c r="S99" s="156"/>
      <c r="T99" s="156"/>
      <c r="U99" s="156"/>
      <c r="W99" s="61" t="s">
        <v>292</v>
      </c>
      <c r="Y99" s="62"/>
    </row>
    <row r="100" spans="1:25" ht="14.45" customHeight="1">
      <c r="W100" s="61" t="s">
        <v>51</v>
      </c>
      <c r="Y100" s="62"/>
    </row>
    <row r="101" spans="1:25" ht="14.45" customHeight="1">
      <c r="A101" s="107" t="s">
        <v>214</v>
      </c>
      <c r="B101" s="107"/>
      <c r="C101" s="107"/>
      <c r="D101" s="107"/>
      <c r="E101" s="107"/>
      <c r="F101" s="107"/>
      <c r="G101" s="107"/>
      <c r="H101" s="107"/>
      <c r="I101" s="107"/>
      <c r="J101" s="107"/>
      <c r="L101" s="16" t="s">
        <v>32</v>
      </c>
      <c r="M101" s="156" t="s">
        <v>3</v>
      </c>
      <c r="N101" s="156"/>
      <c r="O101" s="156"/>
      <c r="P101" s="156"/>
      <c r="Q101" s="156"/>
      <c r="R101" s="156"/>
      <c r="S101" s="156"/>
      <c r="T101" s="156"/>
      <c r="U101" s="156"/>
      <c r="W101" s="63"/>
      <c r="X101" s="65"/>
      <c r="Y101" s="64"/>
    </row>
    <row r="102" spans="1:25" ht="14.45" customHeight="1">
      <c r="A102" t="s">
        <v>331</v>
      </c>
      <c r="F102" s="95" t="s">
        <v>215</v>
      </c>
      <c r="G102" s="96"/>
      <c r="H102" s="96"/>
      <c r="I102" s="96"/>
      <c r="J102" s="97"/>
      <c r="W102" t="s">
        <v>108</v>
      </c>
    </row>
    <row r="103" spans="1:25" ht="14.45" customHeight="1">
      <c r="A103" t="s">
        <v>332</v>
      </c>
      <c r="I103" s="116" t="s">
        <v>34</v>
      </c>
      <c r="J103" s="116"/>
      <c r="L103" s="16" t="s">
        <v>30</v>
      </c>
      <c r="M103" s="156" t="s">
        <v>3</v>
      </c>
      <c r="N103" s="156"/>
      <c r="O103" s="156"/>
      <c r="P103" s="156"/>
      <c r="Q103" s="156"/>
      <c r="R103" s="156"/>
      <c r="S103" s="156"/>
      <c r="T103" s="156"/>
      <c r="U103" s="156"/>
      <c r="W103" t="s">
        <v>100</v>
      </c>
    </row>
    <row r="104" spans="1:25" ht="14.45" customHeight="1">
      <c r="A104" t="s">
        <v>333</v>
      </c>
      <c r="I104" s="116" t="s">
        <v>62</v>
      </c>
      <c r="J104" s="116"/>
      <c r="W104" t="s">
        <v>215</v>
      </c>
    </row>
    <row r="105" spans="1:25" ht="14.45" customHeight="1">
      <c r="A105" t="s">
        <v>334</v>
      </c>
      <c r="I105" s="116" t="s">
        <v>34</v>
      </c>
      <c r="J105" s="116"/>
      <c r="L105" s="16" t="s">
        <v>301</v>
      </c>
      <c r="M105" s="156" t="s">
        <v>3</v>
      </c>
      <c r="N105" s="156"/>
      <c r="O105" s="156"/>
      <c r="P105" s="156"/>
      <c r="Q105" s="156"/>
      <c r="R105" s="156"/>
      <c r="S105" s="156"/>
      <c r="T105" s="156"/>
      <c r="U105" s="156"/>
      <c r="W105" t="s">
        <v>97</v>
      </c>
    </row>
    <row r="106" spans="1:25" ht="14.45" customHeight="1">
      <c r="A106" t="s">
        <v>335</v>
      </c>
      <c r="I106" s="143" t="str">
        <f>IF(A1=W3,W85,W86)</f>
        <v>YES</v>
      </c>
      <c r="J106" s="143"/>
    </row>
    <row r="107" spans="1:25" ht="14.45" customHeight="1">
      <c r="A107" t="s">
        <v>82</v>
      </c>
      <c r="I107" s="94" t="s">
        <v>81</v>
      </c>
      <c r="J107" s="94"/>
      <c r="L107" s="16" t="s">
        <v>338</v>
      </c>
      <c r="M107" s="156" t="s">
        <v>3</v>
      </c>
      <c r="N107" s="156"/>
      <c r="O107" s="156"/>
      <c r="P107" s="156"/>
      <c r="Q107" s="156"/>
      <c r="R107" s="156"/>
      <c r="S107" s="156"/>
      <c r="T107" s="156"/>
      <c r="U107" s="156"/>
    </row>
    <row r="108" spans="1:25" ht="14.45" customHeight="1">
      <c r="I108" s="6"/>
      <c r="J108" s="6"/>
      <c r="L108" s="16"/>
      <c r="M108" s="6"/>
      <c r="N108" s="6"/>
      <c r="O108" s="6"/>
      <c r="P108" s="6"/>
      <c r="Q108" s="6"/>
      <c r="R108" s="6"/>
      <c r="S108" s="6"/>
      <c r="T108" s="6"/>
      <c r="U108" s="6"/>
    </row>
    <row r="109" spans="1:25" ht="29.45" customHeight="1">
      <c r="A109" s="80" t="s">
        <v>224</v>
      </c>
      <c r="B109" s="81"/>
      <c r="C109" s="157"/>
      <c r="D109" s="158"/>
      <c r="E109" s="158"/>
      <c r="F109" s="158"/>
      <c r="G109" s="159"/>
      <c r="H109" s="160" t="s">
        <v>226</v>
      </c>
      <c r="I109" s="80"/>
      <c r="J109" s="81"/>
      <c r="K109" s="157"/>
      <c r="L109" s="158"/>
      <c r="M109" s="158"/>
      <c r="N109" s="158"/>
      <c r="O109" s="158"/>
      <c r="P109" s="158"/>
      <c r="Q109" s="159"/>
      <c r="R109" s="28" t="s">
        <v>217</v>
      </c>
      <c r="S109" s="157"/>
      <c r="T109" s="158"/>
      <c r="U109" s="159"/>
    </row>
    <row r="110" spans="1:25" ht="14.45" customHeight="1">
      <c r="I110" s="6"/>
      <c r="J110" s="6"/>
      <c r="L110" s="16"/>
      <c r="M110" s="6"/>
      <c r="N110" s="6"/>
      <c r="O110" s="6"/>
      <c r="P110" s="6"/>
      <c r="Q110" s="6"/>
      <c r="R110" s="6"/>
      <c r="S110" s="6"/>
      <c r="T110" s="6"/>
      <c r="U110" s="6"/>
    </row>
    <row r="111" spans="1:25" ht="29.45" customHeight="1">
      <c r="A111" s="80" t="s">
        <v>225</v>
      </c>
      <c r="B111" s="81"/>
      <c r="C111" s="161"/>
      <c r="D111" s="162"/>
      <c r="E111" s="162"/>
      <c r="F111" s="162"/>
      <c r="G111" s="163"/>
      <c r="H111" s="160" t="s">
        <v>227</v>
      </c>
      <c r="I111" s="80"/>
      <c r="J111" s="81"/>
      <c r="K111" s="161"/>
      <c r="L111" s="162"/>
      <c r="M111" s="162"/>
      <c r="N111" s="162"/>
      <c r="O111" s="162"/>
      <c r="P111" s="162"/>
      <c r="Q111" s="163"/>
      <c r="R111" s="28" t="s">
        <v>217</v>
      </c>
      <c r="S111" s="161"/>
      <c r="T111" s="162"/>
      <c r="U111" s="163"/>
    </row>
    <row r="112" spans="1:25" ht="14.45" customHeight="1">
      <c r="I112" s="6"/>
      <c r="J112" s="6"/>
      <c r="L112" s="16"/>
      <c r="M112" s="6"/>
      <c r="N112" s="6"/>
      <c r="O112" s="6"/>
      <c r="P112" s="6"/>
      <c r="Q112" s="6"/>
      <c r="R112" s="6"/>
      <c r="S112" s="6"/>
      <c r="T112" s="6"/>
      <c r="U112" s="6"/>
    </row>
    <row r="113" spans="1:21" ht="29.45" customHeight="1">
      <c r="A113" s="80" t="s">
        <v>225</v>
      </c>
      <c r="B113" s="81"/>
      <c r="C113" s="161"/>
      <c r="D113" s="162"/>
      <c r="E113" s="162"/>
      <c r="F113" s="162"/>
      <c r="G113" s="163"/>
      <c r="H113" s="160" t="s">
        <v>227</v>
      </c>
      <c r="I113" s="80"/>
      <c r="J113" s="81"/>
      <c r="K113" s="161"/>
      <c r="L113" s="162"/>
      <c r="M113" s="162"/>
      <c r="N113" s="162"/>
      <c r="O113" s="162"/>
      <c r="P113" s="162"/>
      <c r="Q113" s="163"/>
      <c r="R113" s="28" t="s">
        <v>217</v>
      </c>
      <c r="S113" s="161"/>
      <c r="T113" s="162"/>
      <c r="U113" s="163"/>
    </row>
    <row r="114" spans="1:21" ht="140.44999999999999" customHeight="1">
      <c r="A114" s="85" t="s">
        <v>397</v>
      </c>
      <c r="B114" s="85"/>
      <c r="C114" s="85"/>
      <c r="D114" s="85"/>
      <c r="E114" s="85"/>
      <c r="F114" s="85"/>
      <c r="G114" s="85"/>
      <c r="H114" s="85"/>
      <c r="I114" s="85"/>
      <c r="J114" s="85"/>
      <c r="K114" s="85"/>
      <c r="L114" s="85"/>
      <c r="M114" s="85"/>
      <c r="N114" s="85"/>
      <c r="O114" s="85"/>
      <c r="P114" s="85"/>
      <c r="Q114" s="85"/>
      <c r="R114" s="85"/>
      <c r="S114" s="85"/>
      <c r="T114" s="85"/>
      <c r="U114" s="85"/>
    </row>
    <row r="115" spans="1:21" ht="14.45" customHeight="1">
      <c r="A115" s="35"/>
      <c r="B115" s="35"/>
      <c r="C115" s="35"/>
      <c r="D115" s="35"/>
      <c r="E115" s="35"/>
      <c r="F115" s="35"/>
      <c r="G115" s="35"/>
      <c r="H115" s="35"/>
      <c r="I115" s="35"/>
      <c r="J115" s="35"/>
      <c r="K115" s="35"/>
      <c r="L115" s="35"/>
      <c r="M115" s="35"/>
      <c r="N115" s="35"/>
      <c r="O115" s="35"/>
      <c r="P115" s="35"/>
      <c r="Q115" s="35"/>
      <c r="R115" s="35"/>
      <c r="S115" s="35"/>
      <c r="T115" s="35"/>
      <c r="U115" s="35"/>
    </row>
    <row r="116" spans="1:21" ht="33.950000000000003" customHeight="1">
      <c r="A116" s="164" t="s">
        <v>218</v>
      </c>
      <c r="B116" s="164"/>
      <c r="C116" s="164"/>
      <c r="D116" s="164"/>
      <c r="E116" s="164"/>
      <c r="F116" s="164"/>
      <c r="G116" s="164"/>
      <c r="H116" s="164"/>
      <c r="I116" s="164"/>
      <c r="J116" s="164"/>
      <c r="K116" s="164"/>
      <c r="L116" s="164"/>
      <c r="M116" s="164"/>
      <c r="N116" s="164"/>
      <c r="O116" s="164"/>
      <c r="P116" s="164"/>
      <c r="Q116" s="164"/>
      <c r="R116" s="164"/>
      <c r="S116" s="164"/>
      <c r="T116" s="164"/>
      <c r="U116" s="164"/>
    </row>
    <row r="117" spans="1:21" ht="33.950000000000003" customHeight="1">
      <c r="A117" s="36"/>
      <c r="B117" s="36"/>
      <c r="C117" s="36"/>
      <c r="D117" s="36"/>
      <c r="E117" s="36"/>
      <c r="F117" s="36"/>
      <c r="G117" s="36"/>
      <c r="H117" s="36"/>
      <c r="I117" s="36"/>
      <c r="J117" s="36"/>
      <c r="K117" s="36"/>
      <c r="L117" s="36"/>
      <c r="M117" s="36"/>
      <c r="N117" s="36"/>
      <c r="O117" s="36"/>
      <c r="P117" s="36"/>
      <c r="Q117" s="36"/>
      <c r="R117" s="36"/>
      <c r="S117" s="36"/>
      <c r="T117" s="36"/>
      <c r="U117" s="36"/>
    </row>
    <row r="118" spans="1:21" ht="14.45" customHeight="1">
      <c r="A118" s="109" t="s">
        <v>368</v>
      </c>
      <c r="B118" s="109"/>
      <c r="C118" s="109"/>
      <c r="D118" s="109"/>
      <c r="E118" s="109"/>
      <c r="F118" s="109"/>
      <c r="G118" s="109"/>
      <c r="H118" s="109"/>
      <c r="I118" s="109"/>
      <c r="J118" s="109"/>
      <c r="K118" s="109"/>
      <c r="L118" s="109"/>
      <c r="M118" s="109"/>
      <c r="N118" s="109"/>
      <c r="O118" s="109"/>
      <c r="P118" s="109"/>
      <c r="Q118" s="109"/>
      <c r="R118" s="109"/>
      <c r="S118" s="109"/>
      <c r="T118" s="109"/>
      <c r="U118" s="109"/>
    </row>
    <row r="119" spans="1:21" ht="18.600000000000001" customHeight="1">
      <c r="A119" s="2"/>
      <c r="B119" s="6"/>
      <c r="C119" s="6"/>
      <c r="D119" s="6"/>
      <c r="E119" s="6"/>
      <c r="F119" s="6"/>
      <c r="G119" s="6"/>
      <c r="H119" s="6"/>
      <c r="I119" s="6"/>
      <c r="J119" s="6"/>
      <c r="K119" s="80" t="s">
        <v>157</v>
      </c>
      <c r="L119" s="80"/>
      <c r="M119" s="80"/>
      <c r="N119" s="81"/>
      <c r="O119" s="82">
        <f>I3</f>
        <v>0</v>
      </c>
      <c r="P119" s="83"/>
      <c r="Q119" s="83"/>
      <c r="R119" s="83"/>
      <c r="S119" s="83"/>
      <c r="T119" s="83"/>
      <c r="U119" s="84"/>
    </row>
    <row r="120" spans="1:21" ht="9.9499999999999993" customHeight="1">
      <c r="A120" s="2"/>
      <c r="B120" s="6"/>
      <c r="C120" s="6"/>
      <c r="D120" s="6"/>
      <c r="E120" s="6"/>
      <c r="F120" s="6"/>
      <c r="G120" s="6"/>
      <c r="H120" s="6"/>
      <c r="I120" s="6"/>
      <c r="J120" s="6"/>
      <c r="K120" s="6"/>
      <c r="L120" s="6"/>
      <c r="M120" s="6"/>
      <c r="N120" s="6"/>
      <c r="O120" s="6"/>
      <c r="P120" s="6"/>
      <c r="Q120" s="6"/>
      <c r="R120" s="6"/>
      <c r="S120" s="6"/>
      <c r="T120" s="6"/>
      <c r="U120" s="6"/>
    </row>
    <row r="121" spans="1:21">
      <c r="A121" s="144" t="s">
        <v>29</v>
      </c>
      <c r="B121" s="144"/>
      <c r="C121" s="144"/>
      <c r="D121" s="144"/>
      <c r="E121" s="144"/>
      <c r="F121" s="144"/>
      <c r="G121" s="144"/>
      <c r="H121" s="144"/>
      <c r="I121" s="144"/>
      <c r="J121" s="144"/>
      <c r="K121" s="144"/>
      <c r="L121" s="144"/>
      <c r="M121" s="144"/>
      <c r="N121" s="144"/>
      <c r="O121" s="144"/>
      <c r="P121" s="144"/>
      <c r="Q121" s="144"/>
      <c r="R121" s="144"/>
      <c r="S121" s="144"/>
      <c r="T121" s="144"/>
      <c r="U121" s="144"/>
    </row>
    <row r="122" spans="1:21" ht="45" customHeight="1">
      <c r="A122" s="165" t="s">
        <v>28</v>
      </c>
      <c r="B122" s="165"/>
      <c r="C122" s="165"/>
      <c r="D122" s="165"/>
      <c r="E122" s="165"/>
      <c r="F122" s="165"/>
      <c r="G122" s="165"/>
      <c r="H122" s="165"/>
      <c r="I122" s="165"/>
      <c r="J122" s="165"/>
      <c r="K122" s="165"/>
      <c r="L122" s="165"/>
      <c r="M122" s="165"/>
      <c r="N122" s="165"/>
      <c r="O122" s="165"/>
      <c r="P122" s="165"/>
      <c r="Q122" s="165"/>
      <c r="R122" s="165"/>
      <c r="S122" s="165"/>
      <c r="T122" s="165"/>
      <c r="U122" s="165"/>
    </row>
    <row r="123" spans="1:21" ht="30" customHeight="1">
      <c r="A123" s="140" t="s">
        <v>27</v>
      </c>
      <c r="B123" s="140"/>
      <c r="C123" s="140"/>
      <c r="D123" s="140"/>
      <c r="E123" s="140"/>
      <c r="F123" s="140"/>
      <c r="G123" s="140"/>
      <c r="H123" s="140"/>
      <c r="I123" s="140"/>
      <c r="J123" s="140"/>
      <c r="K123" s="140"/>
      <c r="L123" s="140"/>
      <c r="M123" s="140"/>
      <c r="N123" s="140"/>
      <c r="O123" s="140"/>
      <c r="P123" s="140"/>
      <c r="Q123" s="140"/>
      <c r="R123" s="140"/>
      <c r="S123" s="140"/>
      <c r="T123" s="140"/>
      <c r="U123" s="140"/>
    </row>
    <row r="124" spans="1:21" ht="30" customHeight="1">
      <c r="A124" s="140" t="s">
        <v>112</v>
      </c>
      <c r="B124" s="140"/>
      <c r="C124" s="140"/>
      <c r="D124" s="140"/>
      <c r="E124" s="140"/>
      <c r="F124" s="140"/>
      <c r="G124" s="140"/>
      <c r="H124" s="140"/>
      <c r="I124" s="140"/>
      <c r="J124" s="140"/>
      <c r="K124" s="140"/>
      <c r="L124" s="140"/>
      <c r="M124" s="140"/>
      <c r="N124" s="140"/>
      <c r="O124" s="140"/>
      <c r="P124" s="140"/>
      <c r="Q124" s="140"/>
      <c r="R124" s="140"/>
      <c r="S124" s="140"/>
      <c r="T124" s="140"/>
      <c r="U124" s="140"/>
    </row>
    <row r="125" spans="1:21" ht="56.1" customHeight="1">
      <c r="A125" s="140" t="s">
        <v>26</v>
      </c>
      <c r="B125" s="140"/>
      <c r="C125" s="140"/>
      <c r="D125" s="140"/>
      <c r="E125" s="140"/>
      <c r="F125" s="140"/>
      <c r="G125" s="140"/>
      <c r="H125" s="140"/>
      <c r="I125" s="140"/>
      <c r="J125" s="140"/>
      <c r="K125" s="140"/>
      <c r="L125" s="140"/>
      <c r="M125" s="140"/>
      <c r="N125" s="140"/>
      <c r="O125" s="140"/>
      <c r="P125" s="140"/>
      <c r="Q125" s="140"/>
      <c r="R125" s="140"/>
      <c r="S125" s="140"/>
      <c r="T125" s="140"/>
      <c r="U125" s="140"/>
    </row>
    <row r="126" spans="1:21" ht="48.95" customHeight="1">
      <c r="A126" s="140" t="s">
        <v>113</v>
      </c>
      <c r="B126" s="140"/>
      <c r="C126" s="140"/>
      <c r="D126" s="140"/>
      <c r="E126" s="140"/>
      <c r="F126" s="140"/>
      <c r="G126" s="140"/>
      <c r="H126" s="140"/>
      <c r="I126" s="140"/>
      <c r="J126" s="140"/>
      <c r="K126" s="140"/>
      <c r="L126" s="140"/>
      <c r="M126" s="140"/>
      <c r="N126" s="140"/>
      <c r="O126" s="140"/>
      <c r="P126" s="140"/>
      <c r="Q126" s="140"/>
      <c r="R126" s="140"/>
      <c r="S126" s="140"/>
      <c r="T126" s="140"/>
      <c r="U126" s="140"/>
    </row>
    <row r="127" spans="1:21" ht="30" customHeight="1">
      <c r="A127" s="140" t="s">
        <v>25</v>
      </c>
      <c r="B127" s="140"/>
      <c r="C127" s="140"/>
      <c r="D127" s="140"/>
      <c r="E127" s="140"/>
      <c r="F127" s="140"/>
      <c r="G127" s="140"/>
      <c r="H127" s="140"/>
      <c r="I127" s="140"/>
      <c r="J127" s="140"/>
      <c r="K127" s="140"/>
      <c r="L127" s="140"/>
      <c r="M127" s="140"/>
      <c r="N127" s="140"/>
      <c r="O127" s="140"/>
      <c r="P127" s="140"/>
      <c r="Q127" s="140"/>
      <c r="R127" s="140"/>
      <c r="S127" s="140"/>
      <c r="T127" s="140"/>
      <c r="U127" s="140"/>
    </row>
    <row r="128" spans="1:21" ht="26.1" customHeight="1">
      <c r="A128" s="140" t="s">
        <v>24</v>
      </c>
      <c r="B128" s="140"/>
      <c r="C128" s="140"/>
      <c r="D128" s="140"/>
      <c r="E128" s="140"/>
      <c r="F128" s="140"/>
      <c r="G128" s="140"/>
      <c r="H128" s="140"/>
      <c r="I128" s="140"/>
      <c r="J128" s="140"/>
      <c r="K128" s="140"/>
      <c r="L128" s="140"/>
      <c r="M128" s="140"/>
      <c r="N128" s="140"/>
      <c r="O128" s="140"/>
      <c r="P128" s="140"/>
      <c r="Q128" s="140"/>
      <c r="R128" s="140"/>
      <c r="S128" s="140"/>
      <c r="T128" s="140"/>
      <c r="U128" s="140"/>
    </row>
    <row r="129" spans="1:21" ht="9.9499999999999993" customHeight="1">
      <c r="A129" s="2"/>
      <c r="B129" s="6"/>
      <c r="C129" s="6"/>
      <c r="D129" s="6"/>
      <c r="E129" s="6"/>
      <c r="F129" s="6"/>
      <c r="G129" s="6"/>
      <c r="H129" s="6"/>
      <c r="I129" s="6"/>
      <c r="J129" s="6"/>
      <c r="K129" s="6"/>
      <c r="L129" s="6"/>
      <c r="M129" s="6"/>
      <c r="N129" s="6"/>
      <c r="O129" s="6"/>
      <c r="P129" s="6"/>
      <c r="Q129" s="6"/>
      <c r="R129" s="6"/>
      <c r="S129" s="6"/>
      <c r="T129" s="6"/>
      <c r="U129" s="6"/>
    </row>
    <row r="130" spans="1:21">
      <c r="A130" s="144" t="s">
        <v>23</v>
      </c>
      <c r="B130" s="144"/>
      <c r="C130" s="144"/>
      <c r="D130" s="144"/>
      <c r="E130" s="144"/>
      <c r="F130" s="144"/>
      <c r="G130" s="144"/>
      <c r="H130" s="144"/>
      <c r="I130" s="144"/>
      <c r="J130" s="144"/>
      <c r="K130" s="144"/>
      <c r="L130" s="144"/>
      <c r="M130" s="144"/>
      <c r="N130" s="144"/>
      <c r="O130" s="144"/>
      <c r="P130" s="144"/>
      <c r="Q130" s="144"/>
      <c r="R130" s="144"/>
      <c r="S130" s="144"/>
      <c r="T130" s="144"/>
      <c r="U130" s="144"/>
    </row>
    <row r="131" spans="1:21" ht="86.45" customHeight="1">
      <c r="A131" s="140" t="s">
        <v>114</v>
      </c>
      <c r="B131" s="140"/>
      <c r="C131" s="140"/>
      <c r="D131" s="140"/>
      <c r="E131" s="140"/>
      <c r="F131" s="140"/>
      <c r="G131" s="140"/>
      <c r="H131" s="140"/>
      <c r="I131" s="140"/>
      <c r="J131" s="140"/>
      <c r="K131" s="140"/>
      <c r="L131" s="140"/>
      <c r="M131" s="140"/>
      <c r="N131" s="140"/>
      <c r="O131" s="140"/>
      <c r="P131" s="140"/>
      <c r="Q131" s="140"/>
      <c r="R131" s="140"/>
      <c r="S131" s="140"/>
      <c r="T131" s="140"/>
      <c r="U131" s="140"/>
    </row>
    <row r="132" spans="1:21" ht="25.5" customHeight="1">
      <c r="A132" s="140" t="s">
        <v>22</v>
      </c>
      <c r="B132" s="140"/>
      <c r="C132" s="140"/>
      <c r="D132" s="140"/>
      <c r="E132" s="140"/>
      <c r="F132" s="140"/>
      <c r="G132" s="140"/>
      <c r="H132" s="140"/>
      <c r="I132" s="140"/>
      <c r="J132" s="140"/>
      <c r="K132" s="140"/>
      <c r="L132" s="140"/>
      <c r="M132" s="140"/>
      <c r="N132" s="140"/>
      <c r="O132" s="140"/>
      <c r="P132" s="140"/>
      <c r="Q132" s="140"/>
      <c r="R132" s="140"/>
      <c r="S132" s="140"/>
      <c r="T132" s="140"/>
      <c r="U132" s="140"/>
    </row>
    <row r="133" spans="1:21" ht="9.9499999999999993" customHeight="1">
      <c r="A133" s="2"/>
      <c r="B133" s="6"/>
      <c r="C133" s="6"/>
      <c r="D133" s="6"/>
      <c r="E133" s="6"/>
      <c r="F133" s="6"/>
      <c r="G133" s="6"/>
      <c r="H133" s="6"/>
      <c r="I133" s="6"/>
      <c r="J133" s="6"/>
      <c r="K133" s="6"/>
      <c r="L133" s="6"/>
      <c r="M133" s="6"/>
      <c r="N133" s="6"/>
      <c r="O133" s="6"/>
      <c r="P133" s="6"/>
      <c r="Q133" s="6"/>
      <c r="R133" s="6"/>
      <c r="S133" s="6"/>
      <c r="T133" s="6"/>
      <c r="U133" s="6"/>
    </row>
    <row r="134" spans="1:21">
      <c r="A134" s="144" t="s">
        <v>21</v>
      </c>
      <c r="B134" s="144"/>
      <c r="C134" s="144"/>
      <c r="D134" s="144"/>
      <c r="E134" s="144"/>
      <c r="F134" s="144"/>
      <c r="G134" s="144"/>
      <c r="H134" s="144"/>
      <c r="I134" s="144"/>
      <c r="J134" s="144"/>
      <c r="K134" s="144"/>
      <c r="L134" s="144"/>
      <c r="M134" s="144"/>
      <c r="N134" s="144"/>
      <c r="O134" s="144"/>
      <c r="P134" s="144"/>
      <c r="Q134" s="144"/>
      <c r="R134" s="144"/>
      <c r="S134" s="144"/>
      <c r="T134" s="144"/>
      <c r="U134" s="144"/>
    </row>
    <row r="135" spans="1:21" ht="77.45" customHeight="1">
      <c r="A135" s="140" t="s">
        <v>115</v>
      </c>
      <c r="B135" s="140"/>
      <c r="C135" s="140"/>
      <c r="D135" s="140"/>
      <c r="E135" s="140"/>
      <c r="F135" s="140"/>
      <c r="G135" s="140"/>
      <c r="H135" s="140"/>
      <c r="I135" s="140"/>
      <c r="J135" s="140"/>
      <c r="K135" s="140"/>
      <c r="L135" s="140"/>
      <c r="M135" s="140"/>
      <c r="N135" s="140"/>
      <c r="O135" s="140"/>
      <c r="P135" s="140"/>
      <c r="Q135" s="140"/>
      <c r="R135" s="140"/>
      <c r="S135" s="140"/>
      <c r="T135" s="140"/>
      <c r="U135" s="140"/>
    </row>
    <row r="136" spans="1:21" ht="41.45" customHeight="1">
      <c r="A136" s="140" t="s">
        <v>116</v>
      </c>
      <c r="B136" s="140"/>
      <c r="C136" s="140"/>
      <c r="D136" s="140"/>
      <c r="E136" s="140"/>
      <c r="F136" s="140"/>
      <c r="G136" s="140"/>
      <c r="H136" s="140"/>
      <c r="I136" s="140"/>
      <c r="J136" s="140"/>
      <c r="K136" s="140"/>
      <c r="L136" s="140"/>
      <c r="M136" s="140"/>
      <c r="N136" s="140"/>
      <c r="O136" s="140"/>
      <c r="P136" s="140"/>
      <c r="Q136" s="140"/>
      <c r="R136" s="140"/>
      <c r="S136" s="140"/>
      <c r="T136" s="140"/>
      <c r="U136" s="140"/>
    </row>
    <row r="137" spans="1:21" ht="51" customHeight="1">
      <c r="A137" s="140" t="s">
        <v>117</v>
      </c>
      <c r="B137" s="140"/>
      <c r="C137" s="140"/>
      <c r="D137" s="140"/>
      <c r="E137" s="140"/>
      <c r="F137" s="140"/>
      <c r="G137" s="140"/>
      <c r="H137" s="140"/>
      <c r="I137" s="140"/>
      <c r="J137" s="140"/>
      <c r="K137" s="140"/>
      <c r="L137" s="140"/>
      <c r="M137" s="140"/>
      <c r="N137" s="140"/>
      <c r="O137" s="140"/>
      <c r="P137" s="140"/>
      <c r="Q137" s="140"/>
      <c r="R137" s="140"/>
      <c r="S137" s="140"/>
      <c r="T137" s="140"/>
      <c r="U137" s="140"/>
    </row>
    <row r="138" spans="1:21" ht="54" customHeight="1">
      <c r="A138" s="140" t="s">
        <v>20</v>
      </c>
      <c r="B138" s="140"/>
      <c r="C138" s="140"/>
      <c r="D138" s="140"/>
      <c r="E138" s="140"/>
      <c r="F138" s="140"/>
      <c r="G138" s="140"/>
      <c r="H138" s="140"/>
      <c r="I138" s="140"/>
      <c r="J138" s="140"/>
      <c r="K138" s="140"/>
      <c r="L138" s="140"/>
      <c r="M138" s="140"/>
      <c r="N138" s="140"/>
      <c r="O138" s="140"/>
      <c r="P138" s="140"/>
      <c r="Q138" s="140"/>
      <c r="R138" s="140"/>
      <c r="S138" s="140"/>
      <c r="T138" s="140"/>
      <c r="U138" s="140"/>
    </row>
    <row r="139" spans="1:21" ht="42.6" customHeight="1">
      <c r="A139" s="140" t="s">
        <v>19</v>
      </c>
      <c r="B139" s="140"/>
      <c r="C139" s="140"/>
      <c r="D139" s="140"/>
      <c r="E139" s="140"/>
      <c r="F139" s="140"/>
      <c r="G139" s="140"/>
      <c r="H139" s="140"/>
      <c r="I139" s="140"/>
      <c r="J139" s="140"/>
      <c r="K139" s="140"/>
      <c r="L139" s="140"/>
      <c r="M139" s="140"/>
      <c r="N139" s="140"/>
      <c r="O139" s="140"/>
      <c r="P139" s="140"/>
      <c r="Q139" s="140"/>
      <c r="R139" s="140"/>
      <c r="S139" s="140"/>
      <c r="T139" s="140"/>
      <c r="U139" s="140"/>
    </row>
    <row r="140" spans="1:21" ht="9.9499999999999993" customHeight="1">
      <c r="A140" s="2"/>
      <c r="B140" s="6"/>
      <c r="C140" s="6"/>
      <c r="D140" s="6"/>
      <c r="E140" s="6"/>
      <c r="F140" s="6"/>
      <c r="G140" s="6"/>
      <c r="H140" s="6"/>
      <c r="I140" s="6"/>
      <c r="J140" s="6"/>
      <c r="K140" s="6"/>
      <c r="L140" s="6"/>
      <c r="M140" s="6"/>
      <c r="N140" s="6"/>
      <c r="O140" s="6"/>
      <c r="P140" s="6"/>
      <c r="Q140" s="6"/>
      <c r="R140" s="6"/>
      <c r="S140" s="6"/>
      <c r="T140" s="6"/>
      <c r="U140" s="6"/>
    </row>
    <row r="141" spans="1:21">
      <c r="A141" s="144" t="s">
        <v>18</v>
      </c>
      <c r="B141" s="144"/>
      <c r="C141" s="144"/>
      <c r="D141" s="144"/>
      <c r="E141" s="144"/>
      <c r="F141" s="144"/>
      <c r="G141" s="144"/>
      <c r="H141" s="144"/>
      <c r="I141" s="144"/>
      <c r="J141" s="144"/>
      <c r="K141" s="144"/>
      <c r="L141" s="144"/>
      <c r="M141" s="144"/>
      <c r="N141" s="144"/>
      <c r="O141" s="144"/>
      <c r="P141" s="144"/>
      <c r="Q141" s="144"/>
      <c r="R141" s="144"/>
      <c r="S141" s="144"/>
      <c r="T141" s="144"/>
      <c r="U141" s="144"/>
    </row>
    <row r="142" spans="1:21" ht="30" customHeight="1">
      <c r="A142" s="140" t="s">
        <v>17</v>
      </c>
      <c r="B142" s="140"/>
      <c r="C142" s="140"/>
      <c r="D142" s="140"/>
      <c r="E142" s="140"/>
      <c r="F142" s="140"/>
      <c r="G142" s="140"/>
      <c r="H142" s="140"/>
      <c r="I142" s="140"/>
      <c r="J142" s="140"/>
      <c r="K142" s="140"/>
      <c r="L142" s="140"/>
      <c r="M142" s="140"/>
      <c r="N142" s="140"/>
      <c r="O142" s="140"/>
      <c r="P142" s="140"/>
      <c r="Q142" s="140"/>
      <c r="R142" s="140"/>
      <c r="S142" s="140"/>
      <c r="T142" s="140"/>
      <c r="U142" s="140"/>
    </row>
    <row r="143" spans="1:21" ht="142.5" customHeight="1">
      <c r="A143" s="140" t="s">
        <v>118</v>
      </c>
      <c r="B143" s="140"/>
      <c r="C143" s="140"/>
      <c r="D143" s="140"/>
      <c r="E143" s="140"/>
      <c r="F143" s="140"/>
      <c r="G143" s="140"/>
      <c r="H143" s="140"/>
      <c r="I143" s="140"/>
      <c r="J143" s="140"/>
      <c r="K143" s="140"/>
      <c r="L143" s="140"/>
      <c r="M143" s="140"/>
      <c r="N143" s="140"/>
      <c r="O143" s="140"/>
      <c r="P143" s="140"/>
      <c r="Q143" s="140"/>
      <c r="R143" s="140"/>
      <c r="S143" s="140"/>
      <c r="T143" s="140"/>
      <c r="U143" s="140"/>
    </row>
    <row r="144" spans="1:21" ht="15" customHeight="1">
      <c r="A144" s="13"/>
      <c r="B144" s="13"/>
      <c r="C144" s="13"/>
      <c r="D144" s="13"/>
      <c r="E144" s="13"/>
      <c r="F144" s="13"/>
      <c r="G144" s="13"/>
      <c r="H144" s="13"/>
      <c r="I144" s="13"/>
      <c r="J144" s="13"/>
      <c r="K144" s="13"/>
      <c r="L144" s="13"/>
      <c r="M144" s="13"/>
      <c r="N144" s="13"/>
      <c r="O144" s="32" t="s">
        <v>6</v>
      </c>
      <c r="P144" s="145"/>
      <c r="Q144" s="146"/>
      <c r="R144" s="33"/>
      <c r="S144" s="32" t="s">
        <v>6</v>
      </c>
      <c r="T144" s="145"/>
      <c r="U144" s="146"/>
    </row>
    <row r="145" spans="1:21">
      <c r="A145" s="109" t="s">
        <v>367</v>
      </c>
      <c r="B145" s="109"/>
      <c r="C145" s="109"/>
      <c r="D145" s="109"/>
      <c r="E145" s="109"/>
      <c r="F145" s="109"/>
      <c r="G145" s="109"/>
      <c r="H145" s="109"/>
      <c r="I145" s="109"/>
      <c r="J145" s="109"/>
      <c r="K145" s="109"/>
      <c r="L145" s="109"/>
      <c r="M145" s="109"/>
      <c r="N145" s="109"/>
      <c r="O145" s="109"/>
      <c r="P145" s="109"/>
      <c r="Q145" s="109"/>
      <c r="R145" s="109"/>
      <c r="S145" s="109"/>
      <c r="T145" s="109"/>
      <c r="U145" s="109"/>
    </row>
    <row r="146" spans="1:21" ht="18.600000000000001" customHeight="1">
      <c r="A146" s="6"/>
      <c r="B146" s="6"/>
      <c r="C146" s="6"/>
      <c r="D146" s="6"/>
      <c r="E146" s="6"/>
      <c r="F146" s="6"/>
      <c r="G146" s="6"/>
      <c r="H146" s="6"/>
      <c r="I146" s="6"/>
      <c r="J146" s="6"/>
      <c r="K146" s="80" t="s">
        <v>157</v>
      </c>
      <c r="L146" s="80"/>
      <c r="M146" s="80"/>
      <c r="N146" s="81"/>
      <c r="O146" s="82">
        <f>O119</f>
        <v>0</v>
      </c>
      <c r="P146" s="83"/>
      <c r="Q146" s="83"/>
      <c r="R146" s="83"/>
      <c r="S146" s="83"/>
      <c r="T146" s="83"/>
      <c r="U146" s="84"/>
    </row>
    <row r="147" spans="1:21" ht="9.9499999999999993" customHeight="1">
      <c r="A147" s="6"/>
      <c r="B147" s="6"/>
      <c r="C147" s="6"/>
      <c r="D147" s="6"/>
      <c r="E147" s="6"/>
      <c r="F147" s="6"/>
      <c r="G147" s="6"/>
      <c r="H147" s="6"/>
      <c r="I147" s="6"/>
      <c r="J147" s="6"/>
      <c r="K147" s="6"/>
      <c r="L147" s="6"/>
      <c r="M147" s="6"/>
      <c r="N147" s="6"/>
      <c r="O147" s="6"/>
      <c r="P147" s="6"/>
      <c r="Q147" s="6"/>
      <c r="R147" s="6"/>
      <c r="S147" s="6"/>
      <c r="T147" s="6"/>
      <c r="U147" s="6"/>
    </row>
    <row r="148" spans="1:21">
      <c r="A148" s="144" t="s">
        <v>16</v>
      </c>
      <c r="B148" s="144"/>
      <c r="C148" s="144"/>
      <c r="D148" s="144"/>
      <c r="E148" s="144"/>
      <c r="F148" s="144"/>
      <c r="G148" s="144"/>
      <c r="H148" s="144"/>
      <c r="I148" s="144"/>
      <c r="J148" s="144"/>
      <c r="K148" s="144"/>
      <c r="L148" s="144"/>
      <c r="M148" s="144"/>
      <c r="N148" s="144"/>
      <c r="O148" s="144"/>
      <c r="P148" s="144"/>
      <c r="Q148" s="144"/>
      <c r="R148" s="144"/>
      <c r="S148" s="144"/>
      <c r="T148" s="144"/>
      <c r="U148" s="144"/>
    </row>
    <row r="149" spans="1:21" ht="25.5" customHeight="1">
      <c r="A149" s="140" t="s">
        <v>119</v>
      </c>
      <c r="B149" s="140"/>
      <c r="C149" s="140"/>
      <c r="D149" s="140"/>
      <c r="E149" s="140"/>
      <c r="F149" s="140"/>
      <c r="G149" s="140"/>
      <c r="H149" s="140"/>
      <c r="I149" s="140"/>
      <c r="J149" s="140"/>
      <c r="K149" s="140"/>
      <c r="L149" s="140"/>
      <c r="M149" s="140"/>
      <c r="N149" s="140"/>
      <c r="O149" s="140"/>
      <c r="P149" s="140"/>
      <c r="Q149" s="140"/>
      <c r="R149" s="140"/>
      <c r="S149" s="140"/>
      <c r="T149" s="140"/>
      <c r="U149" s="140"/>
    </row>
    <row r="150" spans="1:21" ht="32.1" customHeight="1">
      <c r="A150" s="140" t="s">
        <v>120</v>
      </c>
      <c r="B150" s="140"/>
      <c r="C150" s="140"/>
      <c r="D150" s="140"/>
      <c r="E150" s="140"/>
      <c r="F150" s="140"/>
      <c r="G150" s="140"/>
      <c r="H150" s="140"/>
      <c r="I150" s="140"/>
      <c r="J150" s="140"/>
      <c r="K150" s="140"/>
      <c r="L150" s="140"/>
      <c r="M150" s="140"/>
      <c r="N150" s="140"/>
      <c r="O150" s="140"/>
      <c r="P150" s="140"/>
      <c r="Q150" s="140"/>
      <c r="R150" s="140"/>
      <c r="S150" s="140"/>
      <c r="T150" s="140"/>
      <c r="U150" s="140"/>
    </row>
    <row r="151" spans="1:21" ht="20.100000000000001" customHeight="1">
      <c r="A151" s="140" t="s">
        <v>121</v>
      </c>
      <c r="B151" s="140"/>
      <c r="C151" s="140"/>
      <c r="D151" s="140"/>
      <c r="E151" s="140"/>
      <c r="F151" s="140"/>
      <c r="G151" s="140"/>
      <c r="H151" s="140"/>
      <c r="I151" s="140"/>
      <c r="J151" s="140"/>
      <c r="K151" s="140"/>
      <c r="L151" s="140"/>
      <c r="M151" s="140"/>
      <c r="N151" s="140"/>
      <c r="O151" s="140"/>
      <c r="P151" s="140"/>
      <c r="Q151" s="140"/>
      <c r="R151" s="140"/>
      <c r="S151" s="140"/>
      <c r="T151" s="140"/>
      <c r="U151" s="140"/>
    </row>
    <row r="152" spans="1:21" ht="27.95" customHeight="1">
      <c r="A152" s="140" t="s">
        <v>122</v>
      </c>
      <c r="B152" s="140"/>
      <c r="C152" s="140"/>
      <c r="D152" s="140"/>
      <c r="E152" s="140"/>
      <c r="F152" s="140"/>
      <c r="G152" s="140"/>
      <c r="H152" s="140"/>
      <c r="I152" s="140"/>
      <c r="J152" s="140"/>
      <c r="K152" s="140"/>
      <c r="L152" s="140"/>
      <c r="M152" s="140"/>
      <c r="N152" s="140"/>
      <c r="O152" s="140"/>
      <c r="P152" s="140"/>
      <c r="Q152" s="140"/>
      <c r="R152" s="140"/>
      <c r="S152" s="140"/>
      <c r="T152" s="140"/>
      <c r="U152" s="140"/>
    </row>
    <row r="153" spans="1:21" ht="32.450000000000003" customHeight="1">
      <c r="A153" s="140" t="s">
        <v>15</v>
      </c>
      <c r="B153" s="140"/>
      <c r="C153" s="140"/>
      <c r="D153" s="140"/>
      <c r="E153" s="140"/>
      <c r="F153" s="140"/>
      <c r="G153" s="140"/>
      <c r="H153" s="140"/>
      <c r="I153" s="140"/>
      <c r="J153" s="140"/>
      <c r="K153" s="140"/>
      <c r="L153" s="140"/>
      <c r="M153" s="140"/>
      <c r="N153" s="140"/>
      <c r="O153" s="140"/>
      <c r="P153" s="140"/>
      <c r="Q153" s="140"/>
      <c r="R153" s="140"/>
      <c r="S153" s="140"/>
      <c r="T153" s="140"/>
      <c r="U153" s="140"/>
    </row>
    <row r="154" spans="1:21" ht="78.95" customHeight="1">
      <c r="A154" s="140" t="s">
        <v>123</v>
      </c>
      <c r="B154" s="140"/>
      <c r="C154" s="140"/>
      <c r="D154" s="140"/>
      <c r="E154" s="140"/>
      <c r="F154" s="140"/>
      <c r="G154" s="140"/>
      <c r="H154" s="140"/>
      <c r="I154" s="140"/>
      <c r="J154" s="140"/>
      <c r="K154" s="140"/>
      <c r="L154" s="140"/>
      <c r="M154" s="140"/>
      <c r="N154" s="140"/>
      <c r="O154" s="140"/>
      <c r="P154" s="140"/>
      <c r="Q154" s="140"/>
      <c r="R154" s="140"/>
      <c r="S154" s="140"/>
      <c r="T154" s="140"/>
      <c r="U154" s="140"/>
    </row>
    <row r="155" spans="1:21">
      <c r="A155" s="2"/>
      <c r="B155" s="6"/>
      <c r="C155" s="6"/>
      <c r="D155" s="6"/>
      <c r="E155" s="6"/>
      <c r="F155" s="6"/>
      <c r="G155" s="6"/>
      <c r="H155" s="6"/>
      <c r="I155" s="6"/>
      <c r="J155" s="6"/>
      <c r="K155" s="6"/>
      <c r="L155" s="6"/>
      <c r="M155" s="6"/>
      <c r="N155" s="6"/>
      <c r="O155" s="6"/>
      <c r="P155" s="6"/>
      <c r="Q155" s="6"/>
      <c r="R155" s="6"/>
      <c r="S155" s="6"/>
      <c r="T155" s="6"/>
      <c r="U155" s="6"/>
    </row>
    <row r="156" spans="1:21">
      <c r="A156" s="144" t="s">
        <v>14</v>
      </c>
      <c r="B156" s="144"/>
      <c r="C156" s="144"/>
      <c r="D156" s="144"/>
      <c r="E156" s="144"/>
      <c r="F156" s="144"/>
      <c r="G156" s="144"/>
      <c r="H156" s="144"/>
      <c r="I156" s="144"/>
      <c r="J156" s="144"/>
      <c r="K156" s="144"/>
      <c r="L156" s="144"/>
      <c r="M156" s="144"/>
      <c r="N156" s="144"/>
      <c r="O156" s="144"/>
      <c r="P156" s="144"/>
      <c r="Q156" s="144"/>
      <c r="R156" s="144"/>
      <c r="S156" s="144"/>
      <c r="T156" s="144"/>
      <c r="U156" s="144"/>
    </row>
    <row r="157" spans="1:21" ht="30" customHeight="1">
      <c r="A157" s="140" t="s">
        <v>124</v>
      </c>
      <c r="B157" s="140"/>
      <c r="C157" s="140"/>
      <c r="D157" s="140"/>
      <c r="E157" s="140"/>
      <c r="F157" s="140"/>
      <c r="G157" s="140"/>
      <c r="H157" s="140"/>
      <c r="I157" s="140"/>
      <c r="J157" s="140"/>
      <c r="K157" s="140"/>
      <c r="L157" s="140"/>
      <c r="M157" s="140"/>
      <c r="N157" s="140"/>
      <c r="O157" s="140"/>
      <c r="P157" s="140"/>
      <c r="Q157" s="140"/>
      <c r="R157" s="140"/>
      <c r="S157" s="140"/>
      <c r="T157" s="140"/>
      <c r="U157" s="140"/>
    </row>
    <row r="158" spans="1:21">
      <c r="A158" s="2"/>
      <c r="B158" s="6"/>
      <c r="C158" s="6"/>
      <c r="D158" s="6"/>
      <c r="E158" s="6"/>
      <c r="F158" s="6"/>
      <c r="G158" s="6"/>
      <c r="H158" s="6"/>
      <c r="I158" s="6"/>
      <c r="J158" s="6"/>
      <c r="K158" s="6"/>
      <c r="L158" s="6"/>
      <c r="M158" s="6"/>
      <c r="N158" s="6"/>
      <c r="O158" s="6"/>
      <c r="P158" s="6"/>
      <c r="Q158" s="6"/>
      <c r="R158" s="6"/>
      <c r="S158" s="6"/>
      <c r="T158" s="6"/>
      <c r="U158" s="6"/>
    </row>
    <row r="159" spans="1:21">
      <c r="A159" s="144" t="s">
        <v>13</v>
      </c>
      <c r="B159" s="144"/>
      <c r="C159" s="144"/>
      <c r="D159" s="144"/>
      <c r="E159" s="144"/>
      <c r="F159" s="144"/>
      <c r="G159" s="144"/>
      <c r="H159" s="144"/>
      <c r="I159" s="144"/>
      <c r="J159" s="144"/>
      <c r="K159" s="144"/>
      <c r="L159" s="144"/>
      <c r="M159" s="144"/>
      <c r="N159" s="144"/>
      <c r="O159" s="144"/>
      <c r="P159" s="144"/>
      <c r="Q159" s="144"/>
      <c r="R159" s="144"/>
      <c r="S159" s="144"/>
      <c r="T159" s="144"/>
      <c r="U159" s="144"/>
    </row>
    <row r="160" spans="1:21" ht="30.95" customHeight="1">
      <c r="A160" s="140" t="s">
        <v>125</v>
      </c>
      <c r="B160" s="140"/>
      <c r="C160" s="140"/>
      <c r="D160" s="140"/>
      <c r="E160" s="140"/>
      <c r="F160" s="140"/>
      <c r="G160" s="140"/>
      <c r="H160" s="140"/>
      <c r="I160" s="140"/>
      <c r="J160" s="140"/>
      <c r="K160" s="140"/>
      <c r="L160" s="140"/>
      <c r="M160" s="140"/>
      <c r="N160" s="140"/>
      <c r="O160" s="140"/>
      <c r="P160" s="140"/>
      <c r="Q160" s="140"/>
      <c r="R160" s="140"/>
      <c r="S160" s="140"/>
      <c r="T160" s="140"/>
      <c r="U160" s="140"/>
    </row>
    <row r="161" spans="1:21">
      <c r="A161" s="2"/>
      <c r="B161" s="6"/>
      <c r="C161" s="6"/>
      <c r="D161" s="6"/>
      <c r="E161" s="6"/>
      <c r="F161" s="6"/>
      <c r="G161" s="6"/>
      <c r="H161" s="6"/>
      <c r="I161" s="6"/>
      <c r="J161" s="6"/>
      <c r="K161" s="6"/>
      <c r="L161" s="6"/>
      <c r="M161" s="6"/>
      <c r="N161" s="6"/>
      <c r="O161" s="6"/>
      <c r="P161" s="6"/>
      <c r="Q161" s="6"/>
      <c r="R161" s="6"/>
      <c r="S161" s="6"/>
      <c r="T161" s="6"/>
      <c r="U161" s="6"/>
    </row>
    <row r="162" spans="1:21">
      <c r="A162" s="144" t="s">
        <v>12</v>
      </c>
      <c r="B162" s="144"/>
      <c r="C162" s="144"/>
      <c r="D162" s="144"/>
      <c r="E162" s="144"/>
      <c r="F162" s="144"/>
      <c r="G162" s="144"/>
      <c r="H162" s="144"/>
      <c r="I162" s="144"/>
      <c r="J162" s="144"/>
      <c r="K162" s="144"/>
      <c r="L162" s="144"/>
      <c r="M162" s="144"/>
      <c r="N162" s="144"/>
      <c r="O162" s="144"/>
      <c r="P162" s="144"/>
      <c r="Q162" s="144"/>
      <c r="R162" s="144"/>
      <c r="S162" s="144"/>
      <c r="T162" s="144"/>
      <c r="U162" s="144"/>
    </row>
    <row r="163" spans="1:21" ht="44.1" customHeight="1">
      <c r="A163" s="140" t="s">
        <v>126</v>
      </c>
      <c r="B163" s="140"/>
      <c r="C163" s="140"/>
      <c r="D163" s="140"/>
      <c r="E163" s="140"/>
      <c r="F163" s="140"/>
      <c r="G163" s="140"/>
      <c r="H163" s="140"/>
      <c r="I163" s="140"/>
      <c r="J163" s="140"/>
      <c r="K163" s="140"/>
      <c r="L163" s="140"/>
      <c r="M163" s="140"/>
      <c r="N163" s="140"/>
      <c r="O163" s="140"/>
      <c r="P163" s="140"/>
      <c r="Q163" s="140"/>
      <c r="R163" s="140"/>
      <c r="S163" s="140"/>
      <c r="T163" s="140"/>
      <c r="U163" s="140"/>
    </row>
    <row r="164" spans="1:21">
      <c r="A164" s="2"/>
      <c r="B164" s="6"/>
      <c r="C164" s="6"/>
      <c r="D164" s="6"/>
      <c r="E164" s="6"/>
      <c r="F164" s="6"/>
      <c r="G164" s="6"/>
      <c r="H164" s="6"/>
      <c r="I164" s="6"/>
      <c r="J164" s="6"/>
      <c r="K164" s="6"/>
      <c r="L164" s="6"/>
      <c r="M164" s="6"/>
      <c r="N164" s="6"/>
      <c r="O164" s="6"/>
      <c r="P164" s="6"/>
      <c r="Q164" s="6"/>
      <c r="R164" s="6"/>
      <c r="S164" s="6"/>
      <c r="T164" s="6"/>
      <c r="U164" s="6"/>
    </row>
    <row r="165" spans="1:21">
      <c r="A165" s="144" t="s">
        <v>11</v>
      </c>
      <c r="B165" s="144"/>
      <c r="C165" s="144"/>
      <c r="D165" s="144"/>
      <c r="E165" s="144"/>
      <c r="F165" s="144"/>
      <c r="G165" s="144"/>
      <c r="H165" s="144"/>
      <c r="I165" s="144"/>
      <c r="J165" s="144"/>
      <c r="K165" s="144"/>
      <c r="L165" s="144"/>
      <c r="M165" s="144"/>
      <c r="N165" s="144"/>
      <c r="O165" s="144"/>
      <c r="P165" s="144"/>
      <c r="Q165" s="144"/>
      <c r="R165" s="144"/>
      <c r="S165" s="144"/>
      <c r="T165" s="144"/>
      <c r="U165" s="144"/>
    </row>
    <row r="166" spans="1:21" ht="30" customHeight="1">
      <c r="A166" s="140" t="s">
        <v>127</v>
      </c>
      <c r="B166" s="140"/>
      <c r="C166" s="140"/>
      <c r="D166" s="140"/>
      <c r="E166" s="140"/>
      <c r="F166" s="140"/>
      <c r="G166" s="140"/>
      <c r="H166" s="140"/>
      <c r="I166" s="140"/>
      <c r="J166" s="140"/>
      <c r="K166" s="140"/>
      <c r="L166" s="140"/>
      <c r="M166" s="140"/>
      <c r="N166" s="140"/>
      <c r="O166" s="140"/>
      <c r="P166" s="140"/>
      <c r="Q166" s="140"/>
      <c r="R166" s="140"/>
      <c r="S166" s="140"/>
      <c r="T166" s="140"/>
      <c r="U166" s="140"/>
    </row>
    <row r="167" spans="1:21">
      <c r="A167" s="2"/>
      <c r="B167" s="6"/>
      <c r="C167" s="6"/>
      <c r="D167" s="6"/>
      <c r="E167" s="6"/>
      <c r="F167" s="6"/>
      <c r="G167" s="6"/>
      <c r="H167" s="6"/>
      <c r="I167" s="6"/>
      <c r="J167" s="6"/>
      <c r="K167" s="6"/>
      <c r="L167" s="6"/>
      <c r="M167" s="6"/>
      <c r="N167" s="6"/>
      <c r="O167" s="6"/>
      <c r="P167" s="6"/>
      <c r="Q167" s="6"/>
      <c r="R167" s="6"/>
      <c r="S167" s="6"/>
      <c r="T167" s="6"/>
      <c r="U167" s="6"/>
    </row>
    <row r="168" spans="1:21">
      <c r="A168" s="144" t="s">
        <v>10</v>
      </c>
      <c r="B168" s="144"/>
      <c r="C168" s="144"/>
      <c r="D168" s="144"/>
      <c r="E168" s="144"/>
      <c r="F168" s="144"/>
      <c r="G168" s="144"/>
      <c r="H168" s="144"/>
      <c r="I168" s="144"/>
      <c r="J168" s="144"/>
      <c r="K168" s="144"/>
      <c r="L168" s="144"/>
      <c r="M168" s="144"/>
      <c r="N168" s="144"/>
      <c r="O168" s="144"/>
      <c r="P168" s="144"/>
      <c r="Q168" s="144"/>
      <c r="R168" s="144"/>
      <c r="S168" s="144"/>
      <c r="T168" s="144"/>
      <c r="U168" s="144"/>
    </row>
    <row r="169" spans="1:21" ht="57.6" customHeight="1">
      <c r="A169" s="140" t="s">
        <v>9</v>
      </c>
      <c r="B169" s="140"/>
      <c r="C169" s="140"/>
      <c r="D169" s="140"/>
      <c r="E169" s="140"/>
      <c r="F169" s="140"/>
      <c r="G169" s="140"/>
      <c r="H169" s="140"/>
      <c r="I169" s="140"/>
      <c r="J169" s="140"/>
      <c r="K169" s="140"/>
      <c r="L169" s="140"/>
      <c r="M169" s="140"/>
      <c r="N169" s="140"/>
      <c r="O169" s="140"/>
      <c r="P169" s="140"/>
      <c r="Q169" s="140"/>
      <c r="R169" s="140"/>
      <c r="S169" s="140"/>
      <c r="T169" s="140"/>
      <c r="U169" s="140"/>
    </row>
    <row r="170" spans="1:21">
      <c r="A170" s="2"/>
      <c r="B170" s="6"/>
      <c r="C170" s="6"/>
      <c r="D170" s="6"/>
      <c r="E170" s="6"/>
      <c r="F170" s="6"/>
      <c r="G170" s="6"/>
      <c r="H170" s="6"/>
      <c r="I170" s="6"/>
      <c r="J170" s="6"/>
      <c r="K170" s="6"/>
      <c r="L170" s="6"/>
      <c r="M170" s="6"/>
      <c r="N170" s="6"/>
      <c r="O170" s="6"/>
      <c r="P170" s="6"/>
      <c r="Q170" s="6"/>
      <c r="R170" s="6"/>
      <c r="S170" s="6"/>
      <c r="T170" s="6"/>
      <c r="U170" s="6"/>
    </row>
    <row r="171" spans="1:21">
      <c r="A171" s="144" t="s">
        <v>8</v>
      </c>
      <c r="B171" s="144"/>
      <c r="C171" s="144"/>
      <c r="D171" s="144"/>
      <c r="E171" s="144"/>
      <c r="F171" s="144"/>
      <c r="G171" s="144"/>
      <c r="H171" s="144"/>
      <c r="I171" s="144"/>
      <c r="J171" s="144"/>
      <c r="K171" s="144"/>
      <c r="L171" s="144"/>
      <c r="M171" s="144"/>
      <c r="N171" s="144"/>
      <c r="O171" s="144"/>
      <c r="P171" s="144"/>
      <c r="Q171" s="144"/>
      <c r="R171" s="144"/>
      <c r="S171" s="144"/>
      <c r="T171" s="144"/>
      <c r="U171" s="144"/>
    </row>
    <row r="172" spans="1:21" ht="20.100000000000001" customHeight="1">
      <c r="A172" s="140" t="s">
        <v>128</v>
      </c>
      <c r="B172" s="140"/>
      <c r="C172" s="140"/>
      <c r="D172" s="140"/>
      <c r="E172" s="140"/>
      <c r="F172" s="140"/>
      <c r="G172" s="140"/>
      <c r="H172" s="140"/>
      <c r="I172" s="140"/>
      <c r="J172" s="140"/>
      <c r="K172" s="140"/>
      <c r="L172" s="140"/>
      <c r="M172" s="140"/>
      <c r="N172" s="140"/>
      <c r="O172" s="140"/>
      <c r="P172" s="140"/>
      <c r="Q172" s="140"/>
      <c r="R172" s="140"/>
      <c r="S172" s="140"/>
      <c r="T172" s="140"/>
      <c r="U172" s="140"/>
    </row>
    <row r="173" spans="1:21">
      <c r="A173" s="2"/>
      <c r="B173" s="6"/>
      <c r="C173" s="6"/>
      <c r="D173" s="6"/>
      <c r="E173" s="6"/>
      <c r="F173" s="6"/>
      <c r="G173" s="6"/>
      <c r="H173" s="6"/>
      <c r="I173" s="6"/>
      <c r="J173" s="6"/>
      <c r="K173" s="6"/>
      <c r="L173" s="6"/>
      <c r="M173" s="6"/>
      <c r="N173" s="6"/>
      <c r="O173" s="6"/>
      <c r="P173" s="6"/>
      <c r="Q173" s="6"/>
      <c r="R173" s="6"/>
      <c r="S173" s="6"/>
      <c r="T173" s="6"/>
      <c r="U173" s="6"/>
    </row>
    <row r="174" spans="1:21">
      <c r="A174" s="144" t="s">
        <v>7</v>
      </c>
      <c r="B174" s="144"/>
      <c r="C174" s="144"/>
      <c r="D174" s="144"/>
      <c r="E174" s="144"/>
      <c r="F174" s="144"/>
      <c r="G174" s="144"/>
      <c r="H174" s="144"/>
      <c r="I174" s="144"/>
      <c r="J174" s="144"/>
      <c r="K174" s="144"/>
      <c r="L174" s="144"/>
      <c r="M174" s="144"/>
      <c r="N174" s="144"/>
      <c r="O174" s="144"/>
      <c r="P174" s="144"/>
      <c r="Q174" s="144"/>
      <c r="R174" s="144"/>
      <c r="S174" s="144"/>
      <c r="T174" s="144"/>
      <c r="U174" s="144"/>
    </row>
    <row r="175" spans="1:21" ht="78.599999999999994" customHeight="1">
      <c r="A175" s="140" t="s">
        <v>129</v>
      </c>
      <c r="B175" s="140"/>
      <c r="C175" s="140"/>
      <c r="D175" s="140"/>
      <c r="E175" s="140"/>
      <c r="F175" s="140"/>
      <c r="G175" s="140"/>
      <c r="H175" s="140"/>
      <c r="I175" s="140"/>
      <c r="J175" s="140"/>
      <c r="K175" s="140"/>
      <c r="L175" s="140"/>
      <c r="M175" s="140"/>
      <c r="N175" s="140"/>
      <c r="O175" s="140"/>
      <c r="P175" s="140"/>
      <c r="Q175" s="140"/>
      <c r="R175" s="140"/>
      <c r="S175" s="140"/>
      <c r="T175" s="140"/>
      <c r="U175" s="140"/>
    </row>
    <row r="176" spans="1:21" ht="91.5" customHeight="1">
      <c r="A176" s="150" t="s">
        <v>130</v>
      </c>
      <c r="B176" s="150"/>
      <c r="C176" s="150"/>
      <c r="D176" s="150"/>
      <c r="E176" s="150"/>
      <c r="F176" s="150"/>
      <c r="G176" s="150"/>
      <c r="H176" s="150"/>
      <c r="I176" s="150"/>
      <c r="J176" s="150"/>
      <c r="K176" s="150"/>
      <c r="L176" s="150"/>
      <c r="M176" s="150"/>
      <c r="N176" s="150"/>
      <c r="O176" s="150"/>
      <c r="P176" s="150"/>
      <c r="Q176" s="150"/>
      <c r="R176" s="150"/>
      <c r="S176" s="150"/>
      <c r="T176" s="150"/>
      <c r="U176" s="150"/>
    </row>
    <row r="177" spans="1:21" ht="35.1" customHeight="1">
      <c r="A177" s="150" t="s">
        <v>131</v>
      </c>
      <c r="B177" s="150"/>
      <c r="C177" s="150"/>
      <c r="D177" s="150"/>
      <c r="E177" s="150"/>
      <c r="F177" s="150"/>
      <c r="G177" s="150"/>
      <c r="H177" s="150"/>
      <c r="I177" s="150"/>
      <c r="J177" s="150"/>
      <c r="K177" s="150"/>
      <c r="L177" s="150"/>
      <c r="M177" s="150"/>
      <c r="N177" s="150"/>
      <c r="O177" s="150"/>
      <c r="P177" s="150"/>
      <c r="Q177" s="150"/>
      <c r="R177" s="150"/>
      <c r="S177" s="150"/>
      <c r="T177" s="150"/>
      <c r="U177" s="150"/>
    </row>
    <row r="178" spans="1:21" ht="69"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row>
    <row r="179" spans="1:21" ht="15" customHeight="1">
      <c r="A179" s="12"/>
      <c r="E179" s="12"/>
      <c r="F179" s="6"/>
      <c r="G179" s="6"/>
      <c r="H179" s="6"/>
      <c r="I179" s="6"/>
      <c r="J179" s="6"/>
      <c r="K179" s="6"/>
      <c r="L179" s="6"/>
      <c r="M179" s="6"/>
      <c r="N179" s="6"/>
      <c r="O179" s="32" t="s">
        <v>6</v>
      </c>
      <c r="P179" s="145"/>
      <c r="Q179" s="146"/>
      <c r="R179" s="33"/>
      <c r="S179" s="32" t="s">
        <v>6</v>
      </c>
      <c r="T179" s="145"/>
      <c r="U179" s="146"/>
    </row>
    <row r="180" spans="1:21">
      <c r="A180" s="109" t="s">
        <v>366</v>
      </c>
      <c r="B180" s="109"/>
      <c r="C180" s="109"/>
      <c r="D180" s="109"/>
      <c r="E180" s="109"/>
      <c r="F180" s="109"/>
      <c r="G180" s="109"/>
      <c r="H180" s="109"/>
      <c r="I180" s="109"/>
      <c r="J180" s="109"/>
      <c r="K180" s="109"/>
      <c r="L180" s="109"/>
      <c r="M180" s="109"/>
      <c r="N180" s="109"/>
      <c r="O180" s="109"/>
      <c r="P180" s="109"/>
      <c r="Q180" s="109"/>
      <c r="R180" s="109"/>
      <c r="S180" s="109"/>
      <c r="T180" s="109"/>
      <c r="U180" s="109"/>
    </row>
    <row r="181" spans="1:21" ht="18.600000000000001" customHeight="1">
      <c r="A181" s="2"/>
      <c r="B181" s="6"/>
      <c r="C181" s="6"/>
      <c r="D181" s="6"/>
      <c r="E181" s="6"/>
      <c r="F181" s="6"/>
      <c r="G181" s="6"/>
      <c r="H181" s="6"/>
      <c r="I181" s="6"/>
      <c r="J181" s="6"/>
      <c r="K181" s="80" t="s">
        <v>157</v>
      </c>
      <c r="L181" s="80"/>
      <c r="M181" s="80"/>
      <c r="N181" s="81"/>
      <c r="O181" s="82">
        <f>O119</f>
        <v>0</v>
      </c>
      <c r="P181" s="83"/>
      <c r="Q181" s="83"/>
      <c r="R181" s="83"/>
      <c r="S181" s="83"/>
      <c r="T181" s="83"/>
      <c r="U181" s="84"/>
    </row>
    <row r="182" spans="1:21" ht="6" customHeight="1"/>
    <row r="183" spans="1:21" ht="51.95" customHeight="1">
      <c r="A183" s="85" t="s">
        <v>229</v>
      </c>
      <c r="B183" s="85"/>
      <c r="C183" s="85"/>
      <c r="D183" s="85"/>
      <c r="E183" s="85"/>
      <c r="F183" s="85"/>
      <c r="G183" s="85"/>
      <c r="H183" s="85"/>
      <c r="I183" s="85"/>
      <c r="J183" s="85"/>
      <c r="K183" s="85"/>
      <c r="L183" s="85"/>
      <c r="M183" s="85"/>
      <c r="N183" s="85"/>
      <c r="O183" s="85"/>
      <c r="P183" s="85"/>
      <c r="Q183" s="85"/>
      <c r="R183" s="85"/>
      <c r="S183" s="85"/>
      <c r="T183" s="85"/>
      <c r="U183" s="85"/>
    </row>
    <row r="185" spans="1:21" ht="15.6" customHeight="1">
      <c r="A185" s="86" t="s">
        <v>6</v>
      </c>
      <c r="B185" s="86"/>
      <c r="C185" s="1" t="s">
        <v>5</v>
      </c>
    </row>
    <row r="186" spans="1:21">
      <c r="A186" s="74"/>
      <c r="B186" s="75"/>
      <c r="C186" s="79" t="s">
        <v>132</v>
      </c>
      <c r="D186" s="78"/>
      <c r="E186" s="78"/>
      <c r="F186" s="78"/>
      <c r="G186" s="78"/>
      <c r="H186" s="78"/>
      <c r="I186" s="78"/>
      <c r="J186" s="78"/>
      <c r="K186" s="78"/>
      <c r="L186" s="78"/>
      <c r="M186" s="78"/>
      <c r="N186" s="78"/>
      <c r="O186" s="78"/>
      <c r="P186" s="78"/>
      <c r="Q186" s="78"/>
      <c r="R186" s="78"/>
      <c r="S186" s="78"/>
      <c r="T186" s="78"/>
      <c r="U186" s="78"/>
    </row>
    <row r="187" spans="1:21" ht="26.45" customHeight="1">
      <c r="C187" s="87" t="s">
        <v>133</v>
      </c>
      <c r="D187" s="87"/>
      <c r="E187" s="87"/>
      <c r="F187" s="87"/>
      <c r="G187" s="87"/>
      <c r="H187" s="87"/>
      <c r="I187" s="87"/>
      <c r="J187" s="87"/>
      <c r="K187" s="87"/>
      <c r="L187" s="87"/>
      <c r="M187" s="87"/>
      <c r="N187" s="87"/>
      <c r="O187" s="87"/>
      <c r="P187" s="87"/>
      <c r="Q187" s="87"/>
      <c r="R187" s="87"/>
      <c r="S187" s="87"/>
      <c r="T187" s="87"/>
      <c r="U187" s="87"/>
    </row>
    <row r="188" spans="1:21" ht="7.5" customHeight="1"/>
    <row r="189" spans="1:21">
      <c r="A189" s="74"/>
      <c r="B189" s="75"/>
      <c r="C189" s="149" t="s">
        <v>4</v>
      </c>
      <c r="D189" s="78"/>
      <c r="E189" s="78"/>
      <c r="F189" s="78"/>
      <c r="G189" s="78"/>
      <c r="H189" s="78"/>
      <c r="I189" s="78"/>
      <c r="J189" s="78"/>
      <c r="K189" s="78"/>
      <c r="L189" s="78"/>
      <c r="M189" s="78"/>
      <c r="N189" s="78"/>
      <c r="O189" s="78"/>
      <c r="P189" s="78"/>
      <c r="Q189" s="78"/>
      <c r="R189" s="78"/>
      <c r="S189" s="78"/>
      <c r="T189" s="78"/>
      <c r="U189" s="78"/>
    </row>
    <row r="190" spans="1:21">
      <c r="A190" s="8"/>
      <c r="B190" s="8"/>
      <c r="C190" s="10"/>
      <c r="D190" s="9" t="str">
        <f>A28</f>
        <v>Non-Refundable Deposit:</v>
      </c>
      <c r="E190" s="9"/>
      <c r="F190" s="9"/>
      <c r="G190" s="9"/>
      <c r="H190" s="9"/>
      <c r="I190" s="9"/>
      <c r="J190" s="9"/>
      <c r="K190" s="9"/>
      <c r="L190" s="142">
        <f>G28</f>
        <v>0</v>
      </c>
      <c r="M190" s="142"/>
      <c r="N190" s="142"/>
      <c r="O190" s="9"/>
      <c r="P190" s="9"/>
      <c r="Q190" s="9"/>
      <c r="R190" s="9"/>
      <c r="S190" s="9"/>
      <c r="T190" s="9"/>
      <c r="U190" s="9"/>
    </row>
    <row r="191" spans="1:21">
      <c r="C191" s="7"/>
      <c r="D191" s="9" t="str">
        <f>A29</f>
        <v>30% - Prior to Excavation</v>
      </c>
      <c r="L191" s="142">
        <f>G29</f>
        <v>0</v>
      </c>
      <c r="M191" s="142"/>
      <c r="N191" s="142"/>
    </row>
    <row r="192" spans="1:21">
      <c r="D192" s="9" t="str">
        <f>A30</f>
        <v xml:space="preserve">30% - Prior to Shotcete </v>
      </c>
      <c r="L192" s="142">
        <f>G30</f>
        <v>0</v>
      </c>
      <c r="M192" s="142"/>
      <c r="N192" s="142"/>
    </row>
    <row r="193" spans="1:21">
      <c r="D193" s="9" t="str">
        <f>A31</f>
        <v>30% - Prior to Decking</v>
      </c>
      <c r="L193" s="142">
        <f>G31</f>
        <v>0</v>
      </c>
      <c r="M193" s="142"/>
      <c r="N193" s="142"/>
    </row>
    <row r="194" spans="1:21">
      <c r="D194" s="9" t="str">
        <f>A32</f>
        <v xml:space="preserve">10% - Prior to Interior Finish </v>
      </c>
      <c r="L194" s="142">
        <f>G32</f>
        <v>0</v>
      </c>
      <c r="M194" s="142"/>
      <c r="N194" s="142"/>
    </row>
    <row r="195" spans="1:21" ht="7.5" customHeight="1">
      <c r="D195" s="7"/>
    </row>
    <row r="196" spans="1:21">
      <c r="A196" s="74"/>
      <c r="B196" s="75"/>
      <c r="C196" s="78" t="s">
        <v>134</v>
      </c>
      <c r="D196" s="147"/>
      <c r="E196" s="147"/>
      <c r="F196" s="147"/>
      <c r="G196" s="147"/>
      <c r="H196" s="147"/>
      <c r="I196" s="147"/>
      <c r="J196" s="147"/>
      <c r="K196" s="147"/>
      <c r="L196" s="147"/>
      <c r="M196" s="147"/>
      <c r="N196" s="147"/>
      <c r="O196" s="147"/>
      <c r="P196" s="147"/>
      <c r="Q196" s="147"/>
      <c r="R196" s="147"/>
      <c r="S196" s="147"/>
      <c r="T196" s="147"/>
      <c r="U196" s="147"/>
    </row>
    <row r="197" spans="1:21">
      <c r="A197" s="6"/>
      <c r="B197" s="6"/>
      <c r="C197" s="87" t="s">
        <v>135</v>
      </c>
      <c r="D197" s="87"/>
      <c r="E197" s="87"/>
      <c r="F197" s="87"/>
      <c r="G197" s="87"/>
      <c r="H197" s="87"/>
      <c r="I197" s="87"/>
      <c r="J197" s="87"/>
      <c r="K197" s="87"/>
      <c r="L197" s="87"/>
      <c r="M197" s="87"/>
      <c r="N197" s="87"/>
      <c r="O197" s="87"/>
      <c r="P197" s="87"/>
      <c r="Q197" s="87"/>
      <c r="R197" s="87"/>
      <c r="S197" s="87"/>
      <c r="T197" s="87"/>
      <c r="U197" s="87"/>
    </row>
    <row r="198" spans="1:21" ht="7.5" customHeight="1"/>
    <row r="199" spans="1:21">
      <c r="A199" s="74"/>
      <c r="B199" s="75"/>
      <c r="C199" t="s">
        <v>138</v>
      </c>
    </row>
    <row r="200" spans="1:21" ht="29.45" customHeight="1">
      <c r="A200" s="6"/>
      <c r="B200" s="6"/>
      <c r="C200" s="87" t="s">
        <v>139</v>
      </c>
      <c r="D200" s="148"/>
      <c r="E200" s="148"/>
      <c r="F200" s="148"/>
      <c r="G200" s="148"/>
      <c r="H200" s="148"/>
      <c r="I200" s="148"/>
      <c r="J200" s="148"/>
      <c r="K200" s="148"/>
      <c r="L200" s="148"/>
      <c r="M200" s="148"/>
      <c r="N200" s="148"/>
      <c r="O200" s="148"/>
      <c r="P200" s="148"/>
      <c r="Q200" s="148"/>
      <c r="R200" s="148"/>
      <c r="S200" s="148"/>
      <c r="T200" s="148"/>
      <c r="U200" s="148"/>
    </row>
    <row r="201" spans="1:21" ht="7.5" customHeight="1">
      <c r="C201" s="148"/>
      <c r="D201" s="148"/>
      <c r="E201" s="148"/>
      <c r="F201" s="148"/>
      <c r="G201" s="148"/>
      <c r="H201" s="148"/>
      <c r="I201" s="148"/>
      <c r="J201" s="148"/>
      <c r="K201" s="148"/>
      <c r="L201" s="148"/>
      <c r="M201" s="148"/>
      <c r="N201" s="148"/>
      <c r="O201" s="148"/>
      <c r="P201" s="148"/>
      <c r="Q201" s="148"/>
      <c r="R201" s="148"/>
      <c r="S201" s="148"/>
      <c r="T201" s="148"/>
      <c r="U201" s="148"/>
    </row>
    <row r="202" spans="1:21">
      <c r="A202" s="74"/>
      <c r="B202" s="75"/>
      <c r="C202" t="s">
        <v>136</v>
      </c>
    </row>
    <row r="203" spans="1:21">
      <c r="A203" s="8"/>
      <c r="B203" s="8"/>
      <c r="C203" s="7" t="s">
        <v>137</v>
      </c>
    </row>
    <row r="204" spans="1:21" ht="7.5" customHeight="1"/>
    <row r="205" spans="1:21">
      <c r="A205" s="74"/>
      <c r="B205" s="75"/>
      <c r="C205" t="s">
        <v>140</v>
      </c>
    </row>
    <row r="206" spans="1:21" ht="38.450000000000003" customHeight="1">
      <c r="C206" s="87" t="s">
        <v>141</v>
      </c>
      <c r="D206" s="148"/>
      <c r="E206" s="148"/>
      <c r="F206" s="148"/>
      <c r="G206" s="148"/>
      <c r="H206" s="148"/>
      <c r="I206" s="148"/>
      <c r="J206" s="148"/>
      <c r="K206" s="148"/>
      <c r="L206" s="148"/>
      <c r="M206" s="148"/>
      <c r="N206" s="148"/>
      <c r="O206" s="148"/>
      <c r="P206" s="148"/>
      <c r="Q206" s="148"/>
      <c r="R206" s="148"/>
      <c r="S206" s="148"/>
      <c r="T206" s="148"/>
      <c r="U206" s="148"/>
    </row>
    <row r="207" spans="1:21" ht="7.5" customHeight="1"/>
    <row r="208" spans="1:21">
      <c r="A208" s="74"/>
      <c r="B208" s="75"/>
      <c r="C208" t="s">
        <v>228</v>
      </c>
    </row>
    <row r="209" spans="1:23" ht="7.5" customHeight="1"/>
    <row r="210" spans="1:23" ht="15.6" customHeight="1">
      <c r="C210" s="1" t="s">
        <v>2</v>
      </c>
      <c r="U210" s="6"/>
      <c r="V210" s="6"/>
      <c r="W210" s="6"/>
    </row>
    <row r="211" spans="1:23">
      <c r="A211" s="74"/>
      <c r="B211" s="75"/>
      <c r="C211" t="s">
        <v>142</v>
      </c>
      <c r="U211" s="6"/>
      <c r="V211" s="6"/>
      <c r="W211" s="6"/>
    </row>
    <row r="212" spans="1:23" ht="29.45" customHeight="1">
      <c r="C212" s="87" t="s">
        <v>143</v>
      </c>
      <c r="D212" s="87"/>
      <c r="E212" s="87"/>
      <c r="F212" s="87"/>
      <c r="G212" s="87"/>
      <c r="H212" s="87"/>
      <c r="I212" s="87"/>
      <c r="J212" s="87"/>
      <c r="K212" s="87"/>
      <c r="L212" s="87"/>
      <c r="M212" s="87"/>
      <c r="N212" s="87"/>
      <c r="O212" s="87"/>
      <c r="P212" s="87"/>
      <c r="Q212" s="87"/>
      <c r="R212" s="87"/>
      <c r="S212" s="87"/>
      <c r="T212" s="87"/>
      <c r="U212" s="87"/>
    </row>
    <row r="213" spans="1:23" ht="7.5" customHeight="1">
      <c r="C213" s="7"/>
    </row>
    <row r="214" spans="1:23" ht="15.6" customHeight="1">
      <c r="C214" s="1" t="s">
        <v>1</v>
      </c>
    </row>
    <row r="215" spans="1:23">
      <c r="A215" s="74"/>
      <c r="B215" s="75"/>
      <c r="C215" t="s">
        <v>144</v>
      </c>
    </row>
    <row r="216" spans="1:23" ht="28.5" customHeight="1">
      <c r="C216" s="87" t="s">
        <v>145</v>
      </c>
      <c r="D216" s="148"/>
      <c r="E216" s="148"/>
      <c r="F216" s="148"/>
      <c r="G216" s="148"/>
      <c r="H216" s="148"/>
      <c r="I216" s="148"/>
      <c r="J216" s="148"/>
      <c r="K216" s="148"/>
      <c r="L216" s="148"/>
      <c r="M216" s="148"/>
      <c r="N216" s="148"/>
      <c r="O216" s="148"/>
      <c r="P216" s="148"/>
      <c r="Q216" s="148"/>
      <c r="R216" s="148"/>
      <c r="S216" s="148"/>
      <c r="T216" s="148"/>
      <c r="U216" s="148"/>
    </row>
    <row r="217" spans="1:23" ht="7.5" customHeight="1">
      <c r="C217" s="7"/>
    </row>
    <row r="218" spans="1:23">
      <c r="A218" s="74"/>
      <c r="B218" s="75"/>
      <c r="C218" s="79" t="s">
        <v>396</v>
      </c>
      <c r="D218" s="147"/>
      <c r="E218" s="147"/>
      <c r="F218" s="147"/>
      <c r="G218" s="147"/>
      <c r="H218" s="147"/>
      <c r="I218" s="147"/>
      <c r="J218" s="147"/>
      <c r="K218" s="147"/>
      <c r="L218" s="147"/>
      <c r="M218" s="147"/>
      <c r="N218" s="147"/>
      <c r="O218" s="147"/>
      <c r="P218" s="147"/>
      <c r="Q218" s="147"/>
      <c r="R218" s="147"/>
      <c r="S218" s="147"/>
      <c r="T218" s="147"/>
      <c r="U218" s="147"/>
    </row>
    <row r="219" spans="1:23" ht="41.1" customHeight="1">
      <c r="C219" s="87" t="s">
        <v>146</v>
      </c>
      <c r="D219" s="87"/>
      <c r="E219" s="87"/>
      <c r="F219" s="87"/>
      <c r="G219" s="87"/>
      <c r="H219" s="87"/>
      <c r="I219" s="87"/>
      <c r="J219" s="87"/>
      <c r="K219" s="87"/>
      <c r="L219" s="87"/>
      <c r="M219" s="87"/>
      <c r="N219" s="87"/>
      <c r="O219" s="87"/>
      <c r="P219" s="87"/>
      <c r="Q219" s="87"/>
      <c r="R219" s="87"/>
      <c r="S219" s="87"/>
      <c r="T219" s="87"/>
      <c r="U219" s="87"/>
    </row>
    <row r="220" spans="1:23" ht="7.5" customHeight="1"/>
    <row r="221" spans="1:23">
      <c r="A221" s="74"/>
      <c r="B221" s="75"/>
      <c r="C221" t="s">
        <v>147</v>
      </c>
    </row>
    <row r="222" spans="1:23" ht="27.6" customHeight="1">
      <c r="C222" s="87" t="s">
        <v>148</v>
      </c>
      <c r="D222" s="87"/>
      <c r="E222" s="87"/>
      <c r="F222" s="87"/>
      <c r="G222" s="87"/>
      <c r="H222" s="87"/>
      <c r="I222" s="87"/>
      <c r="J222" s="87"/>
      <c r="K222" s="87"/>
      <c r="L222" s="87"/>
      <c r="M222" s="87"/>
      <c r="N222" s="87"/>
      <c r="O222" s="87"/>
      <c r="P222" s="87"/>
      <c r="Q222" s="87"/>
      <c r="R222" s="87"/>
      <c r="S222" s="87"/>
      <c r="T222" s="87"/>
      <c r="U222" s="87"/>
    </row>
    <row r="223" spans="1:23" ht="7.5" customHeight="1"/>
    <row r="224" spans="1:23">
      <c r="A224" s="74"/>
      <c r="B224" s="75"/>
      <c r="C224" t="s">
        <v>149</v>
      </c>
    </row>
    <row r="225" spans="1:21">
      <c r="C225" t="s">
        <v>150</v>
      </c>
    </row>
    <row r="226" spans="1:21" ht="7.5" customHeight="1"/>
    <row r="227" spans="1:21" ht="15.6" customHeight="1">
      <c r="C227" s="1" t="s">
        <v>0</v>
      </c>
    </row>
    <row r="228" spans="1:21">
      <c r="A228" s="74"/>
      <c r="B228" s="75"/>
      <c r="C228" t="s">
        <v>151</v>
      </c>
    </row>
    <row r="229" spans="1:21" ht="27" customHeight="1">
      <c r="A229" s="8"/>
      <c r="B229" s="8"/>
      <c r="C229" s="87" t="s">
        <v>152</v>
      </c>
      <c r="D229" s="87"/>
      <c r="E229" s="87"/>
      <c r="F229" s="87"/>
      <c r="G229" s="87"/>
      <c r="H229" s="87"/>
      <c r="I229" s="87"/>
      <c r="J229" s="87"/>
      <c r="K229" s="87"/>
      <c r="L229" s="87"/>
      <c r="M229" s="87"/>
      <c r="N229" s="87"/>
      <c r="O229" s="87"/>
      <c r="P229" s="87"/>
      <c r="Q229" s="87"/>
      <c r="R229" s="87"/>
      <c r="S229" s="87"/>
      <c r="T229" s="87"/>
      <c r="U229" s="87"/>
    </row>
    <row r="230" spans="1:21" ht="7.5" customHeight="1"/>
    <row r="231" spans="1:21">
      <c r="A231" s="74"/>
      <c r="B231" s="75"/>
      <c r="C231" t="s">
        <v>153</v>
      </c>
    </row>
    <row r="232" spans="1:21" ht="25.5" customHeight="1">
      <c r="C232" s="87" t="s">
        <v>154</v>
      </c>
      <c r="D232" s="87"/>
      <c r="E232" s="87"/>
      <c r="F232" s="87"/>
      <c r="G232" s="87"/>
      <c r="H232" s="87"/>
      <c r="I232" s="87"/>
      <c r="J232" s="87"/>
      <c r="K232" s="87"/>
      <c r="L232" s="87"/>
      <c r="M232" s="87"/>
      <c r="N232" s="87"/>
      <c r="O232" s="87"/>
      <c r="P232" s="87"/>
      <c r="Q232" s="87"/>
      <c r="R232" s="87"/>
      <c r="S232" s="87"/>
      <c r="T232" s="87"/>
      <c r="U232" s="87"/>
    </row>
    <row r="233" spans="1:21" ht="7.5" customHeight="1"/>
    <row r="234" spans="1:21">
      <c r="A234" s="74"/>
      <c r="B234" s="75"/>
      <c r="C234" s="9" t="s">
        <v>155</v>
      </c>
      <c r="D234" s="10"/>
      <c r="E234" s="10"/>
      <c r="F234" s="10"/>
      <c r="G234" s="10"/>
      <c r="H234" s="10"/>
      <c r="I234" s="10"/>
      <c r="J234" s="10"/>
      <c r="K234" s="10"/>
      <c r="L234" s="10"/>
      <c r="M234" s="10"/>
      <c r="N234" s="10"/>
      <c r="O234" s="10"/>
      <c r="P234" s="10"/>
      <c r="Q234" s="10"/>
      <c r="R234" s="10"/>
      <c r="S234" s="10"/>
      <c r="T234" s="10"/>
      <c r="U234" s="9"/>
    </row>
    <row r="235" spans="1:21" ht="41.45" customHeight="1">
      <c r="A235" s="8"/>
      <c r="B235" s="8"/>
      <c r="C235" s="151" t="s">
        <v>156</v>
      </c>
      <c r="D235" s="151"/>
      <c r="E235" s="151"/>
      <c r="F235" s="151"/>
      <c r="G235" s="151"/>
      <c r="H235" s="151"/>
      <c r="I235" s="151"/>
      <c r="J235" s="151"/>
      <c r="K235" s="151"/>
      <c r="L235" s="151"/>
      <c r="M235" s="151"/>
      <c r="N235" s="151"/>
      <c r="O235" s="151"/>
      <c r="P235" s="151"/>
      <c r="Q235" s="151"/>
      <c r="R235" s="151"/>
      <c r="S235" s="151"/>
      <c r="T235" s="151"/>
      <c r="U235" s="151"/>
    </row>
    <row r="236" spans="1:21" ht="7.5" customHeight="1">
      <c r="A236" s="8"/>
      <c r="B236" s="8"/>
      <c r="C236" s="15"/>
      <c r="D236" s="15"/>
      <c r="E236" s="15"/>
      <c r="F236" s="15"/>
      <c r="G236" s="15"/>
      <c r="H236" s="15"/>
      <c r="I236" s="15"/>
      <c r="J236" s="15"/>
      <c r="K236" s="15"/>
      <c r="L236" s="15"/>
      <c r="M236" s="15"/>
      <c r="N236" s="15"/>
      <c r="O236" s="15"/>
      <c r="P236" s="15"/>
      <c r="Q236" s="15"/>
      <c r="R236" s="15"/>
      <c r="S236" s="15"/>
      <c r="T236" s="15"/>
      <c r="U236" s="15"/>
    </row>
    <row r="237" spans="1:21" ht="13.5" customHeight="1">
      <c r="A237" s="74"/>
      <c r="B237" s="75"/>
      <c r="C237" s="76" t="s">
        <v>372</v>
      </c>
      <c r="D237" s="77"/>
      <c r="E237" s="77"/>
      <c r="F237" s="77"/>
      <c r="G237" s="77"/>
      <c r="H237" s="77"/>
      <c r="I237" s="77"/>
      <c r="J237" s="77"/>
      <c r="K237" s="77"/>
      <c r="L237" s="77"/>
      <c r="M237" s="77"/>
      <c r="N237" s="77"/>
      <c r="O237" s="77"/>
      <c r="P237" s="77"/>
      <c r="Q237" s="77"/>
      <c r="R237" s="77"/>
      <c r="S237" s="77"/>
      <c r="T237" s="77"/>
      <c r="U237" s="77"/>
    </row>
    <row r="238" spans="1:21" ht="13.5" customHeight="1">
      <c r="A238" s="8"/>
      <c r="B238" s="8"/>
      <c r="C238" s="15"/>
      <c r="D238" s="15"/>
      <c r="E238" s="15"/>
      <c r="F238" s="15"/>
      <c r="G238" s="15"/>
      <c r="H238" s="15"/>
      <c r="I238" s="15"/>
      <c r="J238" s="15"/>
      <c r="K238" s="15"/>
      <c r="L238" s="15"/>
      <c r="M238" s="15"/>
      <c r="N238" s="15"/>
      <c r="O238" s="15"/>
      <c r="P238" s="15"/>
      <c r="Q238" s="15"/>
      <c r="R238" s="15"/>
      <c r="S238" s="15"/>
      <c r="T238" s="15"/>
      <c r="U238" s="15"/>
    </row>
    <row r="239" spans="1:21" ht="13.5" customHeight="1">
      <c r="A239" s="74"/>
      <c r="B239" s="75"/>
      <c r="C239" s="76" t="s">
        <v>373</v>
      </c>
      <c r="D239" s="77"/>
      <c r="E239" s="77"/>
      <c r="F239" s="77"/>
      <c r="G239" s="77"/>
      <c r="H239" s="77"/>
      <c r="I239" s="77"/>
      <c r="J239" s="77"/>
      <c r="K239" s="77"/>
      <c r="L239" s="77"/>
      <c r="M239" s="77"/>
      <c r="N239" s="77"/>
      <c r="O239" s="77"/>
      <c r="P239" s="77"/>
      <c r="Q239" s="77"/>
      <c r="R239" s="77"/>
      <c r="S239" s="77"/>
      <c r="T239" s="77"/>
      <c r="U239" s="77"/>
    </row>
    <row r="240" spans="1:21" ht="13.5" customHeight="1">
      <c r="A240" s="8"/>
      <c r="B240" s="8"/>
      <c r="C240" s="15"/>
      <c r="D240" s="15"/>
      <c r="E240" s="15"/>
      <c r="F240" s="15"/>
      <c r="G240" s="15"/>
      <c r="H240" s="15"/>
      <c r="I240" s="15"/>
      <c r="J240" s="15"/>
      <c r="K240" s="15"/>
      <c r="L240" s="15"/>
      <c r="M240" s="15"/>
      <c r="N240" s="15"/>
      <c r="O240" s="15"/>
      <c r="P240" s="15"/>
      <c r="Q240" s="15"/>
      <c r="R240" s="15"/>
      <c r="S240" s="15"/>
      <c r="T240" s="15"/>
      <c r="U240" s="15"/>
    </row>
    <row r="241" spans="1:26" ht="13.5" customHeight="1">
      <c r="A241" s="8"/>
      <c r="B241" s="8"/>
      <c r="C241" s="15"/>
      <c r="D241" s="15"/>
      <c r="E241" s="15"/>
      <c r="F241" s="15"/>
      <c r="G241" s="15"/>
      <c r="H241" s="15"/>
      <c r="I241" s="15"/>
      <c r="J241" s="15"/>
      <c r="K241" s="15"/>
      <c r="L241" s="15"/>
      <c r="M241" s="15"/>
      <c r="N241" s="15"/>
      <c r="O241" s="15"/>
      <c r="P241" s="15"/>
      <c r="Q241" s="15"/>
      <c r="R241" s="15"/>
      <c r="S241" s="15"/>
      <c r="T241" s="15"/>
      <c r="U241" s="15"/>
    </row>
    <row r="242" spans="1:26" ht="13.5" customHeight="1">
      <c r="A242" s="8"/>
      <c r="B242" s="8"/>
      <c r="C242" s="15"/>
      <c r="D242" s="15"/>
      <c r="E242" s="15"/>
      <c r="F242" s="15"/>
      <c r="G242" s="15"/>
      <c r="H242" s="15"/>
      <c r="I242" s="15"/>
      <c r="J242" s="15"/>
      <c r="K242" s="15"/>
      <c r="L242" s="15"/>
      <c r="M242" s="15"/>
      <c r="N242" s="15"/>
      <c r="O242" s="15"/>
      <c r="P242" s="15"/>
      <c r="Q242" s="15"/>
      <c r="R242" s="15"/>
      <c r="S242" s="15"/>
      <c r="T242" s="15"/>
      <c r="U242" s="15"/>
    </row>
    <row r="243" spans="1:26" ht="13.5" customHeight="1">
      <c r="A243" s="109" t="s">
        <v>365</v>
      </c>
      <c r="B243" s="109"/>
      <c r="C243" s="109"/>
      <c r="D243" s="109"/>
      <c r="E243" s="109"/>
      <c r="F243" s="109"/>
      <c r="G243" s="109"/>
      <c r="H243" s="109"/>
      <c r="I243" s="109"/>
      <c r="J243" s="109"/>
      <c r="K243" s="109"/>
      <c r="L243" s="109"/>
      <c r="M243" s="109"/>
      <c r="N243" s="109"/>
      <c r="O243" s="109"/>
      <c r="P243" s="109"/>
      <c r="Q243" s="109"/>
      <c r="R243" s="109"/>
      <c r="S243" s="109"/>
      <c r="T243" s="109"/>
      <c r="U243" s="109"/>
    </row>
    <row r="244" spans="1:26" ht="18.600000000000001" customHeight="1">
      <c r="A244" s="2"/>
      <c r="B244" s="6"/>
      <c r="C244" s="6"/>
      <c r="D244" s="6"/>
      <c r="E244" s="6"/>
      <c r="F244" s="6"/>
      <c r="G244" s="6"/>
      <c r="H244" s="6"/>
      <c r="I244" s="6"/>
      <c r="J244" s="6"/>
      <c r="K244" s="80" t="s">
        <v>157</v>
      </c>
      <c r="L244" s="80"/>
      <c r="M244" s="80"/>
      <c r="N244" s="81"/>
      <c r="O244" s="82">
        <f>O180</f>
        <v>0</v>
      </c>
      <c r="P244" s="83"/>
      <c r="Q244" s="83"/>
      <c r="R244" s="83"/>
      <c r="S244" s="83"/>
      <c r="T244" s="83"/>
      <c r="U244" s="84"/>
    </row>
    <row r="245" spans="1:26" ht="5.45" customHeight="1"/>
    <row r="246" spans="1:26" ht="51.95" customHeight="1">
      <c r="A246" s="85" t="s">
        <v>229</v>
      </c>
      <c r="B246" s="85"/>
      <c r="C246" s="85"/>
      <c r="D246" s="85"/>
      <c r="E246" s="85"/>
      <c r="F246" s="85"/>
      <c r="G246" s="85"/>
      <c r="H246" s="85"/>
      <c r="I246" s="85"/>
      <c r="J246" s="85"/>
      <c r="K246" s="85"/>
      <c r="L246" s="85"/>
      <c r="M246" s="85"/>
      <c r="N246" s="85"/>
      <c r="O246" s="85"/>
      <c r="P246" s="85"/>
      <c r="Q246" s="85"/>
      <c r="R246" s="85"/>
      <c r="S246" s="85"/>
      <c r="T246" s="85"/>
      <c r="U246" s="85"/>
    </row>
    <row r="248" spans="1:26" ht="15.75">
      <c r="A248" s="86" t="s">
        <v>6</v>
      </c>
      <c r="B248" s="86"/>
      <c r="C248" s="1" t="str">
        <f>IF($W$248="SHOTCRETE","INTERIOR FINISH","FIBERGLASS")</f>
        <v>INTERIOR FINISH</v>
      </c>
      <c r="W248" t="str">
        <f>A1</f>
        <v>SHOTCRETE</v>
      </c>
    </row>
    <row r="249" spans="1:26">
      <c r="A249" s="74"/>
      <c r="B249" s="75"/>
      <c r="C249" s="79" t="str">
        <f>Z249</f>
        <v xml:space="preserve">Proper water chemistry levels (Chlorine, pH, Alkalinity, etc.) are imperative to ensure a long-lasting, durable and attractive interior finish. </v>
      </c>
      <c r="D249" s="78"/>
      <c r="E249" s="78"/>
      <c r="F249" s="78"/>
      <c r="G249" s="78"/>
      <c r="H249" s="78"/>
      <c r="I249" s="78"/>
      <c r="J249" s="78"/>
      <c r="K249" s="78"/>
      <c r="L249" s="78"/>
      <c r="M249" s="78"/>
      <c r="N249" s="78"/>
      <c r="O249" s="78"/>
      <c r="P249" s="78"/>
      <c r="Q249" s="78"/>
      <c r="R249" s="78"/>
      <c r="S249" s="78"/>
      <c r="T249" s="78"/>
      <c r="U249" s="78"/>
      <c r="Z249" t="s">
        <v>344</v>
      </c>
    </row>
    <row r="250" spans="1:26" ht="39.950000000000003" customHeight="1">
      <c r="C250" s="87" t="str">
        <f>IF(W249="FIBERGLASS","",Z250)</f>
        <v>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v>
      </c>
      <c r="D250" s="87"/>
      <c r="E250" s="87"/>
      <c r="F250" s="87"/>
      <c r="G250" s="87"/>
      <c r="H250" s="87"/>
      <c r="I250" s="87"/>
      <c r="J250" s="87"/>
      <c r="K250" s="87"/>
      <c r="L250" s="87"/>
      <c r="M250" s="87"/>
      <c r="N250" s="87"/>
      <c r="O250" s="87"/>
      <c r="P250" s="87"/>
      <c r="Q250" s="87"/>
      <c r="R250" s="87"/>
      <c r="S250" s="87"/>
      <c r="T250" s="87"/>
      <c r="U250" s="87"/>
      <c r="Z250" t="s">
        <v>345</v>
      </c>
    </row>
    <row r="251" spans="1:26">
      <c r="A251" s="8"/>
      <c r="B251" s="8"/>
      <c r="C251" s="7"/>
      <c r="Z251" s="7"/>
    </row>
    <row r="252" spans="1:26" ht="15.75">
      <c r="A252" s="8"/>
      <c r="B252" s="8"/>
      <c r="C252" s="1" t="str">
        <f>IF($W$248="SHOTCRETE","NON-PEBBLE FINISH","")</f>
        <v>NON-PEBBLE FINISH</v>
      </c>
    </row>
    <row r="253" spans="1:26" ht="15">
      <c r="A253" s="74"/>
      <c r="B253" s="75"/>
      <c r="C253" s="79" t="str">
        <f>IF($W$248="FIBERGLASS",Z278,Z254)</f>
        <v>Interior finish cannot be guaranteed for evenness of color and may not be the exact shade requested.</v>
      </c>
      <c r="D253" s="78"/>
      <c r="E253" s="78"/>
      <c r="F253" s="78"/>
      <c r="G253" s="78"/>
      <c r="H253" s="78"/>
      <c r="I253" s="78"/>
      <c r="J253" s="78"/>
      <c r="K253" s="78"/>
      <c r="L253" s="78"/>
      <c r="M253" s="78"/>
      <c r="N253" s="78"/>
      <c r="O253" s="78"/>
      <c r="P253" s="78"/>
      <c r="Q253" s="78"/>
      <c r="R253" s="78"/>
      <c r="S253" s="78"/>
      <c r="T253" s="78"/>
      <c r="U253" s="78"/>
      <c r="Z253" s="71" t="s">
        <v>340</v>
      </c>
    </row>
    <row r="254" spans="1:26">
      <c r="A254" s="8"/>
      <c r="B254" s="8"/>
      <c r="C254" s="7"/>
      <c r="Z254" t="s">
        <v>346</v>
      </c>
    </row>
    <row r="255" spans="1:26" ht="12.95" customHeight="1">
      <c r="A255" s="74"/>
      <c r="B255" s="75"/>
      <c r="C255" s="79" t="str">
        <f>IF($W$248="FIBERGLASS",Z280,Z256)</f>
        <v>Shading and color variation is a natural occurrence in all non-pebble interior finishes.</v>
      </c>
      <c r="D255" s="78"/>
      <c r="E255" s="78"/>
      <c r="F255" s="78"/>
      <c r="G255" s="78"/>
      <c r="H255" s="78"/>
      <c r="I255" s="78"/>
      <c r="J255" s="78"/>
      <c r="K255" s="78"/>
      <c r="L255" s="78"/>
      <c r="M255" s="78"/>
      <c r="N255" s="78"/>
      <c r="O255" s="78"/>
      <c r="P255" s="78"/>
      <c r="Q255" s="78"/>
      <c r="R255" s="78"/>
      <c r="S255" s="78"/>
      <c r="T255" s="78"/>
      <c r="U255" s="78"/>
    </row>
    <row r="256" spans="1:26">
      <c r="A256" s="8"/>
      <c r="B256" s="8"/>
      <c r="C256" s="7"/>
      <c r="Z256" s="7" t="s">
        <v>341</v>
      </c>
    </row>
    <row r="257" spans="1:26">
      <c r="A257" s="74"/>
      <c r="B257" s="75"/>
      <c r="C257" s="79" t="str">
        <f>IF($W$248="FIBERGLASS",Z282,Z258)</f>
        <v>The original color will fade over time due to sun and chemical exposure.</v>
      </c>
      <c r="D257" s="78"/>
      <c r="E257" s="78"/>
      <c r="F257" s="78"/>
      <c r="G257" s="78"/>
      <c r="H257" s="78"/>
      <c r="I257" s="78"/>
      <c r="J257" s="78"/>
      <c r="K257" s="78"/>
      <c r="L257" s="78"/>
      <c r="M257" s="78"/>
      <c r="N257" s="78"/>
      <c r="O257" s="78"/>
      <c r="P257" s="78"/>
      <c r="Q257" s="78"/>
      <c r="R257" s="78"/>
      <c r="S257" s="78"/>
      <c r="T257" s="78"/>
      <c r="U257" s="78"/>
    </row>
    <row r="258" spans="1:26">
      <c r="A258" s="8"/>
      <c r="B258" s="8"/>
      <c r="C258" s="7"/>
      <c r="Z258" s="7" t="s">
        <v>342</v>
      </c>
    </row>
    <row r="259" spans="1:26">
      <c r="A259" s="74"/>
      <c r="B259" s="75"/>
      <c r="C259" s="79" t="str">
        <f>IF($W$248="FIBERGLASS",Z288,Z260)</f>
        <v xml:space="preserve">Non-Pebble interior finishes have a tendency to be streaked, blotchy and have a mottled appearance.  These are not workmanship </v>
      </c>
      <c r="D259" s="78"/>
      <c r="E259" s="78"/>
      <c r="F259" s="78"/>
      <c r="G259" s="78"/>
      <c r="H259" s="78"/>
      <c r="I259" s="78"/>
      <c r="J259" s="78"/>
      <c r="K259" s="78"/>
      <c r="L259" s="78"/>
      <c r="M259" s="78"/>
      <c r="N259" s="78"/>
      <c r="O259" s="78"/>
      <c r="P259" s="78"/>
      <c r="Q259" s="78"/>
      <c r="R259" s="78"/>
      <c r="S259" s="78"/>
      <c r="T259" s="78"/>
      <c r="U259" s="78"/>
    </row>
    <row r="260" spans="1:26">
      <c r="A260" s="8"/>
      <c r="B260" s="8"/>
      <c r="C260" s="78" t="str">
        <f>IF($W$248="FIBERGLASS",Z289,Z261)</f>
        <v>items and thus not covered under warranty.</v>
      </c>
      <c r="D260" s="78"/>
      <c r="E260" s="78"/>
      <c r="F260" s="78"/>
      <c r="G260" s="78"/>
      <c r="H260" s="78"/>
      <c r="I260" s="78"/>
      <c r="J260" s="78"/>
      <c r="K260" s="78"/>
      <c r="L260" s="78"/>
      <c r="M260" s="78"/>
      <c r="N260" s="78"/>
      <c r="O260" s="78"/>
      <c r="P260" s="78"/>
      <c r="Q260" s="78"/>
      <c r="R260" s="78"/>
      <c r="S260" s="78"/>
      <c r="T260" s="78"/>
      <c r="U260" s="78"/>
      <c r="Z260" t="s">
        <v>347</v>
      </c>
    </row>
    <row r="261" spans="1:26">
      <c r="A261" s="8"/>
      <c r="B261" s="8"/>
      <c r="C261" s="78"/>
      <c r="D261" s="78"/>
      <c r="E261" s="78"/>
      <c r="F261" s="78"/>
      <c r="G261" s="78"/>
      <c r="H261" s="78"/>
      <c r="I261" s="78"/>
      <c r="J261" s="78"/>
      <c r="K261" s="78"/>
      <c r="L261" s="78"/>
      <c r="M261" s="78"/>
      <c r="N261" s="78"/>
      <c r="O261" s="78"/>
      <c r="P261" s="78"/>
      <c r="Q261" s="78"/>
      <c r="R261" s="78"/>
      <c r="S261" s="78"/>
      <c r="T261" s="78"/>
      <c r="U261" s="78"/>
      <c r="Z261" t="s">
        <v>348</v>
      </c>
    </row>
    <row r="262" spans="1:26">
      <c r="A262" s="74"/>
      <c r="B262" s="75"/>
      <c r="C262" s="78" t="str">
        <f>IF($W$248="FIBERGLASS",Z284,Z263)</f>
        <v>Crazing (cracks in the surface) are unavoidable with non-pebble interior finishes and will be more pronounced with darker colors.  Again,</v>
      </c>
      <c r="D262" s="78"/>
      <c r="E262" s="78"/>
      <c r="F262" s="78"/>
      <c r="G262" s="78"/>
      <c r="H262" s="78"/>
      <c r="I262" s="78"/>
      <c r="J262" s="78"/>
      <c r="K262" s="78"/>
      <c r="L262" s="78"/>
      <c r="M262" s="78"/>
      <c r="N262" s="78"/>
      <c r="O262" s="78"/>
      <c r="P262" s="78"/>
      <c r="Q262" s="78"/>
      <c r="R262" s="78"/>
      <c r="S262" s="78"/>
      <c r="T262" s="78"/>
      <c r="U262" s="78"/>
    </row>
    <row r="263" spans="1:26">
      <c r="A263" s="8"/>
      <c r="B263" s="8"/>
      <c r="C263" s="78" t="str">
        <f>IF($W$248="FIBERGLASS",Z285,Z264)</f>
        <v>these are not workmanship items and thus are not covered under warranty.</v>
      </c>
      <c r="D263" s="78"/>
      <c r="E263" s="78"/>
      <c r="F263" s="78"/>
      <c r="G263" s="78"/>
      <c r="H263" s="78"/>
      <c r="I263" s="78"/>
      <c r="J263" s="78"/>
      <c r="K263" s="78"/>
      <c r="L263" s="78"/>
      <c r="M263" s="78"/>
      <c r="N263" s="78"/>
      <c r="O263" s="78"/>
      <c r="P263" s="78"/>
      <c r="Q263" s="78"/>
      <c r="R263" s="78"/>
      <c r="S263" s="78"/>
      <c r="T263" s="78"/>
      <c r="U263" s="78"/>
      <c r="Z263" t="s">
        <v>349</v>
      </c>
    </row>
    <row r="264" spans="1:26">
      <c r="A264" s="8"/>
      <c r="B264" s="8"/>
      <c r="C264" s="78" t="str">
        <f>IF($W$248="FIBERGLASS",Z286,"")</f>
        <v/>
      </c>
      <c r="D264" s="78"/>
      <c r="E264" s="78"/>
      <c r="F264" s="78"/>
      <c r="G264" s="78"/>
      <c r="H264" s="78"/>
      <c r="I264" s="78"/>
      <c r="J264" s="78"/>
      <c r="K264" s="78"/>
      <c r="L264" s="78"/>
      <c r="M264" s="78"/>
      <c r="N264" s="78"/>
      <c r="O264" s="78"/>
      <c r="P264" s="78"/>
      <c r="Q264" s="78"/>
      <c r="R264" s="78"/>
      <c r="S264" s="78"/>
      <c r="T264" s="78"/>
      <c r="U264" s="78"/>
      <c r="Z264" t="s">
        <v>350</v>
      </c>
    </row>
    <row r="265" spans="1:26" ht="15.75">
      <c r="A265" s="8"/>
      <c r="B265" s="8"/>
      <c r="C265" s="1" t="str">
        <f>IF($W$248="SHOTCRETE","PEBBLE FINISH","")</f>
        <v>PEBBLE FINISH</v>
      </c>
    </row>
    <row r="266" spans="1:26" ht="15">
      <c r="A266" s="74"/>
      <c r="B266" s="75"/>
      <c r="C266" s="78" t="str">
        <f>IF($W$248="FIBERGLASS",Z291,Z267)</f>
        <v xml:space="preserve">Pebble interior finishes are natural products and as such will have a certain amount of unevenness or variation in the exposure of the </v>
      </c>
      <c r="D266" s="78"/>
      <c r="E266" s="78"/>
      <c r="F266" s="78"/>
      <c r="G266" s="78"/>
      <c r="H266" s="78"/>
      <c r="I266" s="78"/>
      <c r="J266" s="78"/>
      <c r="K266" s="78"/>
      <c r="L266" s="78"/>
      <c r="M266" s="78"/>
      <c r="N266" s="78"/>
      <c r="O266" s="78"/>
      <c r="P266" s="78"/>
      <c r="Q266" s="78"/>
      <c r="R266" s="78"/>
      <c r="S266" s="78"/>
      <c r="T266" s="78"/>
      <c r="U266" s="78"/>
      <c r="Z266" s="71" t="s">
        <v>343</v>
      </c>
    </row>
    <row r="267" spans="1:26">
      <c r="A267" s="8"/>
      <c r="B267" s="8"/>
      <c r="C267" s="78" t="str">
        <f>IF($W$248="FIBERGLASS",Z292,Z268)</f>
        <v xml:space="preserve">pebbles. This is part of the beauty of these finishes and is most common on the edges of the steps and benches, as well as, the coves </v>
      </c>
      <c r="D267" s="78"/>
      <c r="E267" s="78"/>
      <c r="F267" s="78"/>
      <c r="G267" s="78"/>
      <c r="H267" s="78"/>
      <c r="I267" s="78"/>
      <c r="J267" s="78"/>
      <c r="K267" s="78"/>
      <c r="L267" s="78"/>
      <c r="M267" s="78"/>
      <c r="N267" s="78"/>
      <c r="O267" s="78"/>
      <c r="P267" s="78"/>
      <c r="Q267" s="78"/>
      <c r="R267" s="78"/>
      <c r="S267" s="78"/>
      <c r="T267" s="78"/>
      <c r="U267" s="78"/>
      <c r="Z267" t="s">
        <v>351</v>
      </c>
    </row>
    <row r="268" spans="1:26">
      <c r="A268" s="8"/>
      <c r="B268" s="8"/>
      <c r="C268" s="78" t="str">
        <f>IF($W$248="FIBERGLASS",Z293,Z269)</f>
        <v>(where the pool wall and pool floor meet).</v>
      </c>
      <c r="D268" s="78"/>
      <c r="E268" s="78"/>
      <c r="F268" s="78"/>
      <c r="G268" s="78"/>
      <c r="H268" s="78"/>
      <c r="I268" s="78"/>
      <c r="J268" s="78"/>
      <c r="K268" s="78"/>
      <c r="L268" s="78"/>
      <c r="M268" s="78"/>
      <c r="N268" s="78"/>
      <c r="O268" s="78"/>
      <c r="P268" s="78"/>
      <c r="Q268" s="78"/>
      <c r="R268" s="78"/>
      <c r="S268" s="78"/>
      <c r="T268" s="78"/>
      <c r="U268" s="78"/>
      <c r="Z268" t="s">
        <v>353</v>
      </c>
    </row>
    <row r="269" spans="1:26">
      <c r="A269" s="8"/>
      <c r="B269" s="8"/>
      <c r="C269" s="7"/>
      <c r="Z269" t="s">
        <v>352</v>
      </c>
    </row>
    <row r="270" spans="1:26">
      <c r="A270" s="74"/>
      <c r="B270" s="75"/>
      <c r="C270" s="78" t="str">
        <f>IF($W$248="FIBERGLASS",Z295,Z271)</f>
        <v xml:space="preserve">During the first year, your pool will continuously lose pebbles.  This is to be expected and is not cause for concern; nor will it diminish </v>
      </c>
      <c r="D270" s="78"/>
      <c r="E270" s="78"/>
      <c r="F270" s="78"/>
      <c r="G270" s="78"/>
      <c r="H270" s="78"/>
      <c r="I270" s="78"/>
      <c r="J270" s="78"/>
      <c r="K270" s="78"/>
      <c r="L270" s="78"/>
      <c r="M270" s="78"/>
      <c r="N270" s="78"/>
      <c r="O270" s="78"/>
      <c r="P270" s="78"/>
      <c r="Q270" s="78"/>
      <c r="R270" s="78"/>
      <c r="S270" s="78"/>
      <c r="T270" s="78"/>
      <c r="U270" s="78"/>
    </row>
    <row r="271" spans="1:26">
      <c r="A271" s="8"/>
      <c r="B271" s="8"/>
      <c r="C271" s="78" t="str">
        <f>IF($W$248="FIBERGLASS",Z296,Z272)</f>
        <v>the durability of the interior finish.</v>
      </c>
      <c r="D271" s="78"/>
      <c r="E271" s="78"/>
      <c r="F271" s="78"/>
      <c r="G271" s="78"/>
      <c r="H271" s="78"/>
      <c r="I271" s="78"/>
      <c r="J271" s="78"/>
      <c r="K271" s="78"/>
      <c r="L271" s="78"/>
      <c r="M271" s="78"/>
      <c r="N271" s="78"/>
      <c r="O271" s="78"/>
      <c r="P271" s="78"/>
      <c r="Q271" s="78"/>
      <c r="R271" s="78"/>
      <c r="S271" s="78"/>
      <c r="T271" s="78"/>
      <c r="U271" s="78"/>
      <c r="Z271" t="s">
        <v>354</v>
      </c>
    </row>
    <row r="272" spans="1:26">
      <c r="Z272" t="s">
        <v>355</v>
      </c>
    </row>
    <row r="273" spans="1:26">
      <c r="A273" s="74"/>
      <c r="B273" s="75"/>
      <c r="C273" s="78" t="str">
        <f>IF($W$248="FIBERGLASS",Z298,Z274)</f>
        <v>The durability of a pebble finish comes from the surface material being primarily aggregate. Although these stones give the pool an</v>
      </c>
      <c r="D273" s="78"/>
      <c r="E273" s="78"/>
      <c r="F273" s="78"/>
      <c r="G273" s="78"/>
      <c r="H273" s="78"/>
      <c r="I273" s="78"/>
      <c r="J273" s="78"/>
      <c r="K273" s="78"/>
      <c r="L273" s="78"/>
      <c r="M273" s="78"/>
      <c r="N273" s="78"/>
      <c r="O273" s="78"/>
      <c r="P273" s="78"/>
      <c r="Q273" s="78"/>
      <c r="R273" s="78"/>
      <c r="S273" s="78"/>
      <c r="T273" s="78"/>
      <c r="U273" s="78"/>
    </row>
    <row r="274" spans="1:26">
      <c r="A274" s="8"/>
      <c r="B274" s="8"/>
      <c r="C274" s="9" t="str">
        <f>IF($W$248="FIBERGLASS",Z299,Z275)</f>
        <v>extremely durable finish, they also give the surface a potentially "textured" or "rough" feel.</v>
      </c>
      <c r="D274" s="9"/>
      <c r="E274" s="9"/>
      <c r="F274" s="9"/>
      <c r="G274" s="9"/>
      <c r="H274" s="9"/>
      <c r="I274" s="9"/>
      <c r="J274" s="9"/>
      <c r="K274" s="9"/>
      <c r="L274" s="9"/>
      <c r="M274" s="9"/>
      <c r="N274" s="9"/>
      <c r="O274" s="9"/>
      <c r="P274" s="9"/>
      <c r="Q274" s="9"/>
      <c r="R274" s="9"/>
      <c r="S274" s="9"/>
      <c r="T274" s="9"/>
      <c r="U274" s="9"/>
      <c r="Z274" t="s">
        <v>381</v>
      </c>
    </row>
    <row r="275" spans="1:26">
      <c r="A275" s="8"/>
      <c r="B275" s="8"/>
      <c r="C275" s="7"/>
      <c r="Z275" t="s">
        <v>382</v>
      </c>
    </row>
    <row r="276" spans="1:26">
      <c r="A276" s="8"/>
      <c r="B276" s="8"/>
      <c r="C276" s="7"/>
    </row>
    <row r="277" spans="1:26">
      <c r="A277" s="8"/>
      <c r="B277" s="8"/>
      <c r="C277" s="7"/>
      <c r="Z277" t="s">
        <v>159</v>
      </c>
    </row>
    <row r="278" spans="1:26">
      <c r="A278" s="8"/>
      <c r="B278" s="8"/>
      <c r="C278" s="7"/>
      <c r="Z278" t="s">
        <v>356</v>
      </c>
    </row>
    <row r="279" spans="1:26">
      <c r="A279" s="8"/>
      <c r="B279" s="8"/>
      <c r="C279" s="7"/>
    </row>
    <row r="280" spans="1:26">
      <c r="A280" s="8"/>
      <c r="B280" s="8"/>
      <c r="C280" s="7"/>
      <c r="Z280" t="s">
        <v>359</v>
      </c>
    </row>
    <row r="281" spans="1:26">
      <c r="A281" s="8"/>
      <c r="B281" s="8"/>
      <c r="C281" s="7"/>
    </row>
    <row r="282" spans="1:26">
      <c r="A282" s="8"/>
      <c r="B282" s="8"/>
      <c r="C282" s="7"/>
      <c r="Z282" t="s">
        <v>360</v>
      </c>
    </row>
    <row r="283" spans="1:26">
      <c r="A283" s="8"/>
      <c r="B283" s="8"/>
      <c r="C283" s="7"/>
    </row>
    <row r="284" spans="1:26">
      <c r="A284" s="8"/>
      <c r="B284" s="8"/>
      <c r="C284" s="7"/>
      <c r="Z284" t="s">
        <v>357</v>
      </c>
    </row>
    <row r="285" spans="1:26">
      <c r="A285" s="8"/>
      <c r="B285" s="8"/>
      <c r="C285" s="7"/>
      <c r="Z285" s="16" t="s">
        <v>358</v>
      </c>
    </row>
    <row r="286" spans="1:26">
      <c r="A286" s="8"/>
      <c r="B286" s="8"/>
      <c r="C286" s="7"/>
      <c r="Z286" t="s">
        <v>376</v>
      </c>
    </row>
    <row r="287" spans="1:26">
      <c r="A287" s="8"/>
      <c r="B287" s="8"/>
      <c r="C287" s="7"/>
    </row>
    <row r="288" spans="1:26">
      <c r="A288" s="8"/>
      <c r="B288" s="8"/>
      <c r="C288" s="7"/>
      <c r="Z288" t="s">
        <v>377</v>
      </c>
    </row>
    <row r="289" spans="1:26">
      <c r="A289" s="8"/>
      <c r="B289" s="8"/>
      <c r="C289" s="7"/>
      <c r="Z289" t="s">
        <v>378</v>
      </c>
    </row>
    <row r="290" spans="1:26">
      <c r="A290" s="8"/>
      <c r="B290" s="8"/>
      <c r="C290" s="7"/>
    </row>
    <row r="291" spans="1:26">
      <c r="A291" s="8"/>
      <c r="B291" s="8"/>
      <c r="C291" s="7"/>
      <c r="Z291" t="s">
        <v>361</v>
      </c>
    </row>
    <row r="292" spans="1:26">
      <c r="A292" s="8"/>
      <c r="B292" s="8"/>
      <c r="C292" s="7"/>
      <c r="Z292" t="s">
        <v>362</v>
      </c>
    </row>
    <row r="293" spans="1:26">
      <c r="A293" s="8"/>
      <c r="B293" s="8"/>
      <c r="C293" s="7"/>
      <c r="Z293" t="s">
        <v>363</v>
      </c>
    </row>
    <row r="294" spans="1:26">
      <c r="A294" s="8"/>
      <c r="B294" s="8"/>
      <c r="C294" s="7"/>
    </row>
    <row r="295" spans="1:26">
      <c r="A295" s="8"/>
      <c r="B295" s="8"/>
      <c r="C295" s="7"/>
      <c r="Z295" t="s">
        <v>379</v>
      </c>
    </row>
    <row r="296" spans="1:26">
      <c r="A296" s="8"/>
      <c r="B296" s="8"/>
      <c r="C296" s="7"/>
      <c r="Z296" t="s">
        <v>380</v>
      </c>
    </row>
    <row r="297" spans="1:26">
      <c r="A297" s="8"/>
      <c r="B297" s="8"/>
      <c r="C297" s="7"/>
    </row>
    <row r="298" spans="1:26">
      <c r="A298" s="8"/>
      <c r="B298" s="8"/>
      <c r="C298" s="7"/>
      <c r="Z298" t="s">
        <v>374</v>
      </c>
    </row>
    <row r="299" spans="1:26">
      <c r="A299" s="8"/>
      <c r="B299" s="8"/>
      <c r="C299" s="7"/>
      <c r="Z299" t="s">
        <v>375</v>
      </c>
    </row>
    <row r="300" spans="1:26">
      <c r="A300" s="8"/>
      <c r="B300" s="8"/>
      <c r="C300" s="7"/>
    </row>
    <row r="301" spans="1:26">
      <c r="A301" s="8"/>
      <c r="B301" s="8"/>
      <c r="C301" s="7"/>
    </row>
    <row r="302" spans="1:26">
      <c r="A302" s="8"/>
      <c r="B302" s="8"/>
      <c r="C302" s="7"/>
    </row>
    <row r="303" spans="1:26">
      <c r="A303" s="8"/>
      <c r="B303" s="8"/>
      <c r="C303" s="7"/>
    </row>
    <row r="304" spans="1:26">
      <c r="A304" s="8"/>
      <c r="B304" s="8"/>
      <c r="C304" s="7"/>
    </row>
    <row r="305" spans="1:21">
      <c r="A305" s="8"/>
      <c r="B305" s="8"/>
      <c r="C305" s="7"/>
    </row>
    <row r="306" spans="1:21">
      <c r="A306" s="8"/>
      <c r="B306" s="8"/>
      <c r="C306" s="7"/>
    </row>
    <row r="307" spans="1:21">
      <c r="A307" s="8"/>
      <c r="B307" s="8"/>
      <c r="C307" s="7"/>
    </row>
    <row r="308" spans="1:21">
      <c r="A308" s="8"/>
      <c r="B308" s="8"/>
      <c r="C308" s="7"/>
    </row>
    <row r="309" spans="1:21">
      <c r="A309" s="8"/>
      <c r="B309" s="8"/>
      <c r="C309" s="7"/>
    </row>
    <row r="310" spans="1:21">
      <c r="A310" s="8"/>
      <c r="B310" s="8"/>
      <c r="C310" s="7"/>
    </row>
    <row r="311" spans="1:21">
      <c r="A311" s="8"/>
      <c r="B311" s="8"/>
      <c r="C311" s="7"/>
    </row>
    <row r="312" spans="1:21">
      <c r="A312" s="109" t="s">
        <v>364</v>
      </c>
      <c r="B312" s="109"/>
      <c r="C312" s="109"/>
      <c r="D312" s="109"/>
      <c r="E312" s="109"/>
      <c r="F312" s="109"/>
      <c r="G312" s="109"/>
      <c r="H312" s="109"/>
      <c r="I312" s="109"/>
      <c r="J312" s="109"/>
      <c r="K312" s="109"/>
      <c r="L312" s="109"/>
      <c r="M312" s="109"/>
      <c r="N312" s="109"/>
      <c r="O312" s="109"/>
      <c r="P312" s="109"/>
      <c r="Q312" s="109"/>
      <c r="R312" s="109"/>
      <c r="S312" s="109"/>
      <c r="T312" s="109"/>
      <c r="U312" s="109"/>
    </row>
  </sheetData>
  <mergeCells count="321">
    <mergeCell ref="T65:U65"/>
    <mergeCell ref="P65:Q65"/>
    <mergeCell ref="I107:J107"/>
    <mergeCell ref="L76:U76"/>
    <mergeCell ref="P78:S78"/>
    <mergeCell ref="Q79:U79"/>
    <mergeCell ref="T80:U80"/>
    <mergeCell ref="Q81:U81"/>
    <mergeCell ref="T82:U82"/>
    <mergeCell ref="T83:U83"/>
    <mergeCell ref="L87:U87"/>
    <mergeCell ref="M89:U89"/>
    <mergeCell ref="M91:U91"/>
    <mergeCell ref="M93:U93"/>
    <mergeCell ref="A66:U66"/>
    <mergeCell ref="F67:U67"/>
    <mergeCell ref="F68:H68"/>
    <mergeCell ref="I68:O68"/>
    <mergeCell ref="A76:J76"/>
    <mergeCell ref="I77:J77"/>
    <mergeCell ref="I79:J79"/>
    <mergeCell ref="F72:G72"/>
    <mergeCell ref="R69:U69"/>
    <mergeCell ref="F70:H70"/>
    <mergeCell ref="A121:U121"/>
    <mergeCell ref="A130:U130"/>
    <mergeCell ref="A131:U131"/>
    <mergeCell ref="A132:U132"/>
    <mergeCell ref="A134:U134"/>
    <mergeCell ref="C113:G113"/>
    <mergeCell ref="H113:J113"/>
    <mergeCell ref="K113:Q113"/>
    <mergeCell ref="S113:U113"/>
    <mergeCell ref="A116:U116"/>
    <mergeCell ref="A114:U114"/>
    <mergeCell ref="A113:B113"/>
    <mergeCell ref="A122:U122"/>
    <mergeCell ref="A124:U124"/>
    <mergeCell ref="A125:U125"/>
    <mergeCell ref="A126:U126"/>
    <mergeCell ref="A128:U128"/>
    <mergeCell ref="A127:U127"/>
    <mergeCell ref="C109:G109"/>
    <mergeCell ref="K109:Q109"/>
    <mergeCell ref="S109:U109"/>
    <mergeCell ref="H109:J109"/>
    <mergeCell ref="A109:B109"/>
    <mergeCell ref="A111:B111"/>
    <mergeCell ref="C111:G111"/>
    <mergeCell ref="H111:J111"/>
    <mergeCell ref="K111:Q111"/>
    <mergeCell ref="S111:U111"/>
    <mergeCell ref="E92:H92"/>
    <mergeCell ref="E93:H93"/>
    <mergeCell ref="A95:J95"/>
    <mergeCell ref="E96:H96"/>
    <mergeCell ref="A123:U123"/>
    <mergeCell ref="E97:H97"/>
    <mergeCell ref="E98:H98"/>
    <mergeCell ref="E99:H99"/>
    <mergeCell ref="A101:J101"/>
    <mergeCell ref="M95:U95"/>
    <mergeCell ref="M97:U97"/>
    <mergeCell ref="M99:U99"/>
    <mergeCell ref="M101:U101"/>
    <mergeCell ref="M103:U103"/>
    <mergeCell ref="K119:N119"/>
    <mergeCell ref="M105:U105"/>
    <mergeCell ref="M107:U107"/>
    <mergeCell ref="F102:J102"/>
    <mergeCell ref="I103:J103"/>
    <mergeCell ref="I104:J104"/>
    <mergeCell ref="I105:J105"/>
    <mergeCell ref="I106:J106"/>
    <mergeCell ref="A118:U118"/>
    <mergeCell ref="O119:U119"/>
    <mergeCell ref="I70:L70"/>
    <mergeCell ref="N70:O70"/>
    <mergeCell ref="I80:J80"/>
    <mergeCell ref="E82:H82"/>
    <mergeCell ref="E83:H83"/>
    <mergeCell ref="F84:J84"/>
    <mergeCell ref="I85:J85"/>
    <mergeCell ref="A87:J87"/>
    <mergeCell ref="E88:H88"/>
    <mergeCell ref="E89:H89"/>
    <mergeCell ref="E90:H90"/>
    <mergeCell ref="E91:H91"/>
    <mergeCell ref="Q39:U39"/>
    <mergeCell ref="Q41:U41"/>
    <mergeCell ref="Q42:U42"/>
    <mergeCell ref="Q43:U43"/>
    <mergeCell ref="Q44:U44"/>
    <mergeCell ref="Q45:U45"/>
    <mergeCell ref="Q40:U40"/>
    <mergeCell ref="F62:J62"/>
    <mergeCell ref="F63:J63"/>
    <mergeCell ref="Q57:U57"/>
    <mergeCell ref="Q58:U58"/>
    <mergeCell ref="Q56:U56"/>
    <mergeCell ref="T60:U60"/>
    <mergeCell ref="Q46:U46"/>
    <mergeCell ref="T50:U50"/>
    <mergeCell ref="T51:U51"/>
    <mergeCell ref="I40:J40"/>
    <mergeCell ref="I41:J41"/>
    <mergeCell ref="I42:J42"/>
    <mergeCell ref="I43:J43"/>
    <mergeCell ref="I44:J44"/>
    <mergeCell ref="A221:B221"/>
    <mergeCell ref="A224:B224"/>
    <mergeCell ref="C222:U222"/>
    <mergeCell ref="C235:U235"/>
    <mergeCell ref="A234:B234"/>
    <mergeCell ref="L190:N190"/>
    <mergeCell ref="L191:N191"/>
    <mergeCell ref="L192:N192"/>
    <mergeCell ref="L193:N193"/>
    <mergeCell ref="L194:N194"/>
    <mergeCell ref="C229:U229"/>
    <mergeCell ref="P179:Q179"/>
    <mergeCell ref="T179:U179"/>
    <mergeCell ref="A178:U178"/>
    <mergeCell ref="K181:N181"/>
    <mergeCell ref="A218:B218"/>
    <mergeCell ref="C187:U187"/>
    <mergeCell ref="A211:B211"/>
    <mergeCell ref="A196:B196"/>
    <mergeCell ref="C196:U196"/>
    <mergeCell ref="C186:U186"/>
    <mergeCell ref="A215:B215"/>
    <mergeCell ref="A185:B185"/>
    <mergeCell ref="A183:U183"/>
    <mergeCell ref="A243:U243"/>
    <mergeCell ref="A162:U162"/>
    <mergeCell ref="A137:U137"/>
    <mergeCell ref="A138:U138"/>
    <mergeCell ref="A139:U139"/>
    <mergeCell ref="A141:U141"/>
    <mergeCell ref="A156:U156"/>
    <mergeCell ref="A157:U157"/>
    <mergeCell ref="A159:U159"/>
    <mergeCell ref="A160:U160"/>
    <mergeCell ref="K146:N146"/>
    <mergeCell ref="O146:U146"/>
    <mergeCell ref="O181:U181"/>
    <mergeCell ref="A180:U180"/>
    <mergeCell ref="A163:U163"/>
    <mergeCell ref="A165:U165"/>
    <mergeCell ref="A166:U166"/>
    <mergeCell ref="A168:U168"/>
    <mergeCell ref="A169:U169"/>
    <mergeCell ref="A171:U171"/>
    <mergeCell ref="A172:U172"/>
    <mergeCell ref="A176:U176"/>
    <mergeCell ref="A177:U177"/>
    <mergeCell ref="A186:B186"/>
    <mergeCell ref="I46:J46"/>
    <mergeCell ref="I47:J47"/>
    <mergeCell ref="I48:J48"/>
    <mergeCell ref="A312:U312"/>
    <mergeCell ref="C232:U232"/>
    <mergeCell ref="C218:U218"/>
    <mergeCell ref="C219:U219"/>
    <mergeCell ref="C216:U216"/>
    <mergeCell ref="A189:B189"/>
    <mergeCell ref="C189:U189"/>
    <mergeCell ref="A135:U135"/>
    <mergeCell ref="A136:U136"/>
    <mergeCell ref="A174:U174"/>
    <mergeCell ref="A175:U175"/>
    <mergeCell ref="A228:B228"/>
    <mergeCell ref="A231:B231"/>
    <mergeCell ref="A199:B199"/>
    <mergeCell ref="A202:B202"/>
    <mergeCell ref="A205:B205"/>
    <mergeCell ref="A145:U145"/>
    <mergeCell ref="C197:U197"/>
    <mergeCell ref="C200:U201"/>
    <mergeCell ref="C206:U206"/>
    <mergeCell ref="C212:U212"/>
    <mergeCell ref="A142:U142"/>
    <mergeCell ref="A143:U143"/>
    <mergeCell ref="A148:U148"/>
    <mergeCell ref="P144:Q144"/>
    <mergeCell ref="T144:U144"/>
    <mergeCell ref="A149:U149"/>
    <mergeCell ref="A150:U150"/>
    <mergeCell ref="A151:U151"/>
    <mergeCell ref="A152:U152"/>
    <mergeCell ref="A153:U153"/>
    <mergeCell ref="A154:U154"/>
    <mergeCell ref="A208:B208"/>
    <mergeCell ref="I60:J60"/>
    <mergeCell ref="C10:F10"/>
    <mergeCell ref="P10:S10"/>
    <mergeCell ref="H11:N11"/>
    <mergeCell ref="H12:N12"/>
    <mergeCell ref="H13:N13"/>
    <mergeCell ref="P15:S15"/>
    <mergeCell ref="I39:J39"/>
    <mergeCell ref="O11:T11"/>
    <mergeCell ref="O12:T12"/>
    <mergeCell ref="O13:T13"/>
    <mergeCell ref="B11:G11"/>
    <mergeCell ref="B12:G12"/>
    <mergeCell ref="B13:G13"/>
    <mergeCell ref="B14:T14"/>
    <mergeCell ref="G29:J29"/>
    <mergeCell ref="G30:J30"/>
    <mergeCell ref="G31:J31"/>
    <mergeCell ref="G32:J32"/>
    <mergeCell ref="G28:J28"/>
    <mergeCell ref="N28:O28"/>
    <mergeCell ref="F2:U2"/>
    <mergeCell ref="F3:H3"/>
    <mergeCell ref="I3:O3"/>
    <mergeCell ref="P3:Q3"/>
    <mergeCell ref="R3:U3"/>
    <mergeCell ref="F7:G7"/>
    <mergeCell ref="N7:O7"/>
    <mergeCell ref="H7:M7"/>
    <mergeCell ref="P7:U7"/>
    <mergeCell ref="F4:H4"/>
    <mergeCell ref="I4:O4"/>
    <mergeCell ref="P4:Q4"/>
    <mergeCell ref="F5:H5"/>
    <mergeCell ref="I5:L5"/>
    <mergeCell ref="N5:O5"/>
    <mergeCell ref="R4:U4"/>
    <mergeCell ref="S28:T28"/>
    <mergeCell ref="I16:M16"/>
    <mergeCell ref="Q16:T16"/>
    <mergeCell ref="Q17:T17"/>
    <mergeCell ref="A27:J27"/>
    <mergeCell ref="I20:N20"/>
    <mergeCell ref="I21:N21"/>
    <mergeCell ref="A23:U23"/>
    <mergeCell ref="L27:U27"/>
    <mergeCell ref="AI38:AK38"/>
    <mergeCell ref="W38:Z38"/>
    <mergeCell ref="AA38:AC38"/>
    <mergeCell ref="AD38:AF38"/>
    <mergeCell ref="AG38:AH38"/>
    <mergeCell ref="L62:U64"/>
    <mergeCell ref="W78:Y78"/>
    <mergeCell ref="Z78:AB78"/>
    <mergeCell ref="AC78:AD78"/>
    <mergeCell ref="AE78:AF78"/>
    <mergeCell ref="L38:U38"/>
    <mergeCell ref="T52:U52"/>
    <mergeCell ref="L49:U49"/>
    <mergeCell ref="Q59:U59"/>
    <mergeCell ref="T61:U61"/>
    <mergeCell ref="H72:M72"/>
    <mergeCell ref="N72:O72"/>
    <mergeCell ref="P72:U72"/>
    <mergeCell ref="P68:Q68"/>
    <mergeCell ref="R68:U68"/>
    <mergeCell ref="F69:H69"/>
    <mergeCell ref="I69:O69"/>
    <mergeCell ref="P69:Q69"/>
    <mergeCell ref="I59:J59"/>
    <mergeCell ref="W84:Y84"/>
    <mergeCell ref="W89:Y89"/>
    <mergeCell ref="Z89:AA89"/>
    <mergeCell ref="AB89:AC89"/>
    <mergeCell ref="AD89:AE89"/>
    <mergeCell ref="T84:U84"/>
    <mergeCell ref="Q85:U85"/>
    <mergeCell ref="A1:U1"/>
    <mergeCell ref="W2:X2"/>
    <mergeCell ref="Q47:U47"/>
    <mergeCell ref="W44:X44"/>
    <mergeCell ref="A74:U74"/>
    <mergeCell ref="I61:J61"/>
    <mergeCell ref="A38:J38"/>
    <mergeCell ref="A53:H53"/>
    <mergeCell ref="A56:J56"/>
    <mergeCell ref="I57:J57"/>
    <mergeCell ref="I58:J58"/>
    <mergeCell ref="L33:U33"/>
    <mergeCell ref="A25:U25"/>
    <mergeCell ref="A34:U34"/>
    <mergeCell ref="A36:U36"/>
    <mergeCell ref="W27:AB27"/>
    <mergeCell ref="AE27:AH27"/>
    <mergeCell ref="C262:U262"/>
    <mergeCell ref="K244:N244"/>
    <mergeCell ref="O244:U244"/>
    <mergeCell ref="A246:U246"/>
    <mergeCell ref="A248:B248"/>
    <mergeCell ref="A249:B249"/>
    <mergeCell ref="C249:U249"/>
    <mergeCell ref="C250:U250"/>
    <mergeCell ref="C253:U253"/>
    <mergeCell ref="A253:B253"/>
    <mergeCell ref="A237:B237"/>
    <mergeCell ref="C237:U237"/>
    <mergeCell ref="A239:B239"/>
    <mergeCell ref="C239:U239"/>
    <mergeCell ref="C273:U273"/>
    <mergeCell ref="A273:B273"/>
    <mergeCell ref="C264:U264"/>
    <mergeCell ref="C263:U263"/>
    <mergeCell ref="A262:B262"/>
    <mergeCell ref="C266:U266"/>
    <mergeCell ref="C267:U267"/>
    <mergeCell ref="C268:U268"/>
    <mergeCell ref="C270:U270"/>
    <mergeCell ref="C271:U271"/>
    <mergeCell ref="A266:B266"/>
    <mergeCell ref="A270:B270"/>
    <mergeCell ref="C255:U255"/>
    <mergeCell ref="C257:U257"/>
    <mergeCell ref="C259:U259"/>
    <mergeCell ref="C261:U261"/>
    <mergeCell ref="C260:U260"/>
    <mergeCell ref="A259:B259"/>
    <mergeCell ref="A257:B257"/>
    <mergeCell ref="A255:B255"/>
  </mergeCells>
  <phoneticPr fontId="7" type="noConversion"/>
  <dataValidations count="32">
    <dataValidation type="list" allowBlank="1" showInputMessage="1" showErrorMessage="1" sqref="I85:J85 T82:U84 T80:U80" xr:uid="{F501C1D7-13EC-475C-A300-CC861B22F54B}">
      <formula1>$W$85:$W$87</formula1>
    </dataValidation>
    <dataValidation type="list" allowBlank="1" showInputMessage="1" showErrorMessage="1" sqref="P78:S78 E82:H83" xr:uid="{01AC2D54-89D9-4C88-976C-C1CA0667B792}">
      <formula1>$W$79:$W$82</formula1>
    </dataValidation>
    <dataValidation type="list" allowBlank="1" showInputMessage="1" showErrorMessage="1" sqref="Q79:U79" xr:uid="{94ADE62D-A80C-478A-94CF-A52D4291D36D}">
      <formula1>$AD$90:$AD$94</formula1>
    </dataValidation>
    <dataValidation type="list" allowBlank="1" showInputMessage="1" showErrorMessage="1" sqref="F102:J102" xr:uid="{7E4C4207-6D31-4F2A-93F8-B0A51640E34D}">
      <formula1>$W$102:$W$105</formula1>
    </dataValidation>
    <dataValidation type="list" allowBlank="1" showInputMessage="1" showErrorMessage="1" sqref="F62:J62 Q39:U40" xr:uid="{61755880-C4A1-40A1-A721-8DD9E245DD76}">
      <formula1>$W$39:$W$42</formula1>
    </dataValidation>
    <dataValidation type="list" allowBlank="1" showInputMessage="1" showErrorMessage="1" sqref="F63:J63" xr:uid="{2CD815E4-B454-4A08-AA5A-37052120720A}">
      <formula1>$AA$39:$AA$46</formula1>
    </dataValidation>
    <dataValidation type="list" allowBlank="1" showInputMessage="1" showErrorMessage="1" sqref="Q41:U43" xr:uid="{716227E8-07F3-4B05-A4D3-EC80A7996F5D}">
      <formula1>$AD$39:$AD$45</formula1>
    </dataValidation>
    <dataValidation type="list" allowBlank="1" showInputMessage="1" showErrorMessage="1" sqref="Q44:U44" xr:uid="{CAE83B24-43BF-4AD7-B2FB-2C9A1D5A1AA6}">
      <formula1>$AG$39:$AG$44</formula1>
    </dataValidation>
    <dataValidation type="list" allowBlank="1" showInputMessage="1" showErrorMessage="1" sqref="Q45:U45" xr:uid="{4E5B7ABF-2217-4B9E-8F39-82305896631E}">
      <formula1>$AI$39:$AI$43</formula1>
    </dataValidation>
    <dataValidation type="list" allowBlank="1" showInputMessage="1" showErrorMessage="1" sqref="F49" xr:uid="{73A70583-D246-404D-93CE-442CCB971BC7}">
      <formula1>$AK$28:$AK$33</formula1>
    </dataValidation>
    <dataValidation type="list" allowBlank="1" showInputMessage="1" showErrorMessage="1" sqref="F57" xr:uid="{BE781D15-5625-4530-A77B-DC8EF6823935}">
      <formula1>$AI$28:$AI$31</formula1>
    </dataValidation>
    <dataValidation type="list" allowBlank="1" showInputMessage="1" showErrorMessage="1" sqref="F58" xr:uid="{4C1925AB-F12B-4564-B14C-21D6E9075B8E}">
      <formula1>$AJ$28:$AJ$31</formula1>
    </dataValidation>
    <dataValidation type="list" allowBlank="1" showInputMessage="1" showErrorMessage="1" sqref="T51:U51" xr:uid="{131FE77C-8E00-4B3A-8B89-D2FD275DACD4}">
      <formula1>$W$56:$W$58</formula1>
    </dataValidation>
    <dataValidation type="list" allowBlank="1" showInputMessage="1" showErrorMessage="1" sqref="T52:U52" xr:uid="{110052F2-2666-4656-84EB-0C157265CCF5}">
      <formula1>$Y$56:$Y$59</formula1>
    </dataValidation>
    <dataValidation type="list" allowBlank="1" showInputMessage="1" showErrorMessage="1" sqref="Q56:U57" xr:uid="{6D15EDCA-3EBA-4A06-89C9-89DA401AAEB8}">
      <formula1>$AA$56:$AA$61</formula1>
    </dataValidation>
    <dataValidation type="list" allowBlank="1" showInputMessage="1" showErrorMessage="1" sqref="Q58:U58" xr:uid="{F4C19EC2-9DCD-4896-9BE7-5FF49415C475}">
      <formula1>$AC$56:$AC$62</formula1>
    </dataValidation>
    <dataValidation type="list" allowBlank="1" showInputMessage="1" showErrorMessage="1" sqref="Q59:U59" xr:uid="{B7AD79CC-3AD7-40B5-8821-D0A65757AD0E}">
      <formula1>$AF$56:$AF$62</formula1>
    </dataValidation>
    <dataValidation type="list" allowBlank="1" showInputMessage="1" showErrorMessage="1" sqref="F84:J84" xr:uid="{402AF463-51EA-4FD3-994A-5AB75A322096}">
      <formula1>$Z$79:$Z$87</formula1>
    </dataValidation>
    <dataValidation type="list" allowBlank="1" showInputMessage="1" showErrorMessage="1" sqref="E88:H89" xr:uid="{9766E516-2E17-465C-A3C6-E0A785734C72}">
      <formula1>$AC$79:$AC$85</formula1>
    </dataValidation>
    <dataValidation type="list" allowBlank="1" showInputMessage="1" showErrorMessage="1" sqref="E90:H90" xr:uid="{AD71C200-D09E-4BA9-8875-9F74304422EF}">
      <formula1>$AE$79:$AE$83</formula1>
    </dataValidation>
    <dataValidation type="list" allowBlank="1" showInputMessage="1" showErrorMessage="1" sqref="E91:H91" xr:uid="{35364625-E6E8-4259-9907-42CD752F1736}">
      <formula1>$AG$79:$AG$81</formula1>
    </dataValidation>
    <dataValidation type="list" allowBlank="1" showInputMessage="1" showErrorMessage="1" sqref="E92:H92" xr:uid="{AD8C2BCE-E8FA-43E2-9ED8-F05B6427F757}">
      <formula1>$AH$79:$AH$81</formula1>
    </dataValidation>
    <dataValidation type="list" allowBlank="1" showInputMessage="1" showErrorMessage="1" sqref="E93:H93" xr:uid="{81C04927-68B6-483C-A498-DEB5B0C4204A}">
      <formula1>$AI$79:$AI$82</formula1>
    </dataValidation>
    <dataValidation type="list" allowBlank="1" showInputMessage="1" showErrorMessage="1" sqref="E96:H97" xr:uid="{2644A656-1092-4CA7-A131-94F2A652964F}">
      <formula1>$W$90:$W$101</formula1>
    </dataValidation>
    <dataValidation type="list" allowBlank="1" showInputMessage="1" showErrorMessage="1" sqref="E98:H99" xr:uid="{42E46A7F-28EE-4E51-AAE2-C712DB41FC43}">
      <formula1>$Z$90:$Z$94</formula1>
    </dataValidation>
    <dataValidation type="list" allowBlank="1" showInputMessage="1" showErrorMessage="1" sqref="Q85:U85" xr:uid="{7880882B-E075-470D-9933-D3736F48C927}">
      <formula1>$AF$90:$AF$95</formula1>
    </dataValidation>
    <dataValidation type="list" allowBlank="1" showInputMessage="1" showErrorMessage="1" sqref="A1" xr:uid="{0D7DC5EF-F909-4425-BC89-4E6C0F21A6CD}">
      <formula1>$W$3:$W$4</formula1>
    </dataValidation>
    <dataValidation type="list" allowBlank="1" showInputMessage="1" showErrorMessage="1" sqref="I46:J48 I39:J44 I57:J61 T60:T61 I79:J80 I77:J77 I103:J105" xr:uid="{4D1DDB85-47EC-440C-A411-77F17EADD057}">
      <formula1>$Z$4:$Z$5</formula1>
    </dataValidation>
    <dataValidation type="list" allowBlank="1" showInputMessage="1" showErrorMessage="1" sqref="Q47:U47" xr:uid="{4DC985E2-CD44-4C9F-9DCC-52C8FEC2A8AF}">
      <formula1>$W$45:$W$47</formula1>
    </dataValidation>
    <dataValidation type="list" allowBlank="1" showInputMessage="1" showErrorMessage="1" sqref="J82:J83 J88:J93 J96:J99" xr:uid="{415554EF-F47C-4805-8A8A-8918489A0CFF}">
      <formula1>$W$67:$W$73</formula1>
    </dataValidation>
    <dataValidation type="list" allowBlank="1" showInputMessage="1" showErrorMessage="1" sqref="U78" xr:uid="{E23F0DF3-981B-4347-AAA3-1C90AD843B31}">
      <formula1>$W$67:$W$69</formula1>
    </dataValidation>
    <dataValidation type="list" allowBlank="1" showInputMessage="1" showErrorMessage="1" sqref="Q46" xr:uid="{93C83D6A-5B25-4184-8AB8-6A1421647E35}">
      <formula1>$Z$3:$Z$5</formula1>
    </dataValidation>
  </dataValidations>
  <printOptions horizontalCentered="1"/>
  <pageMargins left="0.7" right="0.7" top="0.75" bottom="0.75" header="0.3" footer="0.3"/>
  <pageSetup paperSize="3" scale="95" fitToHeight="0" orientation="portrait" r:id="rId1"/>
  <rowBreaks count="5" manualBreakCount="5">
    <brk id="66" max="16383" man="1"/>
    <brk id="118" max="20" man="1"/>
    <brk id="145" max="20" man="1"/>
    <brk id="180" max="20" man="1"/>
    <brk id="243" max="20"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CONTRACT</vt:lpstr>
      <vt:lpstr>CONTRACT!Print_Area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Gurley</dc:creator>
  <cp:lastModifiedBy>John Piotrowski</cp:lastModifiedBy>
  <cp:lastPrinted>2025-01-27T16:49:02Z</cp:lastPrinted>
  <dcterms:created xsi:type="dcterms:W3CDTF">2023-11-30T14:32:49Z</dcterms:created>
  <dcterms:modified xsi:type="dcterms:W3CDTF">2025-09-18T15:21:08Z</dcterms:modified>
</cp:coreProperties>
</file>