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dev\Submerge\docs\Contracts\"/>
    </mc:Choice>
  </mc:AlternateContent>
  <xr:revisionPtr revIDLastSave="0" documentId="13_ncr:1_{75326380-7814-49DB-BB97-9B873F8A585B}" xr6:coauthVersionLast="47" xr6:coauthVersionMax="47" xr10:uidLastSave="{00000000-0000-0000-0000-000000000000}"/>
  <bookViews>
    <workbookView xWindow="30612" yWindow="-7752" windowWidth="17496" windowHeight="30936" xr2:uid="{C8925376-2B03-47D1-8337-7170FEBA89A7}"/>
  </bookViews>
  <sheets>
    <sheet name="CONTRACT" sheetId="1" r:id="rId1"/>
  </sheets>
  <externalReferences>
    <externalReference r:id="rId2"/>
  </externalReferences>
  <definedNames>
    <definedName name="AllCleanerRevised">[1]EQUIP!$O$11:$V$16</definedName>
    <definedName name="AllCleaners">[1]EQUIP!$O$11:$V$15</definedName>
    <definedName name="Automation_Table">[1]EQUIP!$O$80:$V$98</definedName>
    <definedName name="Auxiliary_Pump_Table">[1]EQUIP!$O$31:$V$47</definedName>
    <definedName name="Auxiliary_Pumps">[1]EQUIP!$O$31:$O$47</definedName>
    <definedName name="BBQ_Island_Table" localSheetId="0">#REF!</definedName>
    <definedName name="BBQ_Island_Table">#REF!</definedName>
    <definedName name="BBQ_Islands" localSheetId="0">#REF!</definedName>
    <definedName name="BBQ_Islands">#REF!</definedName>
    <definedName name="BeamRock">'[1]ROCK &amp; TILE'!$B$93:$B$99</definedName>
    <definedName name="Booster_Pump">[1]EQUIP!$O$31:$O$33</definedName>
    <definedName name="Chlorinator_Types">#REF!</definedName>
    <definedName name="CircPumps">[1]EQUIP!$O$25:$O$27</definedName>
    <definedName name="Circulation_Pump_Table">[1]EQUIP!$O$25:$W$27</definedName>
    <definedName name="Circulation_Pumps">[1]EQUIP!$O$25:$O$27</definedName>
    <definedName name="Cities">[1]PERMIT!$A$5:$A$27</definedName>
    <definedName name="Controller">[1]EQUIP!$O$80:$O$90</definedName>
    <definedName name="Coping">[1]DECK!$F$6:$F$15</definedName>
    <definedName name="Crane_Sizes" localSheetId="0">#REF!</definedName>
    <definedName name="Crane_Sizes">#REF!</definedName>
    <definedName name="Deck_Types">#REF!</definedName>
    <definedName name="Drain_Types">#REF!</definedName>
    <definedName name="East_Valley_Table" localSheetId="0">#REF!</definedName>
    <definedName name="East_Valley_Table">#REF!</definedName>
    <definedName name="EastValley" localSheetId="0">#REF!</definedName>
    <definedName name="EastValley">#REF!</definedName>
    <definedName name="EXCAVATION_EQUIPMENT" localSheetId="0">#REF!</definedName>
    <definedName name="EXCAVATION_EQUIPMENT">#REF!</definedName>
    <definedName name="Fiber_Spas" localSheetId="0">#REF!</definedName>
    <definedName name="Fiber_Spas">#REF!</definedName>
    <definedName name="FIBERGLASS_MODELS" localSheetId="0">#REF!</definedName>
    <definedName name="FIBERGLASS_MODELS">#REF!</definedName>
    <definedName name="FIBERGLASS_SPA_MODELS" localSheetId="0">#REF!</definedName>
    <definedName name="FIBERGLASS_SPA_MODELS">#REF!</definedName>
    <definedName name="FIBERGLASS_SPA_TABLE" localSheetId="0">#REF!</definedName>
    <definedName name="FIBERGLASS_SPA_TABLE">#REF!</definedName>
    <definedName name="FIBERGLASS_TABLE" localSheetId="0">#REF!</definedName>
    <definedName name="FIBERGLASS_TABLE">#REF!</definedName>
    <definedName name="Filter">[1]EQUIP!$O$52:$O$58</definedName>
    <definedName name="Filter_Table">[1]EQUIP!$O$51:$V$58</definedName>
    <definedName name="Filters">[1]EQUIP!$O$51:$O$58</definedName>
    <definedName name="Heater_Types">#REF!</definedName>
    <definedName name="IG_SPA_TABLE">[1]SPAS!$C$181:$X$197</definedName>
    <definedName name="Ingroud_Spa" localSheetId="0">#REF!</definedName>
    <definedName name="Ingroud_Spa">#REF!</definedName>
    <definedName name="Inground_Spa_Model" localSheetId="0">#REF!</definedName>
    <definedName name="Inground_Spa_Model">#REF!</definedName>
    <definedName name="Interior_Finishes">#REF!</definedName>
    <definedName name="Job_Type">#REF!</definedName>
    <definedName name="Jurisdiction_Table" localSheetId="0">#REF!</definedName>
    <definedName name="Jurisdiction_Table">#REF!</definedName>
    <definedName name="Light_Types">#REF!</definedName>
    <definedName name="PaverDeck">[1]DECK!$F$16:$F$19</definedName>
    <definedName name="Pool_Cleaners">#REF!</definedName>
    <definedName name="PoolInt">'[1]INT - NP'!$A$249:$F$1848</definedName>
    <definedName name="Premier_Spa_Table">[1]SPAS!$C$3:$W$17</definedName>
    <definedName name="_xlnm.Print_Area" localSheetId="0">CONTRACT!$A$2:$U$312</definedName>
    <definedName name="RBB_Facing">#REF!</definedName>
    <definedName name="RevisedCleaners">[1]EQUIP!$O$11:$O$15</definedName>
    <definedName name="Sanitation">[1]EQUIP!$O$60:$O$68</definedName>
    <definedName name="SHEER_DESCENT">[1]EQUIP!$O$71:$O$78</definedName>
    <definedName name="SHEER_DESCENT_TABLE">[1]EQUIP!$O$71:$V$77</definedName>
    <definedName name="Spa_Circulation_Options">[1]SPAS!$A$125:$A$128</definedName>
    <definedName name="Spa_Circulation_Table">[1]SPAS!$A$125:$E$128</definedName>
    <definedName name="Spa_Cleaner">#REF!</definedName>
    <definedName name="Spa_Color_Options">[1]SPAS!$A$52:$A$73</definedName>
    <definedName name="Spa_Color_Table">[1]SPAS!$A$52:$G$73</definedName>
    <definedName name="Spa_Cover_Options">[1]SPAS!$A$87:$A$92</definedName>
    <definedName name="Spa_Cover_Table">[1]SPAS!$A$95:$E$96</definedName>
    <definedName name="Spa_Cover_Types">[1]SPAS!$A$95:$A$96</definedName>
    <definedName name="Spa_Delivery_Options">[1]SPAS!$A$158:$A$161</definedName>
    <definedName name="Spa_Delivery_Table">[1]SPAS!$A$158:$E$161</definedName>
    <definedName name="Spa_Electric_Options">[1]SPAS!$A$172:$A$173</definedName>
    <definedName name="Spa_Electric_Table">[1]SPAS!$A$172:$E$173</definedName>
    <definedName name="Spa_Insulation_Options">[1]SPAS!$A$121:$A$122</definedName>
    <definedName name="Spa_Insulation_Table">[1]SPAS!$A$121:$E$122</definedName>
    <definedName name="Spa_Lift_Options">[1]SPAS!$A$114:$A$118</definedName>
    <definedName name="Spa_Lift_Table">[1]SPAS!$A$114:$E$118</definedName>
    <definedName name="Spa_Light_Types">#REF!</definedName>
    <definedName name="Spa_Lighting_Options">[1]SPAS!$A$139:$A$140</definedName>
    <definedName name="Spa_Lighting_Table">[1]SPAS!$A$139:$E$140</definedName>
    <definedName name="Spa_Model">'[1]SPA CONTRACT'!$D$19</definedName>
    <definedName name="Spa_Models">[1]SPAS!$C$3:$C$17</definedName>
    <definedName name="Spa_Pad_Options">[1]SPAS!$A$168:$A$169</definedName>
    <definedName name="Spa_Pad_Table">[1]SPAS!$A$168:$E$169</definedName>
    <definedName name="Spa_Sanitation_Options">[1]SPAS!$A$131:$A$136</definedName>
    <definedName name="Spa_Sanitation_Table">[1]SPAS!$A$131:$E$136</definedName>
    <definedName name="Spa_Skirt_Options">[1]SPAS!$A$77:$A$84</definedName>
    <definedName name="Spa_Skirt_Table">[1]SPAS!$A$77:$E$84</definedName>
    <definedName name="Spa_Start_Up_Options">[1]SPAS!$A$164:$A$165</definedName>
    <definedName name="Spa_Start_Up_Table">[1]SPAS!$A$164:$E$165</definedName>
    <definedName name="Spa_Step_Options">[1]SPAS!$A$99:$A$111</definedName>
    <definedName name="Spa_Step_Table">[1]SPAS!$A$99:$E$111</definedName>
    <definedName name="Spa_Stereo_Options">[1]SPAS!$A$143:$A$151</definedName>
    <definedName name="Spa_Stereo_Table">[1]SPAS!$A$143:$F$151</definedName>
    <definedName name="Spa_Warranty_Options">[1]SPAS!$A$154:$A$155</definedName>
    <definedName name="Spa_Warranty_Table">[1]SPAS!$A$154:$E$155</definedName>
    <definedName name="SpaInt">'[1]INT - NP'!$G$249:$L$361</definedName>
    <definedName name="Step_Trim">#REF!</definedName>
    <definedName name="Valley_Jurisdictions" localSheetId="0">#REF!</definedName>
    <definedName name="Valley_Jurisdictions">#REF!</definedName>
    <definedName name="Water_Features">#REF!</definedName>
    <definedName name="West_Valley_Table" localSheetId="0">#REF!</definedName>
    <definedName name="West_Valley_Table">#REF!</definedName>
    <definedName name="WestValley" localSheetId="0">#REF!</definedName>
    <definedName name="WestValley">#REF!</definedName>
    <definedName name="Wfalls">'[1]ROCK &amp; TILE'!$B$71:$B$82</definedName>
    <definedName name="Wok_Pots">[1]MISC!$I$4:$I$20</definedName>
    <definedName name="wv" localSheetId="0">#REF!</definedName>
    <definedName name="wv">#REF!</definedName>
    <definedName name="wvv" localSheetId="0">#REF!</definedName>
    <definedName name="wvv">#REF!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1" l="1"/>
  <c r="P15" i="1"/>
  <c r="F67" i="1"/>
  <c r="F2" i="1"/>
  <c r="AC31" i="1"/>
  <c r="AC30" i="1"/>
  <c r="AC28" i="1"/>
  <c r="C249" i="1"/>
  <c r="C250" i="1"/>
  <c r="W248" i="1"/>
  <c r="C248" i="1" s="1"/>
  <c r="O244" i="1"/>
  <c r="C273" i="1" l="1"/>
  <c r="C274" i="1"/>
  <c r="C271" i="1"/>
  <c r="C260" i="1"/>
  <c r="C264" i="1"/>
  <c r="C259" i="1"/>
  <c r="C262" i="1"/>
  <c r="C263" i="1"/>
  <c r="C266" i="1"/>
  <c r="C267" i="1"/>
  <c r="C268" i="1"/>
  <c r="C270" i="1"/>
  <c r="C253" i="1"/>
  <c r="C255" i="1"/>
  <c r="C257" i="1"/>
  <c r="C252" i="1"/>
  <c r="C265" i="1"/>
  <c r="O119" i="1"/>
  <c r="O181" i="1" s="1"/>
  <c r="AH28" i="1"/>
  <c r="G29" i="1" s="1"/>
  <c r="Q81" i="1"/>
  <c r="D190" i="1"/>
  <c r="I106" i="1"/>
  <c r="P72" i="1"/>
  <c r="H72" i="1"/>
  <c r="R69" i="1"/>
  <c r="R68" i="1"/>
  <c r="N70" i="1"/>
  <c r="I70" i="1"/>
  <c r="I69" i="1"/>
  <c r="I68" i="1"/>
  <c r="L50" i="1"/>
  <c r="A54" i="1"/>
  <c r="L33" i="1"/>
  <c r="G28" i="1"/>
  <c r="L190" i="1" s="1"/>
  <c r="A30" i="1"/>
  <c r="D192" i="1" s="1"/>
  <c r="A31" i="1"/>
  <c r="D193" i="1" s="1"/>
  <c r="A32" i="1"/>
  <c r="D194" i="1" s="1"/>
  <c r="A29" i="1"/>
  <c r="D191" i="1" s="1"/>
  <c r="O146" i="1" l="1"/>
  <c r="AH30" i="1"/>
  <c r="G31" i="1" s="1"/>
  <c r="L193" i="1" s="1"/>
  <c r="AC29" i="1"/>
  <c r="AH31" i="1"/>
  <c r="G32" i="1" s="1"/>
  <c r="L194" i="1" s="1"/>
  <c r="AH29" i="1"/>
  <c r="L191" i="1"/>
  <c r="G30" i="1" l="1"/>
  <c r="L192" i="1" s="1"/>
</calcChain>
</file>

<file path=xl/sharedStrings.xml><?xml version="1.0" encoding="utf-8"?>
<sst xmlns="http://schemas.openxmlformats.org/spreadsheetml/2006/main" count="568" uniqueCount="399">
  <si>
    <t>DECKING</t>
  </si>
  <si>
    <t>EXCAVATION</t>
  </si>
  <si>
    <t>ENGINEERING</t>
  </si>
  <si>
    <t>N/A</t>
  </si>
  <si>
    <t>Progress payments are due in accordance with the following schedule:</t>
  </si>
  <si>
    <t>GENERAL</t>
  </si>
  <si>
    <t>Initials</t>
  </si>
  <si>
    <t>12. ARBITRATION OF DISPUTES</t>
  </si>
  <si>
    <t>11. ASSIGNMENTS &amp; SUB-CONTRACTS</t>
  </si>
  <si>
    <t>In the event work already performed is damaged by any cause beyond Builder's control and Buyer elects to cancel the work or the work is ordered terminated by public authority, Builder shall be paid for such work, the amount agreed to in writing for such work, or if not so agreed, the cost price for such labor and materials plus 20% of such price cost. If the work is not cancelled or terminated, all work necessary to replace work already performed shall be considered additional work to be paid for by the Buyer in accordance with the preceding sentence.</t>
  </si>
  <si>
    <t>10. DAMAGE TO WORK</t>
  </si>
  <si>
    <t>9. ELECTRICAL SERVICE</t>
  </si>
  <si>
    <t>8. PLUMBING &amp; UTILITIES</t>
  </si>
  <si>
    <t>7. GRADING, DECKING, DRAINAGE, RETAINING WALLS &amp; FENCING</t>
  </si>
  <si>
    <t>6. POOL SITE</t>
  </si>
  <si>
    <t>D. That there will be no additional load condition that may be imposed on the pool structure by existing or proposed adjacent structures which will require extra engineering.</t>
  </si>
  <si>
    <t>5. MATERIAL CONDITIONS FOR PERFORMANCE</t>
  </si>
  <si>
    <t xml:space="preserve">If Buyer authorizes access to adjacent properties for Builder's use during construction, Buyer is required to obtain permission from the owner(s) of adjacent properties for such use, and Buyer agrees to be responsible and to hold seller harmless from any risks thereof. </t>
  </si>
  <si>
    <t>4. RESPONSIBILITIES OF BUYER</t>
  </si>
  <si>
    <t>Upon satisfactory payment being made for any portion of the work performed, the contractor shall, prior to any further payment being made, furnish to the person contracting for the home improvement or swimming pool a full and unconditional release from any claim or mechanic's lien for that portion of the work for which payment has been made.</t>
  </si>
  <si>
    <t>$3.00 per square foot multiplied by the difference between the water surface square foot area of the pool specified herein (less the 5% variance) and the actual water surface of the pool as constructed; $20.00 an inch for variance of more than 5% of the vertical dimensions of the pool specified herein (less 5% variance). However, in the event the specified pool depth is not attainable with normal excavation equipment, due to underground water, sand, rock or other unusual subsurface conditions, beyond Builder's control, then Builder and Buyer shall agree upon attained depth with no penalty to Builder.</t>
  </si>
  <si>
    <t>3. RESPONSIBILITIES OF BUILDER - CONDITIONS &amp; LIMITATIONS</t>
  </si>
  <si>
    <t>If any provision (or portion thereof) of this contract shall be deemed invalid it is agreed that such invalidity shall only affect such provision (or portion thereof) and the remainder of this contract shall remain in force and effect.</t>
  </si>
  <si>
    <t>2. CONTRACT &amp; SPECIFICATIONS</t>
  </si>
  <si>
    <t>If excavation has not started 90 days from date of the contract for reasons beyond Builder's control, Builder shall have the right to cancel the contract upon notice to the Buyer.</t>
  </si>
  <si>
    <t>The sole and exclusive remedy of the Buyer and the obligation of Builder for the matters set forth herein whether on warranty, contract, negligence or strict liability, is the repair of the defect. Builder shall in no event be liable for special or consequential damages.</t>
  </si>
  <si>
    <t>The above warranties are effective only if Buyer has complied with all terms and conditions, payments and other provisions of the contract. The warranties become void if: the pool is not kept full except for a 10 day maintenance period each year; if the pool structure is damaged by reason of the water rising above the lowest point of the pool when the pool is not kept full, or by reason of any earth or fill ground movement, acts of God, war, riots or other civil disturbances, acts of others; or if there was a transfer or change of ownership of the real property on which the pool is located.</t>
  </si>
  <si>
    <t>All pool equipment and accessories installed as provided for herein, carry a warranty as provided by the manufacturer of the same. When Buyer has work performed by others, Builder does not warrant such work and Builder shall not be held liable for such work or for loss or damages which may result there from.</t>
  </si>
  <si>
    <t>In the event Builder contracts to install walks and decking, said walks and decking are not warranted against cracking, chipping, raising, settling, or discolorations. Plaster is not warranted against discoloration, staining, chipping, or cracking since such plaster defects generally result from local water conditions, improper use of chemicals, or improper cleaning of the pool.</t>
  </si>
  <si>
    <t>1. TERMS AND CONDITIONS</t>
  </si>
  <si>
    <t>80.</t>
  </si>
  <si>
    <t>None</t>
  </si>
  <si>
    <t>79.</t>
  </si>
  <si>
    <t>LNFT:</t>
  </si>
  <si>
    <t>BY BUILDER</t>
  </si>
  <si>
    <t>Salt System</t>
  </si>
  <si>
    <t>UV System</t>
  </si>
  <si>
    <t>78.</t>
  </si>
  <si>
    <t>Robotic Cleaner</t>
  </si>
  <si>
    <t>Ozone System</t>
  </si>
  <si>
    <t>Mineral System</t>
  </si>
  <si>
    <t>25. Sanitation II</t>
  </si>
  <si>
    <t>Suction Cleaner</t>
  </si>
  <si>
    <t>77.</t>
  </si>
  <si>
    <t>In-Line Chlorinator</t>
  </si>
  <si>
    <t>24. Sanitation I</t>
  </si>
  <si>
    <t>ROCKWORK</t>
  </si>
  <si>
    <t>76.</t>
  </si>
  <si>
    <t>QTY:</t>
  </si>
  <si>
    <t>75.</t>
  </si>
  <si>
    <t>60 SQFT DE</t>
  </si>
  <si>
    <t>Other - See Add'l Specs</t>
  </si>
  <si>
    <t>4.9 SQFT Sand</t>
  </si>
  <si>
    <t>74.</t>
  </si>
  <si>
    <t>WATER FEATURES</t>
  </si>
  <si>
    <t>21. Filter</t>
  </si>
  <si>
    <t>5CM Travertine</t>
  </si>
  <si>
    <t>73.</t>
  </si>
  <si>
    <t>Travertine</t>
  </si>
  <si>
    <t>3CM Travertine</t>
  </si>
  <si>
    <t>Concrete</t>
  </si>
  <si>
    <t>STD</t>
  </si>
  <si>
    <t>BY BUYER</t>
  </si>
  <si>
    <t>43. House panel upgrade or relocation of overhead</t>
  </si>
  <si>
    <t xml:space="preserve">42.  Electrical bonding of pool </t>
  </si>
  <si>
    <t>ADDITIONAL SPECIFICATIONS</t>
  </si>
  <si>
    <t xml:space="preserve">      light(s) including required conduit</t>
  </si>
  <si>
    <t>41. Electrical connection of pump(s) and underwater</t>
  </si>
  <si>
    <t xml:space="preserve">      Insurance for all employees.</t>
  </si>
  <si>
    <t>70. Booster Pump for Spa Jets</t>
  </si>
  <si>
    <t>69. Low Water Returns</t>
  </si>
  <si>
    <t>68. Interior Finish</t>
  </si>
  <si>
    <t>39. Decking Drainage</t>
  </si>
  <si>
    <t>67. Blower</t>
  </si>
  <si>
    <t>66. Damwall:</t>
  </si>
  <si>
    <t>65. Spa Light:</t>
  </si>
  <si>
    <t xml:space="preserve">10. This contract includes up to </t>
  </si>
  <si>
    <t>64. Spa Perimeter:</t>
  </si>
  <si>
    <t>9.  Removal of landscaping in the access or pool area</t>
  </si>
  <si>
    <t>SPA</t>
  </si>
  <si>
    <t>8.  Removal of concrete in the access or pool area</t>
  </si>
  <si>
    <t>INCLUDED</t>
  </si>
  <si>
    <t>63. Test Kit, Leaf Skimmer, Pole, Brush &amp; Thermometer</t>
  </si>
  <si>
    <t>7.  Removal of trees in the access or pool area</t>
  </si>
  <si>
    <t>' of 48"</t>
  </si>
  <si>
    <t>' of 36"</t>
  </si>
  <si>
    <t>' of 30"</t>
  </si>
  <si>
    <t xml:space="preserve">     Concrete Sidewalk or Driveway</t>
  </si>
  <si>
    <t>6.  Repair Damaged Utilities, Irrigation, Landscaping and</t>
  </si>
  <si>
    <t>Stacked Stone</t>
  </si>
  <si>
    <t>' of 24"</t>
  </si>
  <si>
    <t>' of 12"</t>
  </si>
  <si>
    <t>' of 6"</t>
  </si>
  <si>
    <t>5.  Replacement of access wall or fence</t>
  </si>
  <si>
    <t>4.  Removal of access wall or fence</t>
  </si>
  <si>
    <t>Tile</t>
  </si>
  <si>
    <t>Trim Tile</t>
  </si>
  <si>
    <t>Mini Pebble</t>
  </si>
  <si>
    <t>3.  Removal of dirt on day of excavation only</t>
  </si>
  <si>
    <t xml:space="preserve">2.  Pool layout and excavation </t>
  </si>
  <si>
    <t>Quartz</t>
  </si>
  <si>
    <t>1.  Standard Engineered Plans and Pool Permit</t>
  </si>
  <si>
    <t>GENERAL CONSTRUCTION</t>
  </si>
  <si>
    <t>'</t>
  </si>
  <si>
    <t>Pool Depth:</t>
  </si>
  <si>
    <t>Pool Size:</t>
  </si>
  <si>
    <t>SQFT</t>
  </si>
  <si>
    <t>Perimeter:</t>
  </si>
  <si>
    <t>Fiberglass</t>
  </si>
  <si>
    <t>YES</t>
  </si>
  <si>
    <t>NO</t>
  </si>
  <si>
    <t>WEST</t>
  </si>
  <si>
    <r>
      <t xml:space="preserve">Buyer shall notify Builder of any alleged defects or breach of the above warranty within a </t>
    </r>
    <r>
      <rPr>
        <sz val="9"/>
        <color rgb="FF222222"/>
        <rFont val="Tahoma"/>
        <family val="2"/>
      </rPr>
      <t xml:space="preserve">reasonable </t>
    </r>
    <r>
      <rPr>
        <sz val="9"/>
        <color rgb="FF0C0C0C"/>
        <rFont val="Tahoma"/>
        <family val="2"/>
      </rPr>
      <t>time after discovery, in no event later than 10 days after discovery; such notice shall be sent to Builder at its place of business set forth on the other side of this contract.</t>
    </r>
  </si>
  <si>
    <r>
      <t>Defects or failures resulting from mistreatment or neglect by Buyer will be repaired or serviced at the Buyer's expense</t>
    </r>
    <r>
      <rPr>
        <sz val="9"/>
        <color rgb="FF373737"/>
        <rFont val="Tahoma"/>
        <family val="2"/>
      </rPr>
      <t xml:space="preserve">. </t>
    </r>
    <r>
      <rPr>
        <sz val="9"/>
        <color rgb="FF0C0C0C"/>
        <rFont val="Tahoma"/>
        <family val="2"/>
      </rPr>
      <t xml:space="preserve">If Buyer has work performed by others that is not provided for in this contract, such as, but not limited to, electrical panel changes, landscaping, erection of fences and retaining walls, Builder does not warrant such work, and Builder shall not be held liable for such work or for loss or damages which may result there from, or for delays to Builder caused by such work. </t>
    </r>
  </si>
  <si>
    <r>
      <t>This contract constitutes the entire contract and the parties are not bound by any oral expression or representation by any agent of either party purporting to act for or on behalf of either party or by a commitment or arrangement not specified in the contract. No extra or change-order work shall be required to be performed without prior written authorization of the person contracting for the construction of the home improvement or swimming pool. Any change order forms for changes or extra work shall be incorporated in, and become a part of the contract. For such additional work so added to the contract, it is agreed that the total price under this contract shall be increased by the price of such additional work, that installments may be increased proportionally, and that all terms and conditions of this contract shall apply to such additional work. Both parties agree that the contract completion shall be extended 5 working days for each additional working day necessitated by the change order</t>
    </r>
    <r>
      <rPr>
        <sz val="9"/>
        <color rgb="FF373737"/>
        <rFont val="Tahoma"/>
        <family val="2"/>
      </rPr>
      <t xml:space="preserve">. </t>
    </r>
  </si>
  <si>
    <r>
      <t xml:space="preserve">Builder agrees to do all work provided in this contract in a good and workmanlike manner, but shall not be responsible for delay or failure to perform work when such delay or failure is due to: acts of God, inclement weather, war, riot, or other civil disturbance, labor disputes, government prohibition, non-issuance of all required permits affecting the swimming pool and adjacent areas, failure of Buyer to perform any obligations to be performed by him hereunder, or other reasons beyond Builder's control. The date of completion provided for herein shall be extended five (5) calendar days for each calendar day caused by any or all of the events referred to </t>
    </r>
    <r>
      <rPr>
        <sz val="9"/>
        <color rgb="FF222222"/>
        <rFont val="Tahoma"/>
        <family val="2"/>
      </rPr>
      <t xml:space="preserve">in </t>
    </r>
    <r>
      <rPr>
        <sz val="9"/>
        <color rgb="FF0C0C0C"/>
        <rFont val="Tahoma"/>
        <family val="2"/>
      </rPr>
      <t>this paragraph, up to and including the sixth (6th) day of delay</t>
    </r>
    <r>
      <rPr>
        <sz val="9"/>
        <color rgb="FF373737"/>
        <rFont val="Tahoma"/>
        <family val="2"/>
      </rPr>
      <t xml:space="preserve">. </t>
    </r>
    <r>
      <rPr>
        <sz val="9"/>
        <color rgb="FF0C0C0C"/>
        <rFont val="Tahoma"/>
        <family val="2"/>
      </rPr>
      <t>Thereafter, the date of completion shall be extended one (1) calendar day for each calendar day of delay.</t>
    </r>
  </si>
  <si>
    <r>
      <t>Builder is not responsible for damage to improvements and appurtenances located in or reasonably adjacent to the access routes or the pool sites, including but not limited to such i</t>
    </r>
    <r>
      <rPr>
        <sz val="9"/>
        <color rgb="FF222222"/>
        <rFont val="Tahoma"/>
        <family val="2"/>
      </rPr>
      <t xml:space="preserve">tems </t>
    </r>
    <r>
      <rPr>
        <sz val="9"/>
        <color rgb="FF0C0C0C"/>
        <rFont val="Tahoma"/>
        <family val="2"/>
      </rPr>
      <t>as curbs, sidewalks, driveways, patios, lawns, shrubs and sprinkler systems. Builder is not responsible for damages caused by ground compaction by excavation equipment. Builder is not responsible for flotation of pool.</t>
    </r>
  </si>
  <si>
    <r>
      <t xml:space="preserve">All pool dimensions are approximate with reasonable tolerance either way. The parties agree that Builder shall have substantially completed performance in a good and workmanlike manner. In all, final surface dimensions are within 5% of the specified surface dimensions, and all final vertical dimensions are within 5% of the specified vertical dimensions. Buyer and Builder agree that it is difficult and </t>
    </r>
    <r>
      <rPr>
        <sz val="9"/>
        <color rgb="FF222222"/>
        <rFont val="Tahoma"/>
        <family val="2"/>
      </rPr>
      <t xml:space="preserve">impractical </t>
    </r>
    <r>
      <rPr>
        <sz val="9"/>
        <color rgb="FF0C0C0C"/>
        <rFont val="Tahoma"/>
        <family val="2"/>
      </rPr>
      <t>to compute the actual damages in the event of a deviation in pool dimensions; therefore, Buyer and Builder agree that liquidated damages for error by Builder shall be computed as follows</t>
    </r>
    <r>
      <rPr>
        <sz val="9"/>
        <color rgb="FF373737"/>
        <rFont val="Tahoma"/>
        <family val="2"/>
      </rPr>
      <t>:</t>
    </r>
  </si>
  <si>
    <r>
      <t xml:space="preserve">Buyer </t>
    </r>
    <r>
      <rPr>
        <sz val="9"/>
        <color rgb="FF222222"/>
        <rFont val="Tahoma"/>
        <family val="2"/>
      </rPr>
      <t xml:space="preserve">is </t>
    </r>
    <r>
      <rPr>
        <sz val="9"/>
        <color rgb="FF0C0C0C"/>
        <rFont val="Tahoma"/>
        <family val="2"/>
      </rPr>
      <t xml:space="preserve">required at their expense to do all construction and other acts necessary, and to meet all conditions necessary to allow seller to complete the work as provided In this contract. Buyer to furnish all soil reports if necessary. Buyer has directed the location of the pool and other improvements and equipment as shown on the attached pool drawing and where such location (or other location approved or directed by Buyer) is used there shall be no liability on the part of Builder for incorrect location of such pool, other improvements and equipment, or for encroachment or interference thereby upon the property, easements or rights of any third parties. Buyer shall furnish any necessary variance and associated permits or fees. Drainage beyond the pool site is to be provided by Buyer and is to meet city and/or county requirements. No grading will be done by Builder unless specified on the reverse side of this contract. Buyer agrees to make payment called for by this contract on time, even though repairs under this contract may have been scheduled but not yet performed. All payments received later than 3 days from the time due extend the completion date hereunder an additional 3 days for each </t>
    </r>
    <r>
      <rPr>
        <sz val="9"/>
        <color rgb="FF222222"/>
        <rFont val="Tahoma"/>
        <family val="2"/>
      </rPr>
      <t xml:space="preserve">late </t>
    </r>
    <r>
      <rPr>
        <sz val="9"/>
        <color rgb="FF0C0C0C"/>
        <rFont val="Tahoma"/>
        <family val="2"/>
      </rPr>
      <t xml:space="preserve">day. If completion of the swimming pool is delayed by causes under Buyer's control for a period of more than 30 days, Buyer agrees to pay the </t>
    </r>
    <r>
      <rPr>
        <sz val="9"/>
        <color rgb="FF222222"/>
        <rFont val="Tahoma"/>
        <family val="2"/>
      </rPr>
      <t xml:space="preserve">increased </t>
    </r>
    <r>
      <rPr>
        <sz val="9"/>
        <color rgb="FF0C0C0C"/>
        <rFont val="Tahoma"/>
        <family val="2"/>
      </rPr>
      <t xml:space="preserve">labor and material, and equipment cost resulting from Buyer's delay. Approval of work by an inspecting governmental agency </t>
    </r>
    <r>
      <rPr>
        <sz val="9"/>
        <color rgb="FF222222"/>
        <rFont val="Tahoma"/>
        <family val="2"/>
      </rPr>
      <t xml:space="preserve">is </t>
    </r>
    <r>
      <rPr>
        <sz val="9"/>
        <color rgb="FF0C0C0C"/>
        <rFont val="Tahoma"/>
        <family val="2"/>
      </rPr>
      <t>deemed to be completion of that work in a workmanlike manner. The pool is deemed complete (for purposes of establishing a date of completion of construction) when plastered (shotcrete pool) or decking installed (fiberglass pool)</t>
    </r>
    <r>
      <rPr>
        <sz val="9"/>
        <color rgb="FF373737"/>
        <rFont val="Tahoma"/>
        <family val="2"/>
      </rPr>
      <t>.</t>
    </r>
  </si>
  <si>
    <r>
      <t>Unless otherwise specifically provided in the plans and specifications of this contract</t>
    </r>
    <r>
      <rPr>
        <sz val="9"/>
        <color rgb="FF373737"/>
        <rFont val="Tahoma"/>
        <family val="2"/>
      </rPr>
      <t xml:space="preserve">, </t>
    </r>
    <r>
      <rPr>
        <sz val="9"/>
        <color rgb="FF0C0C0C"/>
        <rFont val="Tahoma"/>
        <family val="2"/>
      </rPr>
      <t>Builder has entered into this contract based upon the following assumptions of facts</t>
    </r>
    <r>
      <rPr>
        <sz val="9"/>
        <color rgb="FF373737"/>
        <rFont val="Tahoma"/>
        <family val="2"/>
      </rPr>
      <t>:</t>
    </r>
  </si>
  <si>
    <r>
      <t>A</t>
    </r>
    <r>
      <rPr>
        <sz val="9"/>
        <color rgb="FF373737"/>
        <rFont val="Tahoma"/>
        <family val="2"/>
      </rPr>
      <t xml:space="preserve">. </t>
    </r>
    <r>
      <rPr>
        <sz val="9"/>
        <color rgb="FF0C0C0C"/>
        <rFont val="Tahoma"/>
        <family val="2"/>
      </rPr>
      <t>That Buyer will provide adequate access to Buyer</t>
    </r>
    <r>
      <rPr>
        <sz val="9"/>
        <color rgb="FF373737"/>
        <rFont val="Tahoma"/>
        <family val="2"/>
      </rPr>
      <t>'</t>
    </r>
    <r>
      <rPr>
        <sz val="9"/>
        <color rgb="FF0C0C0C"/>
        <rFont val="Tahoma"/>
        <family val="2"/>
      </rPr>
      <t>s own property or through adjacent property for Builder's normal construction equipment to do the work</t>
    </r>
    <r>
      <rPr>
        <sz val="9"/>
        <color rgb="FF373737"/>
        <rFont val="Tahoma"/>
        <family val="2"/>
      </rPr>
      <t xml:space="preserve">, </t>
    </r>
    <r>
      <rPr>
        <sz val="9"/>
        <color rgb="FF0C0C0C"/>
        <rFont val="Tahoma"/>
        <family val="2"/>
      </rPr>
      <t>at no cost and with no liability to Builder.</t>
    </r>
  </si>
  <si>
    <r>
      <t>B. That soil at and around the agreed upon pool site is compacted to at least 90 percent and has a bearing capacity of at least 1</t>
    </r>
    <r>
      <rPr>
        <sz val="9"/>
        <color rgb="FF222222"/>
        <rFont val="Tahoma"/>
        <family val="2"/>
      </rPr>
      <t xml:space="preserve">,000 </t>
    </r>
    <r>
      <rPr>
        <sz val="9"/>
        <color rgb="FF0C0C0C"/>
        <rFont val="Tahoma"/>
        <family val="2"/>
      </rPr>
      <t>pounds per square foot.</t>
    </r>
  </si>
  <si>
    <r>
      <t>C. That soil at and around the agreed upon pool site is not of such an unstable nature, and that water conditions are not of such a nature</t>
    </r>
    <r>
      <rPr>
        <sz val="9"/>
        <color rgb="FF373737"/>
        <rFont val="Tahoma"/>
        <family val="2"/>
      </rPr>
      <t xml:space="preserve">, </t>
    </r>
    <r>
      <rPr>
        <sz val="9"/>
        <color rgb="FF0C0C0C"/>
        <rFont val="Tahoma"/>
        <family val="2"/>
      </rPr>
      <t>so as to preclude construction and operation of the pool in a normal manner and normal expense</t>
    </r>
    <r>
      <rPr>
        <sz val="9"/>
        <color rgb="FF464646"/>
        <rFont val="Tahoma"/>
        <family val="2"/>
      </rPr>
      <t>.</t>
    </r>
  </si>
  <si>
    <r>
      <t>E. That there are no rock formations, hard pan conditions, boulders, cesspools, septic tanks, gas lines, water pipes, sewer pipes, drain pipes, irrigation pipes, underground electrical conduit or other underground obstructions, which would require blasting</t>
    </r>
    <r>
      <rPr>
        <sz val="9"/>
        <color rgb="FF373737"/>
        <rFont val="Tahoma"/>
        <family val="2"/>
      </rPr>
      <t xml:space="preserve">, </t>
    </r>
    <r>
      <rPr>
        <sz val="9"/>
        <color rgb="FF0C0C0C"/>
        <rFont val="Tahoma"/>
        <family val="2"/>
      </rPr>
      <t>jack-hammer work, larger than normal excavation equipment or which would otherwise require work and give rise to costs in excess of what would normally be required. Normal excavation time is six (6) hours within pool site</t>
    </r>
    <r>
      <rPr>
        <sz val="9"/>
        <color rgb="FF373737"/>
        <rFont val="Tahoma"/>
        <family val="2"/>
      </rPr>
      <t xml:space="preserve">. </t>
    </r>
    <r>
      <rPr>
        <sz val="9"/>
        <color rgb="FF0C0C0C"/>
        <rFont val="Tahoma"/>
        <family val="2"/>
      </rPr>
      <t>If any of the foregoing assumptions of fact are not true, Builder may, at its option, terminate this contract with no further liability to either Buyer or Builder</t>
    </r>
    <r>
      <rPr>
        <sz val="9"/>
        <color rgb="FF373737"/>
        <rFont val="Tahoma"/>
        <family val="2"/>
      </rPr>
      <t xml:space="preserve">, </t>
    </r>
    <r>
      <rPr>
        <sz val="9"/>
        <color rgb="FF0C0C0C"/>
        <rFont val="Tahoma"/>
        <family val="2"/>
      </rPr>
      <t>except that Buyer agrees to pay to Builder the actual cost of all labor, materials</t>
    </r>
    <r>
      <rPr>
        <sz val="9"/>
        <color rgb="FF373737"/>
        <rFont val="Tahoma"/>
        <family val="2"/>
      </rPr>
      <t xml:space="preserve">, </t>
    </r>
    <r>
      <rPr>
        <sz val="9"/>
        <color rgb="FF0C0C0C"/>
        <rFont val="Tahoma"/>
        <family val="2"/>
      </rPr>
      <t>equipment, and permits already furnished and required to restore the premises. It is understood, however, that the parties may, by mutual agreement in writing, amend this contract to deal with such an event.</t>
    </r>
  </si>
  <si>
    <r>
      <t>The term pool site means the area comprising the water surface area and that portion of the ground surface extending to a distance of not more than four (4) feet (or to a distance required by local code for minimum decking) from the perimeter of the pool water surface</t>
    </r>
    <r>
      <rPr>
        <sz val="9"/>
        <color rgb="FF373737"/>
        <rFont val="Tahoma"/>
        <family val="2"/>
      </rPr>
      <t>.</t>
    </r>
  </si>
  <si>
    <r>
      <t xml:space="preserve">Unless specified on the face of the contract herein, none of the following </t>
    </r>
    <r>
      <rPr>
        <sz val="9"/>
        <color rgb="FF222222"/>
        <rFont val="Tahoma"/>
        <family val="2"/>
      </rPr>
      <t xml:space="preserve">are the </t>
    </r>
    <r>
      <rPr>
        <sz val="9"/>
        <color rgb="FF0C0C0C"/>
        <rFont val="Tahoma"/>
        <family val="2"/>
      </rPr>
      <t>Builder's responsibility and shall specifically be Buyer's responsibility: grading and drainage beyond pool site, decking, retaining walls and fencing.</t>
    </r>
  </si>
  <si>
    <r>
      <t>Unless specified otherwise on the face of the contract, or on the plans, plumbing, gas, waste and water lines are not to be changed, and labor, materials and equipment necessary to relocate, reroute or replace sanitation and water supply systems and utilities, including overhead and underground, are not included under the terms of the contract and shall be the responsibility of the Buyer</t>
    </r>
    <r>
      <rPr>
        <sz val="9"/>
        <color rgb="FF464646"/>
        <rFont val="Tahoma"/>
        <family val="2"/>
      </rPr>
      <t>.</t>
    </r>
  </si>
  <si>
    <r>
      <t>Unless specifically included, electrical work contemplates no change to existing service panel other than the addition of circuit breakers or fuse blocks to distribute electrical current to new outlets. Changes to existing wiring not included</t>
    </r>
    <r>
      <rPr>
        <sz val="9"/>
        <color rgb="FF373737"/>
        <rFont val="Tahoma"/>
        <family val="2"/>
      </rPr>
      <t xml:space="preserve">.               </t>
    </r>
    <r>
      <rPr>
        <sz val="9"/>
        <color rgb="FF0C0C0C"/>
        <rFont val="Tahoma"/>
        <family val="2"/>
      </rPr>
      <t>ALL PANEL CHANGES ARE BUYER'S RESPONSIBILITY.</t>
    </r>
  </si>
  <si>
    <r>
      <t>Builder may assign or sub-contract all or any portion of the work to be done</t>
    </r>
    <r>
      <rPr>
        <sz val="9"/>
        <color rgb="FF373737"/>
        <rFont val="Tahoma"/>
        <family val="2"/>
      </rPr>
      <t>.</t>
    </r>
  </si>
  <si>
    <r>
      <t>If, at any time, any controversy shall arise between the parties with respect to any matter arising out of, or relating to this contract, the formation or validity thereof, performance thereunder of the breach thereof, which the parties do not promptly adjust and determine, said controversy shall be decided by arbitration administered and in accordance with the Construction Arbitration Rules of the American Arbitration Association then obtaining unless waived. This agreement to arbitrate rendered by the arbitrators shall be final and judgment may be entered upon it in any court having jurisdiction thereof. The locale of any arbitration hearing will be determined as would the venue of any action pursuant to the laws of the state. This agreement to arbitrate shall not apply to the non-judicial exercise of the power of sale granted by Buyer to the trustee for the benefit of Builder</t>
    </r>
    <r>
      <rPr>
        <sz val="9"/>
        <color rgb="FF373737"/>
        <rFont val="Tahoma"/>
        <family val="2"/>
      </rPr>
      <t>.</t>
    </r>
  </si>
  <si>
    <r>
      <t>NOTICE: BY INITIALING IN THE SPACE BELOW YOU ARE AGREEING TO HAVE</t>
    </r>
    <r>
      <rPr>
        <sz val="9"/>
        <rFont val="Tahoma"/>
        <family val="2"/>
      </rPr>
      <t xml:space="preserve"> </t>
    </r>
    <r>
      <rPr>
        <b/>
        <sz val="9"/>
        <rFont val="Tahoma"/>
        <family val="2"/>
      </rPr>
      <t>ANY DISPUTE ARISING OUT OF THE MATTERS INCLUDED IN THE ARBITRATION</t>
    </r>
    <r>
      <rPr>
        <sz val="9"/>
        <rFont val="Tahoma"/>
        <family val="2"/>
      </rPr>
      <t xml:space="preserve"> </t>
    </r>
    <r>
      <rPr>
        <b/>
        <sz val="9"/>
        <rFont val="Tahoma"/>
        <family val="2"/>
      </rPr>
      <t>OF DISPUTES PROVISION DECIDED BY NEUTRAL ARBITRATION AS PROVIDED BY</t>
    </r>
    <r>
      <rPr>
        <sz val="9"/>
        <rFont val="Tahoma"/>
        <family val="2"/>
      </rPr>
      <t xml:space="preserve"> </t>
    </r>
    <r>
      <rPr>
        <b/>
        <sz val="9"/>
        <rFont val="Tahoma"/>
        <family val="2"/>
      </rPr>
      <t>CALIFORNIA LAW AND YOU ARE GIVING UP ANY RIGHTS YOU MIGHT POSSESS TO</t>
    </r>
    <r>
      <rPr>
        <sz val="9"/>
        <rFont val="Tahoma"/>
        <family val="2"/>
      </rPr>
      <t xml:space="preserve"> </t>
    </r>
    <r>
      <rPr>
        <b/>
        <sz val="9"/>
        <rFont val="Tahoma"/>
        <family val="2"/>
      </rPr>
      <t>HAVE THE DISPUTE LITIGATED IN A COURT OR JURY TRIAL. BY INITIALING IN</t>
    </r>
    <r>
      <rPr>
        <sz val="9"/>
        <rFont val="Tahoma"/>
        <family val="2"/>
      </rPr>
      <t xml:space="preserve"> </t>
    </r>
    <r>
      <rPr>
        <b/>
        <sz val="9"/>
        <rFont val="Tahoma"/>
        <family val="2"/>
      </rPr>
      <t>THE SPACE BELOW YOU ARE GIVING UP YOUR JUDICIAL RIGHTS TO DISCOVERY</t>
    </r>
    <r>
      <rPr>
        <sz val="9"/>
        <rFont val="Tahoma"/>
        <family val="2"/>
      </rPr>
      <t xml:space="preserve"> </t>
    </r>
    <r>
      <rPr>
        <b/>
        <sz val="9"/>
        <rFont val="Tahoma"/>
        <family val="2"/>
      </rPr>
      <t>AND APPEAL, UNLESS THOSE RIGHTS ARE SPECIFICALLY INCLUDED IN THE</t>
    </r>
    <r>
      <rPr>
        <sz val="9"/>
        <rFont val="Tahoma"/>
        <family val="2"/>
      </rPr>
      <t xml:space="preserve"> </t>
    </r>
    <r>
      <rPr>
        <b/>
        <sz val="9"/>
        <rFont val="Tahoma"/>
        <family val="2"/>
      </rPr>
      <t>ARBITRATION OF DISPUTES PROVISION. IF YOU REFUSE TO SUBMIT TO</t>
    </r>
    <r>
      <rPr>
        <sz val="9"/>
        <rFont val="Tahoma"/>
        <family val="2"/>
      </rPr>
      <t xml:space="preserve"> </t>
    </r>
    <r>
      <rPr>
        <b/>
        <sz val="9"/>
        <rFont val="Tahoma"/>
        <family val="2"/>
      </rPr>
      <t>ARBITRATION AFTER AGREEING TO THIS PROVISION, YOU MAY BE COMPELLED TO</t>
    </r>
    <r>
      <rPr>
        <sz val="9"/>
        <rFont val="Tahoma"/>
        <family val="2"/>
      </rPr>
      <t xml:space="preserve"> </t>
    </r>
    <r>
      <rPr>
        <b/>
        <sz val="9"/>
        <rFont val="Tahoma"/>
        <family val="2"/>
      </rPr>
      <t>ARBITRATE UNDER THE AUTHORITY OF THE BUSINESS AND PROFESSIONS CODE</t>
    </r>
    <r>
      <rPr>
        <sz val="9"/>
        <rFont val="Tahoma"/>
        <family val="2"/>
      </rPr>
      <t xml:space="preserve"> </t>
    </r>
    <r>
      <rPr>
        <b/>
        <sz val="9"/>
        <rFont val="Tahoma"/>
        <family val="2"/>
      </rPr>
      <t>OR OTHER APPLICABLE LAWS. YOUR AGREEMENT TO THIS ARBITRATION</t>
    </r>
    <r>
      <rPr>
        <sz val="9"/>
        <rFont val="Tahoma"/>
        <family val="2"/>
      </rPr>
      <t xml:space="preserve"> </t>
    </r>
    <r>
      <rPr>
        <b/>
        <sz val="9"/>
        <rFont val="Tahoma"/>
        <family val="2"/>
      </rPr>
      <t xml:space="preserve">PROVISION IS VOLUNTARY. </t>
    </r>
  </si>
  <si>
    <r>
      <t>WE HAVE READ AND UNDERSTAND THE FOREGOING</t>
    </r>
    <r>
      <rPr>
        <sz val="9"/>
        <rFont val="Tahoma"/>
        <family val="2"/>
      </rPr>
      <t xml:space="preserve"> </t>
    </r>
    <r>
      <rPr>
        <b/>
        <sz val="9"/>
        <rFont val="Tahoma"/>
        <family val="2"/>
      </rPr>
      <t>AND AGREE TO SUBMIT DISPUTES ARISING OUT OF THE MATTERS INCLUDED IN</t>
    </r>
    <r>
      <rPr>
        <sz val="9"/>
        <rFont val="Tahoma"/>
        <family val="2"/>
      </rPr>
      <t xml:space="preserve"> </t>
    </r>
    <r>
      <rPr>
        <b/>
        <sz val="9"/>
        <rFont val="Tahoma"/>
        <family val="2"/>
      </rPr>
      <t>THE ARBITRATION OF DISPUTES PROVISION TO NEUTRAL ARBITRATION.</t>
    </r>
    <r>
      <rPr>
        <sz val="9"/>
        <rFont val="Tahoma"/>
        <family val="2"/>
      </rPr>
      <t xml:space="preserve"> </t>
    </r>
  </si>
  <si>
    <t xml:space="preserve">Access to the backyard must be provided for the entire length of construction.  Work crews must be free to come and go and specific </t>
  </si>
  <si>
    <t>days or times for work to be done aretentative and subject to change without notice.  Animals cannot be loose in the backyard during working hours (7:00am - 6:00pm, Monday - Saturday).</t>
  </si>
  <si>
    <t xml:space="preserve">During construction, your backyard shall be considered a job-site and anyone entering the backyard does so at their own risk and </t>
  </si>
  <si>
    <t>assumes all liability for doing so. The only exception to this is any Premier Pools &amp; Spas respresentative which is covered under Premier Pools &amp; Spas corporate worker's compensation policy.</t>
  </si>
  <si>
    <t>Buyer is aware that they are responsible for watering their gunite shell 2-3 times a day for 7-10 days. (If tile is installed during this period,</t>
  </si>
  <si>
    <t xml:space="preserve"> please keep the tile dry for 24 hours)</t>
  </si>
  <si>
    <t>Requests for modifications to this contract or existing design must be confirmed in writing.  Any and all modifications will delay the</t>
  </si>
  <si>
    <t>construction process. Modifications (design, material, etc.) requested after the completion of excavation will incur a $250 plan revision cost in addition to the cost associated with the change.</t>
  </si>
  <si>
    <t xml:space="preserve">Buyer is aware that it is their responsibility to be home for their Pre-Interior inspection to allow the inspector to access their home.  </t>
  </si>
  <si>
    <t xml:space="preserve">Typically, the inspector will not provide a specific time for the inspection and as such, the Buyer may need to be home all day.  We realize this is an inconvenience, however, it is completely out of our control.  Your local permitting jurisdiction may also require smoke alarms, as well as, carbon monoxide detectors.  </t>
  </si>
  <si>
    <t xml:space="preserve">Buyer is aware they may incur additional expenses if special engineering is required.  These expenses will include the cost of the </t>
  </si>
  <si>
    <t>engineer site visit,  the engineering required, as well as, any additional construction specifications specified in the engineering.  Examples include: Sloped yards, Negative Edge Pools, Perimeter Overflow Pools, Hillside Pools, Pools built on Fill Dirt</t>
  </si>
  <si>
    <t xml:space="preserve">Premier Pools &amp; Spas is not responsible for final grading of the yard.  Elevation of the pool and surrounding decking is set on day of </t>
  </si>
  <si>
    <t>excavation to an elevation dictated by the design, existing concrete and existing grading in the yard. Grading beyond the pool area is often required and is the responsibility of the Buyer and is considered landscape grading.</t>
  </si>
  <si>
    <t xml:space="preserve">excavation.  There will also be an additionalcharge for any sand and/or gravel, if required, which must be installed to accommodate these conditions.  This will apply to any rock, water, hard soil presence which prevents Premier Pools &amp; Spas from completing the excavation in the time it would have taken had these conditions not existed. </t>
  </si>
  <si>
    <t xml:space="preserve">Buyer is responsible for any damage to existing underground utilities - this includes but is not limited to sprinkler lines, cable lines water </t>
  </si>
  <si>
    <t xml:space="preserve">lines, electrical lines and drainagelines for the yard.  Buyer is also liable for any damage to existing property fences and retaining walls due to soil movement from excavation. </t>
  </si>
  <si>
    <t xml:space="preserve">Buyer is responsible for any damage to any existing concrete, sidewalks, driveways and patios. In some cases, Premier Pools &amp; Spas </t>
  </si>
  <si>
    <t>can repair these items for an additional fee.</t>
  </si>
  <si>
    <t xml:space="preserve">Concrete decking cannot be guaranteed for evenness of color and may not be the exact shade requested. These items are not covered </t>
  </si>
  <si>
    <t>under warranty. Installation of landcaping around the pool area is important to miimize soil errosion - please be sure to do this installation immediately upon completion of the pool.</t>
  </si>
  <si>
    <t xml:space="preserve">As the ground moves and shifts, it will inevitably crack your concrete decking.  We will make every effort to ensure the sub-base is </t>
  </si>
  <si>
    <t>properly prepared and compacted, however, this will only help minimize cracking and not eliminate the cracks altogether.  Cracks are not considered a defect and thus not covered under warranty.</t>
  </si>
  <si>
    <t xml:space="preserve">Rigid concrete placed on an expanding and contracting surface (earth) will indeed flex, resulting in the development of cracks. Although </t>
  </si>
  <si>
    <t xml:space="preserve">we make every effort to prepare the subbase to mitigate cracking, as well as cut expansion joints in the deck surface to try and encourage the cracking to happen in those joints, we ultimately cannot eliminate the possibility of cracks developing. For this reason, hairline cracks are not considered a defect and are not covered under warranty. </t>
  </si>
  <si>
    <t>Customer Name:</t>
  </si>
  <si>
    <t>-</t>
  </si>
  <si>
    <t>FIBERGLASS</t>
  </si>
  <si>
    <t>SHOTCRETE</t>
  </si>
  <si>
    <t>Buyer's Name:</t>
  </si>
  <si>
    <t>Email I:</t>
  </si>
  <si>
    <t>Phone I:</t>
  </si>
  <si>
    <t>Job Site Address:</t>
  </si>
  <si>
    <t>Phone II:</t>
  </si>
  <si>
    <t>City:</t>
  </si>
  <si>
    <t>Zip:</t>
  </si>
  <si>
    <t>Email II:</t>
  </si>
  <si>
    <t>DBA - PREMIER POOLS &amp; SPAS</t>
  </si>
  <si>
    <t xml:space="preserve">Premier Pool &amp; Spas ("Builder"), a licensed swimming pool contractor hereby agrees to sell and install to </t>
  </si>
  <si>
    <t>("Buyer") the</t>
  </si>
  <si>
    <t xml:space="preserve">swimming pool and related equipment to be installed at the </t>
  </si>
  <si>
    <t xml:space="preserve">for the cash price of </t>
  </si>
  <si>
    <t>, and</t>
  </si>
  <si>
    <t>Buyer agrees to purchase the work for said cash price.  Said cash price includes a non-refundable deposit of</t>
  </si>
  <si>
    <t>. The</t>
  </si>
  <si>
    <t xml:space="preserve">upaid cash price balance shall be paid in </t>
  </si>
  <si>
    <t>Construction to substanstially commence on or about:</t>
  </si>
  <si>
    <t>Construction to be substanstially complete on or about:</t>
  </si>
  <si>
    <t>Barring time delays caused by acts of God, rain damage, strikes, government prohibitions, non-issuance of any permits affecting the swimming pool area, financial approval or other reasons beyond the Builder's control.  The start of of work. (Notice: Failure by the Builder without lawful excuse to substantially commence excavation shall constitute substantial commencement work within 20 days from the approximate date specified above when work will begin, is a violation of the Contractors' State License Law.)</t>
  </si>
  <si>
    <t>POOL SPECIFICATIONS</t>
  </si>
  <si>
    <t>Non-Refundable Deposit:</t>
  </si>
  <si>
    <t>30% - Completion of  Shell Install</t>
  </si>
  <si>
    <t>PAYMENT SCHEDULE</t>
  </si>
  <si>
    <t>installments. See Payment Schedule below.</t>
  </si>
  <si>
    <t>'     Surface Area:</t>
  </si>
  <si>
    <t>'   X</t>
  </si>
  <si>
    <t>Extra work and change orders become part of the contract once the order is prepared in writing and signed by the parties prior to the commencement of any work covered by the new change order.  This is typically done through the creation of an addendum or amendment. This addendum or amendment must describe the  scope of the extra  work or change, the cost to be added or subtracted from this original contract, and the effect the change will have on the schedule of progress payments.  Failure of the Builder to comply with the requirements of this paragraph does not preclude the recovery of compensation for the work performed based upon legal or equitable remedies designed to prevent unjust enrichment. All changes will incur a $250 plan revision cost in addition to the cost of the requested change order.</t>
  </si>
  <si>
    <t>HOA APPROVAL REQUIRED?</t>
  </si>
  <si>
    <t>FINANCING REQUIRED?</t>
  </si>
  <si>
    <t>days of excavation.</t>
  </si>
  <si>
    <t>11. Clean-up and removal of construction debris</t>
  </si>
  <si>
    <t>12. 100% Non-Deductible Worker's Compensation</t>
  </si>
  <si>
    <t xml:space="preserve">13. Commercial general liability insurance </t>
  </si>
  <si>
    <t>14. Steel reinforcing as per Plan.</t>
  </si>
  <si>
    <t>PLUMBING &amp; EQUIPMENT</t>
  </si>
  <si>
    <t>15. Skimmer</t>
  </si>
  <si>
    <t>16. Surface Returns</t>
  </si>
  <si>
    <t>17. Auto-Fill with Anti-Siphon Valve</t>
  </si>
  <si>
    <t>18. All pool plumbing/piping and valves per plan</t>
  </si>
  <si>
    <t>19. Equipment pad for pool equipment</t>
  </si>
  <si>
    <t>20. Circulation Pump</t>
  </si>
  <si>
    <t>PLUMBING &amp; EQUIPMENT (continued)</t>
  </si>
  <si>
    <t>22. Auxiliary Pump I</t>
  </si>
  <si>
    <t>23. Auxiliary Pump II</t>
  </si>
  <si>
    <t>26. Sanitation III</t>
  </si>
  <si>
    <t>27. Cleaner</t>
  </si>
  <si>
    <t>28. Heater</t>
  </si>
  <si>
    <t>POOL SHELL / TILE / COPING &amp; DECKING</t>
  </si>
  <si>
    <t>Builder will ensure the pool deck will be installed with "fall" to ensure proper drainage. Getting water out of the yard is Buyer's responsibility.</t>
  </si>
  <si>
    <t>ELECTRICAL / CONTROLS</t>
  </si>
  <si>
    <t xml:space="preserve">      or underground lines - if required</t>
  </si>
  <si>
    <t xml:space="preserve">NO </t>
  </si>
  <si>
    <t>INTERIOR FINISH / START-UP / SERVICE</t>
  </si>
  <si>
    <t>Standard Pebble</t>
  </si>
  <si>
    <t>Stone</t>
  </si>
  <si>
    <t>Date:</t>
  </si>
  <si>
    <t>This is a contract and constitutes the entire contract and the parties are not bound by any oral expression or representation by any agent of either pert purporting to act for or on behalf of either party or by commitment or arrangement not specified in the contract.</t>
  </si>
  <si>
    <t>340 SQFT Cartridge</t>
  </si>
  <si>
    <t>' of 18"</t>
  </si>
  <si>
    <t>' of 42"</t>
  </si>
  <si>
    <t>3' Sheer Descent</t>
  </si>
  <si>
    <t>This location is independently owned and operated.</t>
  </si>
  <si>
    <r>
      <t xml:space="preserve">Builder </t>
    </r>
    <r>
      <rPr>
        <sz val="9"/>
        <rFont val="Arial"/>
        <family val="2"/>
      </rPr>
      <t>(Print)</t>
    </r>
    <r>
      <rPr>
        <sz val="10"/>
        <rFont val="Arial"/>
        <family val="2"/>
      </rPr>
      <t>:</t>
    </r>
  </si>
  <si>
    <r>
      <t xml:space="preserve">Buyer </t>
    </r>
    <r>
      <rPr>
        <sz val="9"/>
        <rFont val="Arial"/>
        <family val="2"/>
      </rPr>
      <t>(Print)</t>
    </r>
    <r>
      <rPr>
        <sz val="10"/>
        <rFont val="Arial"/>
        <family val="2"/>
      </rPr>
      <t>:</t>
    </r>
  </si>
  <si>
    <r>
      <t xml:space="preserve">Builder </t>
    </r>
    <r>
      <rPr>
        <sz val="9"/>
        <rFont val="Arial"/>
        <family val="2"/>
      </rPr>
      <t>(Signature)</t>
    </r>
    <r>
      <rPr>
        <sz val="10"/>
        <rFont val="Arial"/>
        <family val="2"/>
      </rPr>
      <t>:</t>
    </r>
  </si>
  <si>
    <r>
      <t xml:space="preserve">Buyer </t>
    </r>
    <r>
      <rPr>
        <sz val="9"/>
        <rFont val="Arial"/>
        <family val="2"/>
      </rPr>
      <t>(Signature)</t>
    </r>
    <r>
      <rPr>
        <sz val="10"/>
        <rFont val="Arial"/>
        <family val="2"/>
      </rPr>
      <t>:</t>
    </r>
  </si>
  <si>
    <t>Premier Pools &amp; Spas pricing assumes payments made by personal check, cashier's check, or e-payment.</t>
  </si>
  <si>
    <t>Please read and initial each of the items below indicating that you have read and understand them.  Doing so will minimize any ambiguity regarding the process and ensure proper expectations have been established.  Please note that each item on this list has been included as it is a very common item for there to be miscommunication about.</t>
  </si>
  <si>
    <t>1.85HP Variable Speed</t>
  </si>
  <si>
    <t>2.7HP Variable Speed</t>
  </si>
  <si>
    <t>PUMPS</t>
  </si>
  <si>
    <t>FILTERS</t>
  </si>
  <si>
    <t>250 SQFT Cartridge</t>
  </si>
  <si>
    <t>460 SQFT Cartridge</t>
  </si>
  <si>
    <t>580 SQFT Cartridge</t>
  </si>
  <si>
    <t>SANITATION</t>
  </si>
  <si>
    <t>CLEANERS</t>
  </si>
  <si>
    <t>Pressure Cleaner</t>
  </si>
  <si>
    <t>In-Floor System</t>
  </si>
  <si>
    <t>HEATERS</t>
  </si>
  <si>
    <t>Propane</t>
  </si>
  <si>
    <t>Natural Gas</t>
  </si>
  <si>
    <t>400k BTU JXI - STD</t>
  </si>
  <si>
    <t>400k BTU JXI - VersaFlo</t>
  </si>
  <si>
    <t>130k Heat/Chill Pump</t>
  </si>
  <si>
    <t>DAYS</t>
  </si>
  <si>
    <t>SKIMMER</t>
  </si>
  <si>
    <t>RETURNS</t>
  </si>
  <si>
    <t>WATERLINE</t>
  </si>
  <si>
    <t>Included</t>
  </si>
  <si>
    <t>ACCENT</t>
  </si>
  <si>
    <t>Marker Tiles</t>
  </si>
  <si>
    <t>RBB FACING</t>
  </si>
  <si>
    <t>Panel Ledge</t>
  </si>
  <si>
    <t>COPING</t>
  </si>
  <si>
    <t>Cantilever Concrete</t>
  </si>
  <si>
    <t>Concrete Paver</t>
  </si>
  <si>
    <t>Concrete - Broom Finish</t>
  </si>
  <si>
    <t>Concrete - Stamped</t>
  </si>
  <si>
    <t>LIGHTS</t>
  </si>
  <si>
    <t>12 Watt - Nicheless</t>
  </si>
  <si>
    <t>24 Watt - Nicheless</t>
  </si>
  <si>
    <t>CONTROLS</t>
  </si>
  <si>
    <t>IQ Pump</t>
  </si>
  <si>
    <t>iAqualink - P4</t>
  </si>
  <si>
    <t>iAqualink - P8</t>
  </si>
  <si>
    <t>iAqaulink - PS4</t>
  </si>
  <si>
    <t>iAqualink - PS6</t>
  </si>
  <si>
    <t>iAqualink - PS8</t>
  </si>
  <si>
    <t>SHEERS</t>
  </si>
  <si>
    <t>1' Sheer Descent</t>
  </si>
  <si>
    <t>2' Sheer Descent</t>
  </si>
  <si>
    <t>4' Sheer Descent</t>
  </si>
  <si>
    <t>5' Sheer Descent</t>
  </si>
  <si>
    <t>BOWLS</t>
  </si>
  <si>
    <t>Metal</t>
  </si>
  <si>
    <t>DECK JETS</t>
  </si>
  <si>
    <t>Standard</t>
  </si>
  <si>
    <t>LAMINARS</t>
  </si>
  <si>
    <t>LED</t>
  </si>
  <si>
    <t>SCUPPERS</t>
  </si>
  <si>
    <t>ROCK WATERFALL</t>
  </si>
  <si>
    <t>30 SQFT - Level 1</t>
  </si>
  <si>
    <t>30 SQFT - Level 2</t>
  </si>
  <si>
    <t>30 SQFT - Level 3</t>
  </si>
  <si>
    <t>40 SQFT - Level 1</t>
  </si>
  <si>
    <t>40 SQFT - Level 2</t>
  </si>
  <si>
    <t>40 SQFT - Level 3</t>
  </si>
  <si>
    <t>50 SQFT - Level 1</t>
  </si>
  <si>
    <t>50 SQFT - Level 2</t>
  </si>
  <si>
    <t>50 SQFT - Level 3</t>
  </si>
  <si>
    <t>BEAM / NOTCHED</t>
  </si>
  <si>
    <t>Level 1</t>
  </si>
  <si>
    <t>Level 2</t>
  </si>
  <si>
    <t>Level 3</t>
  </si>
  <si>
    <t>INTERIOR</t>
  </si>
  <si>
    <t>DAMWALL</t>
  </si>
  <si>
    <t>YES / NO</t>
  </si>
  <si>
    <t>RAISED SPA</t>
  </si>
  <si>
    <t>81.</t>
  </si>
  <si>
    <t>TYPE</t>
  </si>
  <si>
    <t>BY</t>
  </si>
  <si>
    <t>29. Gas line</t>
  </si>
  <si>
    <t>30. Line Type</t>
  </si>
  <si>
    <t>LINE TYPE</t>
  </si>
  <si>
    <t>14. Clean gravel backfill for pool shell</t>
  </si>
  <si>
    <t>31. Fiberglass Shell installed per Manufacturer Specs</t>
  </si>
  <si>
    <t>31. Pneumatically applied shotcrete shell - Per Code</t>
  </si>
  <si>
    <t>32. Waterline Tile</t>
  </si>
  <si>
    <t>33. Accent Tile on steps and benches</t>
  </si>
  <si>
    <t>34. Raised Beam</t>
  </si>
  <si>
    <t>35. Raised Beam Facing I</t>
  </si>
  <si>
    <t>36. Raised Beam Facing II</t>
  </si>
  <si>
    <t>37. Coping</t>
  </si>
  <si>
    <t>38. Decking</t>
  </si>
  <si>
    <t>44. Pool Light(s) I</t>
  </si>
  <si>
    <t>45. Pool Light(s) II</t>
  </si>
  <si>
    <t>46. Controls</t>
  </si>
  <si>
    <t>47. Valve Actuator for Water Features</t>
  </si>
  <si>
    <t>48. Sheer Descent I:</t>
  </si>
  <si>
    <t>49. Sheer Descent II:</t>
  </si>
  <si>
    <t>50. Bowls:</t>
  </si>
  <si>
    <t>51. Deck Jets</t>
  </si>
  <si>
    <t>52. Laminar Jets</t>
  </si>
  <si>
    <t>53. Scuppers or Sconces</t>
  </si>
  <si>
    <t>54. Rock Waterfall I</t>
  </si>
  <si>
    <t>55. Rock Waterfall II</t>
  </si>
  <si>
    <t>56. Beam Rock</t>
  </si>
  <si>
    <t>57. Notched Rock</t>
  </si>
  <si>
    <t>58. Interior Finish</t>
  </si>
  <si>
    <t>59. Initial filling of pool and/or spa</t>
  </si>
  <si>
    <t>60. Brushing of the pool interior</t>
  </si>
  <si>
    <t xml:space="preserve">61. Start-up </t>
  </si>
  <si>
    <t>62. 30 Days of Chemical Only Pool Service</t>
  </si>
  <si>
    <t>71. Raised Spa</t>
  </si>
  <si>
    <t>72. Raised Spa Facing</t>
  </si>
  <si>
    <t>82.</t>
  </si>
  <si>
    <t>QTY</t>
  </si>
  <si>
    <t>NON-PEBBLE FINISHES</t>
  </si>
  <si>
    <t>Shading and color variation is a natural occurrence in all non-pebble interior finishes.</t>
  </si>
  <si>
    <t>The original color will fade over time due to sun and chemical exposure.</t>
  </si>
  <si>
    <t>PEBBLE FINISHES</t>
  </si>
  <si>
    <t xml:space="preserve">Proper water chemistry levels (Chlorine, pH, Alkalinity, etc.) are imperative to ensure a long-lasting, durable and attractive interior finish. </t>
  </si>
  <si>
    <t>Failure to maintain these levels willvoid any warranty on your interior finish.  Premier Pools &amp; Spas recommends having your pool water professionally tested at least once a month to protect your finish and your warranty.  Please keep a record of these professional tests as documentation of the testing.</t>
  </si>
  <si>
    <t>Interior finish cannot be guaranteed for evenness of color and may not be the exact shade requested.</t>
  </si>
  <si>
    <t xml:space="preserve">Non-Pebble interior finishes have a tendency to be streaked, blotchy and have a mottled appearance.  These are not workmanship </t>
  </si>
  <si>
    <t>items and thus not covered under warranty.</t>
  </si>
  <si>
    <t>Crazing (cracks in the surface) are unavoidable with non-pebble interior finishes and will be more pronounced with darker colors.  Again,</t>
  </si>
  <si>
    <t>these are not workmanship items and thus are not covered under warranty.</t>
  </si>
  <si>
    <t xml:space="preserve">Pebble interior finishes are natural products and as such will have a certain amount of unevenness or variation in the exposure of the </t>
  </si>
  <si>
    <t>(where the pool wall and pool floor meet).</t>
  </si>
  <si>
    <t xml:space="preserve">pebbles. This is part of the beauty of these finishes and is most common on the edges of the steps and benches, as well as, the coves </t>
  </si>
  <si>
    <t xml:space="preserve">During the first year, your pool will continuously lose pebbles.  This is to be expected and is not cause for concern; nor will it diminish </t>
  </si>
  <si>
    <t>the durability of the interior finish.</t>
  </si>
  <si>
    <t>Gelcoat interior cannot be guaranteed for evenness of color and may not be the exact shade requested.</t>
  </si>
  <si>
    <t>Your fiberglass pool will NOT be level. Indutstry Standard allows up to 1" of elevation change. Our team will do everything we can to</t>
  </si>
  <si>
    <t>ensure the pool is installed as level as possible.  However, a level install is not realistic and will not impact the performance of the shell.</t>
  </si>
  <si>
    <t>Fiberglass shell(s) is to remain full of water at all times.  NEVER DRAIN YOUR FIBERGLASS POOL OR SPA.</t>
  </si>
  <si>
    <t>Hairline (spider) cracks in the gelcoat are expected.  They are cosmetic, not structural, and thus not covered under warranty.</t>
  </si>
  <si>
    <t xml:space="preserve">Proper yard drainage is particularly important around fiberglass pool shells.  Please ensure that the yard drains effectively around the  </t>
  </si>
  <si>
    <t>pool shell.  Minimizing the amount of ground water around the pool is vital to the long-term structural integrity of the shell, as well as,</t>
  </si>
  <si>
    <t>the installation itself.</t>
  </si>
  <si>
    <t>Page 6 of 6</t>
  </si>
  <si>
    <t>Page 5 of 6</t>
  </si>
  <si>
    <t>Page 4 of 6</t>
  </si>
  <si>
    <t>Page 3 of 6</t>
  </si>
  <si>
    <t>Page 2 of 6</t>
  </si>
  <si>
    <t>Page 1 of 6</t>
  </si>
  <si>
    <t>30% - Completion of Coping &amp; Decking</t>
  </si>
  <si>
    <t>30% - Completion of Permit Approval</t>
  </si>
  <si>
    <t>Natural stone is a product of nature; variations in color, pattern, texture and veining are unavoidable and add to their beauty.</t>
  </si>
  <si>
    <t xml:space="preserve">It is common for portions of the decking to "puddle" with water after heavy rainfall.  </t>
  </si>
  <si>
    <t xml:space="preserve">Every fiberglass pool is slightly different when it is pulled off the "mold".  Dimensions are pulled from the backside of the beam. As a </t>
  </si>
  <si>
    <t>result, the inside (finished) dimension of the pool will be shorter than the dimensions specified on page 1 of this agreement.</t>
  </si>
  <si>
    <t>This same tolerance applies to staight walls of the pool.</t>
  </si>
  <si>
    <t>As a result of water chemistry and sun exposure, your gelcoat interior finish will fade over time. The gel coat under the water will fade</t>
  </si>
  <si>
    <t>at a different rate than gelcoat that is out of the water.</t>
  </si>
  <si>
    <t>Safety is one of our top priorities. If the pool shell is to be craned into the property, please ensure no one is inside the home at the time</t>
  </si>
  <si>
    <t xml:space="preserve"> of the installation.</t>
  </si>
  <si>
    <t>The durability of a pebble finish comes from the surface material being primarily aggregate. Although these stones give the pool an</t>
  </si>
  <si>
    <t>extremely durable finish, they also give the surface a potentially "textured" or "rough" feel.</t>
  </si>
  <si>
    <t>801 Clanton Rd. Suite C104</t>
  </si>
  <si>
    <t>Charlote, NC 28216</t>
  </si>
  <si>
    <t>(704) 349-3894</t>
  </si>
  <si>
    <t>PLATINUM Pools and Spas Corp</t>
  </si>
  <si>
    <t xml:space="preserve">30% - Prior to Shotcete </t>
  </si>
  <si>
    <t>30% - Prior to Decking</t>
  </si>
  <si>
    <t xml:space="preserve">10% - Prior to Interior Finish </t>
  </si>
  <si>
    <t>30% - Prior to Excavation</t>
  </si>
  <si>
    <t>10% - Prior to Start Up</t>
  </si>
  <si>
    <t>SF</t>
  </si>
  <si>
    <t>Approx SF</t>
  </si>
  <si>
    <t>40. Downspout Drainage</t>
  </si>
  <si>
    <t>TCX Controller</t>
  </si>
  <si>
    <t xml:space="preserve">Buyer understands that if their digs hits rock, water, or hard soil there will be an additional charge of TBD per day to complete the </t>
  </si>
  <si>
    <t>Anyone who helps improve your property, but who is not paid, may record what is called a mechanics' lien on your property.  A mechanics' lien is a claim, like a mortgage or home equity loan, made against your property and recorded with the county recorder. Even if you pay your contractor in full, unpaid subcontractors, suppliers and laborers who helped improve your property may record mechanics' liens and sue you in a court to foreclose the lien. If a court finds the lien is valid, you could be forced to pay twice or have a court officer sell your home to pay the lien. Liens can also affect your credit. To preserve their right to record a lien, each subcontractor and material supplier must provide you with a  document called a "Preliminary Lien Notice". This notice is not a lien. The purpose of the notice is to let you know that the person that sent the notice has the right to record a lien on your property if they are not paid. The Preliminary Notice can be sent up to 15 days after the subcontractor starts work or the supplier provides material. Buyer can protect themselves from liens by getting a list from the Builder of all the subcontractors and material suppliers that work on their project. Find out from the Builder when these subcontractors started work and when these suppliers delivered goods or materials. Then wait 20 days, paying attention to the Preliminary Notices you receive.</t>
  </si>
  <si>
    <t>Infinite Water Colors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</si>
</sst>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0.0"/>
    <numFmt numFmtId="165" formatCode="&quot;$&quot;#,##0.00"/>
  </numFmts>
  <fonts count="24">
    <font>
      <sz val="10"/>
      <name val="Arial"/>
      <family val="2"/>
    </font>
    <font>
      <sz val="11"/>
      <color theme="1"/>
      <name val="Calibri"/>
      <family val="2"/>
      <scheme val="minor"/>
    </font>
    <font>
      <sz val="10"/>
      <name val="Arial"/>
      <family val="2"/>
    </font>
    <font>
      <b/>
      <sz val="12"/>
      <name val="Arial"/>
      <family val="2"/>
    </font>
    <font>
      <b/>
      <sz val="10"/>
      <name val="Arial"/>
      <family val="2"/>
    </font>
    <font>
      <sz val="9"/>
      <name val="Arial"/>
      <family val="2"/>
    </font>
    <font>
      <b/>
      <sz val="11"/>
      <name val="Arial"/>
      <family val="2"/>
    </font>
    <font>
      <sz val="8"/>
      <name val="Arial"/>
      <family val="2"/>
    </font>
    <font>
      <sz val="12"/>
      <color theme="1"/>
      <name val="Calibri"/>
      <family val="2"/>
      <scheme val="minor"/>
    </font>
    <font>
      <sz val="10"/>
      <color theme="1"/>
      <name val="Arial"/>
      <family val="2"/>
    </font>
    <font>
      <sz val="8"/>
      <color rgb="FF0C0C0C"/>
      <name val="Tahoma"/>
      <family val="2"/>
    </font>
    <font>
      <u/>
      <sz val="10"/>
      <color indexed="12"/>
      <name val="Arial"/>
      <family val="2"/>
    </font>
    <font>
      <b/>
      <sz val="9"/>
      <color rgb="FF0C0C0C"/>
      <name val="Tahoma"/>
      <family val="2"/>
    </font>
    <font>
      <sz val="9"/>
      <color rgb="FF0C0C0C"/>
      <name val="Tahoma"/>
      <family val="2"/>
    </font>
    <font>
      <sz val="9"/>
      <color rgb="FF222222"/>
      <name val="Tahoma"/>
      <family val="2"/>
    </font>
    <font>
      <sz val="9"/>
      <color rgb="FF373737"/>
      <name val="Tahoma"/>
      <family val="2"/>
    </font>
    <font>
      <sz val="9"/>
      <color rgb="FF464646"/>
      <name val="Tahoma"/>
      <family val="2"/>
    </font>
    <font>
      <b/>
      <sz val="9"/>
      <name val="Tahoma"/>
      <family val="2"/>
    </font>
    <font>
      <sz val="9"/>
      <name val="Tahoma"/>
      <family val="2"/>
    </font>
    <font>
      <b/>
      <sz val="18"/>
      <color theme="3" tint="-0.249977111117893"/>
      <name val="Arial"/>
      <family val="2"/>
    </font>
    <font>
      <sz val="10"/>
      <name val="Swis721 BT"/>
      <family val="2"/>
    </font>
    <font>
      <b/>
      <sz val="9"/>
      <color indexed="9"/>
      <name val="Swis721 BT"/>
      <family val="2"/>
    </font>
    <font>
      <b/>
      <sz val="10"/>
      <color theme="3"/>
      <name val="Swis721 BT"/>
      <family val="2"/>
    </font>
    <font>
      <sz val="10"/>
      <color rgb="FF2E3238"/>
      <name val="Arial"/>
      <family val="2"/>
    </font>
  </fonts>
  <fills count="10">
    <fill>
      <patternFill patternType="none"/>
    </fill>
    <fill>
      <patternFill patternType="gray125"/>
    </fill>
    <fill>
      <patternFill patternType="solid">
        <fgColor theme="0" tint="-0.14999847407452621"/>
        <bgColor indexed="64"/>
      </patternFill>
    </fill>
    <fill>
      <patternFill patternType="solid">
        <fgColor theme="4" tint="0.59999389629810485"/>
        <bgColor indexed="64"/>
      </patternFill>
    </fill>
    <fill>
      <patternFill patternType="solid">
        <fgColor rgb="FFFFFFC1"/>
        <bgColor indexed="64"/>
      </patternFill>
    </fill>
    <fill>
      <patternFill patternType="solid">
        <fgColor theme="2" tint="-0.249977111117893"/>
        <bgColor indexed="64"/>
      </patternFill>
    </fill>
    <fill>
      <patternFill patternType="solid">
        <fgColor theme="4" tint="0.79998168889431442"/>
        <bgColor indexed="64"/>
      </patternFill>
    </fill>
    <fill>
      <patternFill patternType="solid">
        <fgColor indexed="44"/>
        <bgColor indexed="64"/>
      </patternFill>
    </fill>
    <fill>
      <patternFill patternType="solid">
        <fgColor indexed="18"/>
        <bgColor indexed="64"/>
      </patternFill>
    </fill>
    <fill>
      <patternFill patternType="solid">
        <fgColor rgb="FFC00000"/>
        <bgColor indexed="64"/>
      </patternFill>
    </fill>
  </fills>
  <borders count="28">
    <border>
      <left/>
      <right/>
      <top/>
      <bottom/>
      <diagonal/>
    </border>
    <border>
      <left/>
      <right/>
      <top style="thin">
        <color indexed="64"/>
      </top>
      <bottom/>
      <diagonal/>
    </border>
    <border>
      <left/>
      <right/>
      <top/>
      <bottom style="thin">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top style="thin">
        <color indexed="64"/>
      </top>
      <bottom style="thin">
        <color indexed="64"/>
      </bottom>
      <diagonal/>
    </border>
    <border>
      <left style="medium">
        <color indexed="64"/>
      </left>
      <right/>
      <top/>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right style="thin">
        <color indexed="64"/>
      </right>
      <top/>
      <bottom/>
      <diagonal/>
    </border>
    <border>
      <left/>
      <right style="medium">
        <color indexed="64"/>
      </right>
      <top style="medium">
        <color indexed="64"/>
      </top>
      <bottom/>
      <diagonal/>
    </border>
    <border>
      <left/>
      <right style="medium">
        <color indexed="64"/>
      </right>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7">
    <xf numFmtId="0" fontId="0" fillId="0" borderId="0"/>
    <xf numFmtId="0" fontId="11" fillId="0" borderId="0" applyNumberFormat="0" applyFill="0" applyBorder="0" applyAlignment="0" applyProtection="0">
      <alignment vertical="top"/>
      <protection locked="0"/>
    </xf>
    <xf numFmtId="43" fontId="2" fillId="0" borderId="0" applyFont="0" applyFill="0" applyBorder="0" applyAlignment="0" applyProtection="0"/>
    <xf numFmtId="9" fontId="2" fillId="0" borderId="0" applyFont="0" applyFill="0" applyBorder="0" applyAlignment="0" applyProtection="0"/>
    <xf numFmtId="0" fontId="20" fillId="9" borderId="0" applyNumberFormat="0" applyFont="0" applyAlignment="0" applyProtection="0"/>
    <xf numFmtId="0" fontId="21" fillId="8" borderId="0">
      <alignment horizontal="right"/>
    </xf>
    <xf numFmtId="0" fontId="20" fillId="7" borderId="0">
      <alignment horizontal="right"/>
    </xf>
    <xf numFmtId="0" fontId="2" fillId="0" borderId="0"/>
    <xf numFmtId="0" fontId="1" fillId="0" borderId="0"/>
    <xf numFmtId="9" fontId="1"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44" fontId="1" fillId="0" borderId="0" applyFont="0" applyFill="0" applyBorder="0" applyAlignment="0" applyProtection="0"/>
    <xf numFmtId="0" fontId="22" fillId="0" borderId="13">
      <alignment horizontal="left"/>
    </xf>
    <xf numFmtId="0" fontId="8" fillId="0" borderId="0"/>
  </cellStyleXfs>
  <cellXfs count="167">
    <xf numFmtId="0" fontId="0" fillId="0" borderId="0" xfId="0"/>
    <xf numFmtId="0" fontId="3" fillId="0" borderId="0" xfId="0" applyFont="1"/>
    <xf numFmtId="0" fontId="2" fillId="0" borderId="0" xfId="0" applyFont="1" applyAlignment="1">
      <alignment horizontal="center"/>
    </xf>
    <xf numFmtId="0" fontId="0" fillId="0" borderId="3" xfId="0" applyBorder="1"/>
    <xf numFmtId="0" fontId="0" fillId="0" borderId="4" xfId="0" applyBorder="1"/>
    <xf numFmtId="0" fontId="0" fillId="0" borderId="5" xfId="0" applyBorder="1"/>
    <xf numFmtId="0" fontId="0" fillId="0" borderId="0" xfId="0" applyAlignment="1">
      <alignment horizontal="center"/>
    </xf>
    <xf numFmtId="0" fontId="2" fillId="0" borderId="0" xfId="0" applyFont="1"/>
    <xf numFmtId="0" fontId="4" fillId="0" borderId="0" xfId="0" applyFont="1" applyAlignment="1">
      <alignment horizontal="center"/>
    </xf>
    <xf numFmtId="0" fontId="0" fillId="0" borderId="0" xfId="0" applyAlignment="1">
      <alignment horizontal="left"/>
    </xf>
    <xf numFmtId="0" fontId="2" fillId="0" borderId="0" xfId="0" applyFont="1" applyAlignment="1">
      <alignment horizontal="left"/>
    </xf>
    <xf numFmtId="0" fontId="4" fillId="0" borderId="2" xfId="0" applyFont="1" applyBorder="1" applyAlignment="1">
      <alignment horizontal="center"/>
    </xf>
    <xf numFmtId="0" fontId="10" fillId="0" borderId="0" xfId="0" applyFont="1" applyAlignment="1">
      <alignment horizontal="justify" vertical="center" wrapText="1"/>
    </xf>
    <xf numFmtId="0" fontId="13" fillId="0" borderId="0" xfId="0" applyFont="1" applyAlignment="1">
      <alignment horizontal="center" vertical="center" wrapText="1"/>
    </xf>
    <xf numFmtId="0" fontId="0" fillId="0" borderId="0" xfId="0" applyAlignment="1">
      <alignment horizontal="center" vertical="center" wrapText="1"/>
    </xf>
    <xf numFmtId="0" fontId="9" fillId="0" borderId="0" xfId="0" applyFont="1" applyAlignment="1">
      <alignment horizontal="left" vertical="top" wrapText="1"/>
    </xf>
    <xf numFmtId="0" fontId="0" fillId="0" borderId="0" xfId="0" quotePrefix="1"/>
    <xf numFmtId="0" fontId="0" fillId="0" borderId="0" xfId="0" applyAlignment="1">
      <alignment vertical="center"/>
    </xf>
    <xf numFmtId="0" fontId="0" fillId="0" borderId="0" xfId="0" quotePrefix="1" applyAlignment="1">
      <alignment vertical="center"/>
    </xf>
    <xf numFmtId="0" fontId="0" fillId="0" borderId="7" xfId="0" applyBorder="1"/>
    <xf numFmtId="0" fontId="0" fillId="0" borderId="22" xfId="0" applyBorder="1"/>
    <xf numFmtId="165" fontId="0" fillId="0" borderId="0" xfId="0" applyNumberFormat="1"/>
    <xf numFmtId="165" fontId="0" fillId="0" borderId="0" xfId="0" applyNumberFormat="1" applyAlignment="1">
      <alignment horizontal="center"/>
    </xf>
    <xf numFmtId="0" fontId="0" fillId="0" borderId="0" xfId="0" quotePrefix="1" applyAlignment="1">
      <alignment horizontal="left"/>
    </xf>
    <xf numFmtId="0" fontId="2" fillId="0" borderId="0" xfId="0" applyFont="1" applyAlignment="1">
      <alignment horizontal="center" vertical="center" wrapText="1"/>
    </xf>
    <xf numFmtId="165" fontId="0" fillId="0" borderId="0" xfId="0" applyNumberFormat="1" applyAlignment="1">
      <alignment horizontal="left"/>
    </xf>
    <xf numFmtId="165" fontId="0" fillId="0" borderId="22" xfId="0" applyNumberFormat="1" applyBorder="1" applyAlignment="1">
      <alignment horizontal="left"/>
    </xf>
    <xf numFmtId="0" fontId="0" fillId="0" borderId="0" xfId="0" applyAlignment="1">
      <alignment horizontal="center" vertical="center"/>
    </xf>
    <xf numFmtId="0" fontId="0" fillId="0" borderId="0" xfId="0" applyAlignment="1">
      <alignment horizontal="right" vertical="center"/>
    </xf>
    <xf numFmtId="0" fontId="7" fillId="0" borderId="0" xfId="0" quotePrefix="1" applyFont="1" applyAlignment="1">
      <alignment horizontal="left" vertical="center"/>
    </xf>
    <xf numFmtId="0" fontId="0" fillId="0" borderId="2" xfId="0" applyBorder="1" applyAlignment="1">
      <alignment horizontal="center" vertical="center"/>
    </xf>
    <xf numFmtId="0" fontId="0" fillId="0" borderId="0" xfId="0" applyAlignment="1">
      <alignment horizontal="right"/>
    </xf>
    <xf numFmtId="0" fontId="0" fillId="0" borderId="0" xfId="0" applyAlignment="1">
      <alignment horizontal="right" vertical="center" wrapText="1"/>
    </xf>
    <xf numFmtId="0" fontId="0" fillId="0" borderId="0" xfId="0" applyAlignment="1">
      <alignment vertical="center" wrapText="1"/>
    </xf>
    <xf numFmtId="165" fontId="0" fillId="4" borderId="18" xfId="0" applyNumberFormat="1" applyFill="1" applyBorder="1" applyAlignment="1">
      <alignment horizontal="center"/>
    </xf>
    <xf numFmtId="0" fontId="5" fillId="0" borderId="0" xfId="0" applyFont="1" applyAlignment="1">
      <alignment horizontal="center" vertical="center" wrapText="1"/>
    </xf>
    <xf numFmtId="0" fontId="4" fillId="0" borderId="0" xfId="0" applyFont="1" applyAlignment="1">
      <alignment horizontal="center" vertical="center" wrapText="1"/>
    </xf>
    <xf numFmtId="0" fontId="0" fillId="0" borderId="15" xfId="0" applyBorder="1" applyAlignment="1">
      <alignment vertical="center"/>
    </xf>
    <xf numFmtId="0" fontId="0" fillId="0" borderId="1" xfId="0" applyBorder="1" applyAlignment="1">
      <alignment vertical="center"/>
    </xf>
    <xf numFmtId="0" fontId="0" fillId="0" borderId="23" xfId="0" applyBorder="1" applyAlignment="1">
      <alignment vertical="center"/>
    </xf>
    <xf numFmtId="0" fontId="0" fillId="0" borderId="14" xfId="0" applyBorder="1" applyAlignment="1">
      <alignment vertical="center"/>
    </xf>
    <xf numFmtId="0" fontId="0" fillId="0" borderId="20" xfId="0" applyBorder="1" applyAlignment="1">
      <alignment vertical="center"/>
    </xf>
    <xf numFmtId="0" fontId="0" fillId="0" borderId="24" xfId="0" applyBorder="1" applyAlignment="1">
      <alignment vertical="center"/>
    </xf>
    <xf numFmtId="0" fontId="0" fillId="0" borderId="2" xfId="0" applyBorder="1" applyAlignment="1">
      <alignment vertical="center"/>
    </xf>
    <xf numFmtId="0" fontId="0" fillId="0" borderId="25" xfId="0" applyBorder="1" applyAlignment="1">
      <alignment vertical="center"/>
    </xf>
    <xf numFmtId="0" fontId="4" fillId="0" borderId="13" xfId="0" applyFont="1" applyBorder="1"/>
    <xf numFmtId="0" fontId="0" fillId="0" borderId="12" xfId="0" applyBorder="1"/>
    <xf numFmtId="0" fontId="4" fillId="0" borderId="15" xfId="0" applyFont="1" applyBorder="1"/>
    <xf numFmtId="0" fontId="0" fillId="0" borderId="1" xfId="0" applyBorder="1"/>
    <xf numFmtId="0" fontId="0" fillId="0" borderId="23" xfId="0" applyBorder="1"/>
    <xf numFmtId="0" fontId="0" fillId="6" borderId="2" xfId="0" applyFill="1" applyBorder="1" applyAlignment="1">
      <alignment horizontal="center"/>
    </xf>
    <xf numFmtId="164" fontId="4" fillId="6" borderId="18" xfId="0" applyNumberFormat="1" applyFont="1" applyFill="1" applyBorder="1" applyAlignment="1">
      <alignment horizontal="center" vertical="center"/>
    </xf>
    <xf numFmtId="0" fontId="4" fillId="0" borderId="16" xfId="0" applyFont="1" applyBorder="1"/>
    <xf numFmtId="0" fontId="0" fillId="0" borderId="17" xfId="0" applyBorder="1" applyAlignment="1">
      <alignment horizontal="left"/>
    </xf>
    <xf numFmtId="0" fontId="0" fillId="0" borderId="26" xfId="0" applyBorder="1" applyAlignment="1">
      <alignment horizontal="left"/>
    </xf>
    <xf numFmtId="0" fontId="0" fillId="0" borderId="27" xfId="0" applyBorder="1"/>
    <xf numFmtId="164" fontId="0" fillId="0" borderId="17" xfId="0" applyNumberFormat="1" applyBorder="1" applyAlignment="1">
      <alignment horizontal="left"/>
    </xf>
    <xf numFmtId="164" fontId="0" fillId="0" borderId="26" xfId="0" applyNumberFormat="1" applyBorder="1" applyAlignment="1">
      <alignment horizontal="left"/>
    </xf>
    <xf numFmtId="164" fontId="0" fillId="0" borderId="27" xfId="0" applyNumberFormat="1" applyBorder="1"/>
    <xf numFmtId="0" fontId="4" fillId="0" borderId="12" xfId="0" applyFont="1" applyBorder="1"/>
    <xf numFmtId="0" fontId="0" fillId="0" borderId="15" xfId="0" applyBorder="1"/>
    <xf numFmtId="0" fontId="0" fillId="0" borderId="14" xfId="0" applyBorder="1"/>
    <xf numFmtId="0" fontId="0" fillId="0" borderId="20" xfId="0" applyBorder="1"/>
    <xf numFmtId="0" fontId="0" fillId="0" borderId="24" xfId="0" applyBorder="1"/>
    <xf numFmtId="0" fontId="0" fillId="0" borderId="25" xfId="0" applyBorder="1"/>
    <xf numFmtId="0" fontId="0" fillId="0" borderId="2" xfId="0" applyBorder="1"/>
    <xf numFmtId="0" fontId="0" fillId="0" borderId="17" xfId="0" applyBorder="1"/>
    <xf numFmtId="0" fontId="0" fillId="0" borderId="26" xfId="0" applyBorder="1"/>
    <xf numFmtId="0" fontId="4" fillId="0" borderId="16" xfId="0" applyFont="1" applyBorder="1" applyAlignment="1">
      <alignment horizontal="center"/>
    </xf>
    <xf numFmtId="0" fontId="0" fillId="6" borderId="2" xfId="0" quotePrefix="1" applyFill="1" applyBorder="1" applyAlignment="1">
      <alignment horizontal="center"/>
    </xf>
    <xf numFmtId="0" fontId="4" fillId="0" borderId="17" xfId="0" applyFont="1" applyBorder="1" applyAlignment="1">
      <alignment horizontal="center"/>
    </xf>
    <xf numFmtId="0" fontId="6" fillId="0" borderId="0" xfId="0" applyFont="1"/>
    <xf numFmtId="164" fontId="0" fillId="6" borderId="2" xfId="0" applyNumberFormat="1" applyFill="1" applyBorder="1" applyAlignment="1">
      <alignment horizontal="center"/>
    </xf>
    <xf numFmtId="164" fontId="0" fillId="6" borderId="2" xfId="0" quotePrefix="1" applyNumberFormat="1" applyFill="1" applyBorder="1" applyAlignment="1">
      <alignment horizontal="center"/>
    </xf>
    <xf numFmtId="0" fontId="0" fillId="4" borderId="13" xfId="0" applyFill="1" applyBorder="1" applyAlignment="1">
      <alignment horizontal="center" vertical="center" wrapText="1"/>
    </xf>
    <xf numFmtId="0" fontId="0" fillId="4" borderId="12" xfId="0" applyFill="1" applyBorder="1" applyAlignment="1">
      <alignment horizontal="center" vertical="center" wrapText="1"/>
    </xf>
    <xf numFmtId="0" fontId="0" fillId="6" borderId="1" xfId="0" applyFill="1" applyBorder="1" applyAlignment="1">
      <alignment horizontal="center"/>
    </xf>
    <xf numFmtId="0" fontId="4" fillId="5" borderId="0" xfId="0" applyFont="1" applyFill="1" applyAlignment="1">
      <alignment horizontal="center"/>
    </xf>
    <xf numFmtId="0" fontId="0" fillId="6" borderId="16" xfId="0" applyFill="1" applyBorder="1" applyAlignment="1">
      <alignment horizontal="center" vertical="center"/>
    </xf>
    <xf numFmtId="0" fontId="0" fillId="6" borderId="16" xfId="0" applyFill="1" applyBorder="1" applyAlignment="1">
      <alignment horizontal="center"/>
    </xf>
    <xf numFmtId="0" fontId="0" fillId="6" borderId="13" xfId="0" applyFill="1" applyBorder="1" applyAlignment="1">
      <alignment horizontal="center"/>
    </xf>
    <xf numFmtId="0" fontId="0" fillId="6" borderId="6" xfId="0" applyFill="1" applyBorder="1" applyAlignment="1">
      <alignment horizontal="center"/>
    </xf>
    <xf numFmtId="0" fontId="0" fillId="6" borderId="12" xfId="0" applyFill="1" applyBorder="1" applyAlignment="1">
      <alignment horizontal="center"/>
    </xf>
    <xf numFmtId="0" fontId="0" fillId="6" borderId="2" xfId="0" applyFill="1" applyBorder="1" applyAlignment="1">
      <alignment horizontal="center"/>
    </xf>
    <xf numFmtId="0" fontId="0" fillId="0" borderId="2" xfId="0" applyBorder="1" applyAlignment="1">
      <alignment horizontal="center"/>
    </xf>
    <xf numFmtId="0" fontId="0" fillId="0" borderId="0" xfId="0" applyAlignment="1">
      <alignment horizontal="center"/>
    </xf>
    <xf numFmtId="0" fontId="3" fillId="0" borderId="0" xfId="0" applyFont="1" applyAlignment="1">
      <alignment horizontal="center"/>
    </xf>
    <xf numFmtId="0" fontId="0" fillId="0" borderId="11" xfId="0" applyBorder="1" applyAlignment="1">
      <alignment horizontal="right" vertical="center"/>
    </xf>
    <xf numFmtId="0" fontId="0" fillId="0" borderId="10" xfId="0" applyBorder="1" applyAlignment="1">
      <alignment horizontal="right" vertical="center"/>
    </xf>
    <xf numFmtId="0" fontId="0" fillId="2" borderId="9" xfId="0" applyFill="1" applyBorder="1" applyAlignment="1">
      <alignment horizontal="center" vertical="center"/>
    </xf>
    <xf numFmtId="0" fontId="0" fillId="6" borderId="0" xfId="0" applyFill="1" applyAlignment="1">
      <alignment horizontal="center" vertical="center"/>
    </xf>
    <xf numFmtId="0" fontId="0" fillId="0" borderId="7" xfId="0" applyBorder="1" applyAlignment="1">
      <alignment horizontal="right" vertical="center"/>
    </xf>
    <xf numFmtId="0" fontId="0" fillId="0" borderId="0" xfId="0" applyAlignment="1">
      <alignment horizontal="right" vertical="center"/>
    </xf>
    <xf numFmtId="0" fontId="0" fillId="2" borderId="2" xfId="0" applyFill="1" applyBorder="1" applyAlignment="1">
      <alignment horizontal="center" vertical="center"/>
    </xf>
    <xf numFmtId="0" fontId="0" fillId="2" borderId="19" xfId="0" applyFill="1" applyBorder="1" applyAlignment="1">
      <alignment horizontal="center" vertical="center"/>
    </xf>
    <xf numFmtId="0" fontId="4" fillId="2" borderId="0" xfId="0" applyFont="1" applyFill="1" applyAlignment="1">
      <alignment horizontal="center"/>
    </xf>
    <xf numFmtId="0" fontId="13" fillId="0" borderId="0" xfId="0" applyFont="1" applyAlignment="1">
      <alignment horizontal="center" vertical="center" wrapText="1"/>
    </xf>
    <xf numFmtId="0" fontId="0" fillId="4" borderId="13" xfId="0" applyFill="1" applyBorder="1" applyAlignment="1">
      <alignment horizontal="center"/>
    </xf>
    <xf numFmtId="0" fontId="0" fillId="4" borderId="6" xfId="0" applyFill="1" applyBorder="1" applyAlignment="1">
      <alignment horizontal="center"/>
    </xf>
    <xf numFmtId="0" fontId="0" fillId="4" borderId="12" xfId="0" applyFill="1" applyBorder="1" applyAlignment="1">
      <alignment horizontal="center"/>
    </xf>
    <xf numFmtId="0" fontId="0" fillId="0" borderId="14" xfId="0" applyBorder="1" applyAlignment="1">
      <alignment horizontal="right" vertical="center"/>
    </xf>
    <xf numFmtId="0" fontId="0" fillId="0" borderId="20" xfId="0" applyBorder="1" applyAlignment="1">
      <alignment horizontal="right" vertical="center"/>
    </xf>
    <xf numFmtId="0" fontId="4" fillId="0" borderId="0" xfId="0" applyFont="1" applyAlignment="1">
      <alignment horizontal="center" vertical="center" wrapText="1"/>
    </xf>
    <xf numFmtId="0" fontId="0" fillId="0" borderId="0" xfId="0" applyAlignment="1">
      <alignment horizontal="center" vertical="center" wrapText="1"/>
    </xf>
    <xf numFmtId="0" fontId="12" fillId="0" borderId="0" xfId="0" applyFont="1" applyAlignment="1">
      <alignment horizontal="center" vertical="center" wrapText="1"/>
    </xf>
    <xf numFmtId="0" fontId="0" fillId="0" borderId="13" xfId="0" applyBorder="1" applyAlignment="1">
      <alignment horizontal="center"/>
    </xf>
    <xf numFmtId="0" fontId="0" fillId="0" borderId="6" xfId="0" applyBorder="1" applyAlignment="1">
      <alignment horizontal="center"/>
    </xf>
    <xf numFmtId="0" fontId="0" fillId="0" borderId="12" xfId="0" applyBorder="1" applyAlignment="1">
      <alignment horizontal="center"/>
    </xf>
    <xf numFmtId="0" fontId="0" fillId="0" borderId="13" xfId="0" applyBorder="1" applyAlignment="1">
      <alignment horizontal="center" vertical="center"/>
    </xf>
    <xf numFmtId="0" fontId="2" fillId="0" borderId="6" xfId="0" applyFont="1" applyBorder="1" applyAlignment="1">
      <alignment horizontal="center" vertical="center"/>
    </xf>
    <xf numFmtId="0" fontId="2" fillId="0" borderId="12" xfId="0" applyFont="1" applyBorder="1" applyAlignment="1">
      <alignment horizontal="center" vertical="center"/>
    </xf>
    <xf numFmtId="0" fontId="0" fillId="6" borderId="17" xfId="0" applyFill="1" applyBorder="1" applyAlignment="1">
      <alignment horizontal="center"/>
    </xf>
    <xf numFmtId="0" fontId="0" fillId="6" borderId="13" xfId="0" applyFill="1" applyBorder="1" applyAlignment="1">
      <alignment horizontal="center" vertical="center"/>
    </xf>
    <xf numFmtId="0" fontId="0" fillId="6" borderId="6" xfId="0" applyFill="1" applyBorder="1" applyAlignment="1">
      <alignment horizontal="center" vertical="center"/>
    </xf>
    <xf numFmtId="0" fontId="0" fillId="6" borderId="12" xfId="0" applyFill="1" applyBorder="1" applyAlignment="1">
      <alignment horizontal="center" vertical="center"/>
    </xf>
    <xf numFmtId="0" fontId="0" fillId="6" borderId="1" xfId="0" applyFill="1" applyBorder="1" applyAlignment="1">
      <alignment horizontal="center" vertical="center"/>
    </xf>
    <xf numFmtId="0" fontId="0" fillId="0" borderId="0" xfId="0" applyAlignment="1">
      <alignment horizontal="center" vertical="center"/>
    </xf>
    <xf numFmtId="0" fontId="4" fillId="4" borderId="13" xfId="0" applyFont="1" applyFill="1" applyBorder="1" applyAlignment="1">
      <alignment horizontal="center"/>
    </xf>
    <xf numFmtId="0" fontId="4" fillId="4" borderId="12" xfId="0" applyFont="1" applyFill="1" applyBorder="1" applyAlignment="1">
      <alignment horizontal="center"/>
    </xf>
    <xf numFmtId="0" fontId="0" fillId="0" borderId="0" xfId="0" applyAlignment="1">
      <alignment horizontal="left" vertical="top" wrapText="1"/>
    </xf>
    <xf numFmtId="0" fontId="9" fillId="0" borderId="0" xfId="0" applyFont="1" applyAlignment="1">
      <alignment horizontal="left" vertical="top" wrapText="1"/>
    </xf>
    <xf numFmtId="165" fontId="0" fillId="0" borderId="0" xfId="0" applyNumberFormat="1" applyAlignment="1">
      <alignment horizontal="center"/>
    </xf>
    <xf numFmtId="0" fontId="17" fillId="0" borderId="0" xfId="0" applyFont="1" applyAlignment="1">
      <alignment horizontal="center" vertical="center" wrapText="1"/>
    </xf>
    <xf numFmtId="0" fontId="0" fillId="0" borderId="0" xfId="0" applyAlignment="1">
      <alignment horizontal="left"/>
    </xf>
    <xf numFmtId="0" fontId="2" fillId="0" borderId="0" xfId="0" applyFont="1" applyAlignment="1">
      <alignment horizontal="left"/>
    </xf>
    <xf numFmtId="0" fontId="0" fillId="0" borderId="14" xfId="0" applyBorder="1" applyAlignment="1">
      <alignment horizontal="left"/>
    </xf>
    <xf numFmtId="0" fontId="4" fillId="0" borderId="2" xfId="0" applyFont="1" applyBorder="1" applyAlignment="1">
      <alignment horizontal="center"/>
    </xf>
    <xf numFmtId="0" fontId="2" fillId="0" borderId="0" xfId="0" applyFont="1" applyAlignment="1">
      <alignment horizontal="left" vertical="top" wrapText="1"/>
    </xf>
    <xf numFmtId="0" fontId="2" fillId="0" borderId="14" xfId="0" applyFont="1" applyBorder="1" applyAlignment="1">
      <alignment horizontal="left"/>
    </xf>
    <xf numFmtId="0" fontId="4" fillId="0" borderId="0" xfId="0" applyFont="1" applyAlignment="1">
      <alignment horizontal="center"/>
    </xf>
    <xf numFmtId="0" fontId="4" fillId="0" borderId="0" xfId="0" applyFont="1" applyAlignment="1">
      <alignment horizontal="center" vertical="center"/>
    </xf>
    <xf numFmtId="0" fontId="0" fillId="6" borderId="9" xfId="0" applyFill="1" applyBorder="1" applyAlignment="1">
      <alignment horizontal="center" vertical="center"/>
    </xf>
    <xf numFmtId="0" fontId="0" fillId="6" borderId="9" xfId="1" applyFont="1" applyFill="1" applyBorder="1" applyAlignment="1" applyProtection="1">
      <alignment horizontal="center" vertical="center"/>
    </xf>
    <xf numFmtId="0" fontId="2" fillId="6" borderId="9" xfId="1" applyFont="1" applyFill="1" applyBorder="1" applyAlignment="1" applyProtection="1">
      <alignment horizontal="center" vertical="center"/>
    </xf>
    <xf numFmtId="0" fontId="2" fillId="6" borderId="8" xfId="1" applyFont="1" applyFill="1" applyBorder="1" applyAlignment="1" applyProtection="1">
      <alignment horizontal="center" vertical="center"/>
    </xf>
    <xf numFmtId="0" fontId="11" fillId="6" borderId="2" xfId="1" quotePrefix="1" applyFill="1" applyBorder="1" applyAlignment="1" applyProtection="1">
      <alignment horizontal="center" vertical="center"/>
    </xf>
    <xf numFmtId="0" fontId="0" fillId="6" borderId="2" xfId="0" applyFill="1" applyBorder="1" applyAlignment="1">
      <alignment horizontal="center" vertical="center"/>
    </xf>
    <xf numFmtId="0" fontId="0" fillId="6" borderId="19" xfId="0" applyFill="1" applyBorder="1" applyAlignment="1">
      <alignment horizontal="center" vertical="center"/>
    </xf>
    <xf numFmtId="0" fontId="0" fillId="6" borderId="2" xfId="1" applyFont="1" applyFill="1" applyBorder="1" applyAlignment="1" applyProtection="1">
      <alignment horizontal="center" vertical="center"/>
    </xf>
    <xf numFmtId="0" fontId="2" fillId="6" borderId="2" xfId="1" applyFont="1" applyFill="1" applyBorder="1" applyAlignment="1" applyProtection="1">
      <alignment horizontal="center" vertical="center"/>
    </xf>
    <xf numFmtId="0" fontId="2" fillId="6" borderId="19" xfId="1" applyFont="1" applyFill="1" applyBorder="1" applyAlignment="1" applyProtection="1">
      <alignment horizontal="center" vertical="center"/>
    </xf>
    <xf numFmtId="0" fontId="4" fillId="6" borderId="2" xfId="0" applyFont="1" applyFill="1" applyBorder="1" applyAlignment="1">
      <alignment horizontal="center"/>
    </xf>
    <xf numFmtId="165" fontId="4" fillId="6" borderId="2" xfId="0" applyNumberFormat="1" applyFont="1" applyFill="1" applyBorder="1" applyAlignment="1">
      <alignment horizontal="center"/>
    </xf>
    <xf numFmtId="165" fontId="4" fillId="0" borderId="6" xfId="0" applyNumberFormat="1" applyFont="1" applyBorder="1" applyAlignment="1">
      <alignment horizontal="center"/>
    </xf>
    <xf numFmtId="14" fontId="4" fillId="6" borderId="2" xfId="0" applyNumberFormat="1" applyFont="1" applyFill="1" applyBorder="1" applyAlignment="1">
      <alignment horizontal="center"/>
    </xf>
    <xf numFmtId="0" fontId="2" fillId="0" borderId="0" xfId="0" applyFont="1" applyAlignment="1">
      <alignment horizontal="center" vertical="center" wrapText="1"/>
    </xf>
    <xf numFmtId="0" fontId="4" fillId="0" borderId="15" xfId="0" applyFont="1" applyBorder="1" applyAlignment="1">
      <alignment horizontal="center"/>
    </xf>
    <xf numFmtId="0" fontId="4" fillId="0" borderId="1" xfId="0" applyFont="1" applyBorder="1" applyAlignment="1">
      <alignment horizontal="center"/>
    </xf>
    <xf numFmtId="0" fontId="4" fillId="0" borderId="23" xfId="0" applyFont="1" applyBorder="1" applyAlignment="1">
      <alignment horizontal="center"/>
    </xf>
    <xf numFmtId="0" fontId="4" fillId="0" borderId="13" xfId="0" applyFont="1" applyBorder="1" applyAlignment="1">
      <alignment horizontal="center"/>
    </xf>
    <xf numFmtId="0" fontId="4" fillId="0" borderId="6" xfId="0" applyFont="1" applyBorder="1" applyAlignment="1">
      <alignment horizontal="center"/>
    </xf>
    <xf numFmtId="0" fontId="4" fillId="0" borderId="12" xfId="0" applyFont="1" applyBorder="1" applyAlignment="1">
      <alignment horizontal="center"/>
    </xf>
    <xf numFmtId="0" fontId="2" fillId="2" borderId="9" xfId="1" applyFont="1" applyFill="1" applyBorder="1" applyAlignment="1" applyProtection="1">
      <alignment horizontal="center" vertical="center"/>
    </xf>
    <xf numFmtId="0" fontId="2" fillId="2" borderId="8" xfId="1" applyFont="1" applyFill="1" applyBorder="1" applyAlignment="1" applyProtection="1">
      <alignment horizontal="center" vertical="center"/>
    </xf>
    <xf numFmtId="0" fontId="19" fillId="3" borderId="7" xfId="0" applyFont="1" applyFill="1" applyBorder="1" applyAlignment="1">
      <alignment horizontal="center"/>
    </xf>
    <xf numFmtId="0" fontId="19" fillId="3" borderId="0" xfId="0" applyFont="1" applyFill="1" applyAlignment="1">
      <alignment horizontal="center"/>
    </xf>
    <xf numFmtId="0" fontId="4" fillId="0" borderId="13" xfId="0" applyFont="1" applyBorder="1" applyAlignment="1">
      <alignment horizontal="center" vertical="center"/>
    </xf>
    <xf numFmtId="0" fontId="4" fillId="0" borderId="12" xfId="0" applyFont="1" applyBorder="1" applyAlignment="1">
      <alignment horizontal="center" vertical="center"/>
    </xf>
    <xf numFmtId="0" fontId="0" fillId="0" borderId="0" xfId="0" quotePrefix="1" applyAlignment="1">
      <alignment horizontal="left" vertical="center"/>
    </xf>
    <xf numFmtId="0" fontId="0" fillId="0" borderId="11" xfId="0" applyBorder="1" applyAlignment="1">
      <alignment horizontal="center"/>
    </xf>
    <xf numFmtId="0" fontId="0" fillId="0" borderId="10" xfId="0" applyBorder="1" applyAlignment="1">
      <alignment horizontal="center"/>
    </xf>
    <xf numFmtId="0" fontId="0" fillId="0" borderId="21" xfId="0" applyBorder="1" applyAlignment="1">
      <alignment horizontal="center"/>
    </xf>
    <xf numFmtId="0" fontId="0" fillId="0" borderId="5" xfId="0" applyBorder="1" applyAlignment="1">
      <alignment horizontal="center"/>
    </xf>
    <xf numFmtId="0" fontId="0" fillId="0" borderId="4" xfId="0" applyBorder="1" applyAlignment="1">
      <alignment horizontal="center"/>
    </xf>
    <xf numFmtId="0" fontId="0" fillId="0" borderId="3" xfId="0" applyBorder="1" applyAlignment="1">
      <alignment horizontal="center"/>
    </xf>
    <xf numFmtId="0" fontId="23" fillId="0" borderId="14" xfId="0" applyFont="1" applyBorder="1" applyAlignment="1">
      <alignment horizontal="left"/>
    </xf>
    <xf numFmtId="0" fontId="23" fillId="0" borderId="0" xfId="0" applyFont="1" applyAlignment="1">
      <alignment horizontal="left"/>
    </xf>
  </cellXfs>
  <cellStyles count="17">
    <cellStyle name="Comma 2" xfId="11" xr:uid="{DA5B9FFC-C34A-4569-A725-8AB2BCC19470}"/>
    <cellStyle name="Comma 3" xfId="2" xr:uid="{4DAA52F1-2D9D-4EDA-B9D4-BBFC874B536A}"/>
    <cellStyle name="Currency 2" xfId="12" xr:uid="{9958EE30-7153-4F82-9C36-D088F65730C4}"/>
    <cellStyle name="Currency 3" xfId="14" xr:uid="{C567FC73-E14C-4DF4-B9A4-80A48019DC8C}"/>
    <cellStyle name="Eliminate" xfId="4" xr:uid="{E4580FE6-EF2B-4DAD-8E73-A333E52F3547}"/>
    <cellStyle name="Hyperlink" xfId="1" builtinId="8"/>
    <cellStyle name="INCLUDED" xfId="5" xr:uid="{F1EA2460-D6FB-4574-95E8-AFCC5133C5F5}"/>
    <cellStyle name="Normal" xfId="0" builtinId="0"/>
    <cellStyle name="Normal 2" xfId="7" xr:uid="{90B0BB83-0AC6-4263-BBFC-3C135BC9C424}"/>
    <cellStyle name="Normal 3" xfId="10" xr:uid="{F7B42FBD-91A9-424A-827F-7455E801EEA3}"/>
    <cellStyle name="Normal 4" xfId="8" xr:uid="{28CBA861-E827-454D-AF2D-1D0D9488A72F}"/>
    <cellStyle name="Normal 5" xfId="16" xr:uid="{368E1B0F-D9F5-4BBC-9F09-B740820B6C44}"/>
    <cellStyle name="Percent 2" xfId="13" xr:uid="{9FA9FC4C-1E07-4487-AF33-669566EE9CA3}"/>
    <cellStyle name="Percent 3" xfId="9" xr:uid="{7F80D3FC-336B-4D85-8487-1493C87DD14B}"/>
    <cellStyle name="Percent 4" xfId="3" xr:uid="{835C427C-4789-41D6-BC6B-7D5DDF9FC397}"/>
    <cellStyle name="STANDARD ENTRY" xfId="6" xr:uid="{2BBF1FE0-8D3C-472F-AB85-BCD465E1EF8D}"/>
    <cellStyle name="SubTotal" xfId="15" xr:uid="{B6F96FAA-9A89-4E81-A9EC-AFC58C0D13CD}"/>
  </cellStyles>
  <dxfs count="0"/>
  <tableStyles count="0" defaultTableStyle="TableStyleMedium2" defaultPivotStyle="PivotStyleLight16"/>
  <colors>
    <mruColors>
      <color rgb="FFFFFF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98135</xdr:colOff>
      <xdr:row>1</xdr:row>
      <xdr:rowOff>75044</xdr:rowOff>
    </xdr:from>
    <xdr:ext cx="1854993" cy="1050638"/>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135" y="242453"/>
          <a:ext cx="1854993" cy="1050638"/>
        </a:xfrm>
        <a:prstGeom prst="rect">
          <a:avLst/>
        </a:prstGeom>
      </xdr:spPr>
    </xdr:pic>
    <xdr:clientData/>
  </xdr:oneCellAnchor>
  <xdr:oneCellAnchor>
    <xdr:from>
      <xdr:col>0</xdr:col>
      <xdr:colOff>77354</xdr:colOff>
      <xdr:row>67</xdr:row>
      <xdr:rowOff>25398</xdr:rowOff>
    </xdr:from>
    <xdr:ext cx="1854993" cy="105063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354" y="12465625"/>
          <a:ext cx="1854993" cy="1050638"/>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523e3624f79f662c/Desktop/_PDrive/Forms/2024%20Agreement.xlsm" TargetMode="External"/><Relationship Id="rId1" Type="http://schemas.openxmlformats.org/officeDocument/2006/relationships/externalLinkPath" Target="https://d.docs.live.net/523e3624f79f662c/Desktop/_PDrive/Forms/2024%20Agreemen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ACA BILLING"/>
      <sheetName val="NEW POOL"/>
      <sheetName val="ROCKLIN H.O.S."/>
      <sheetName val="ROSEVILLE H.O.S."/>
      <sheetName val="LINCOLN H.O.S."/>
      <sheetName val="YOLO CNTY H.O.S."/>
      <sheetName val="YUBA CNTY H.O.S."/>
      <sheetName val="NP PIECE"/>
      <sheetName val="CV"/>
      <sheetName val="NP COST"/>
      <sheetName val="CONTRACT"/>
      <sheetName val="NP INFO"/>
      <sheetName val="POOL SPECS"/>
      <sheetName val="NP CUSTOM"/>
      <sheetName val="AMENDMENT"/>
      <sheetName val="CANCEL"/>
      <sheetName val="NEIGHBOR ACCESS FORM"/>
      <sheetName val="FOLSOM H.O.S."/>
      <sheetName val="NEVADA CNTY H.O.S"/>
      <sheetName val="NP BILLING"/>
      <sheetName val="NP CREW"/>
      <sheetName val="NP PAYROLL"/>
      <sheetName val="PERMIT"/>
      <sheetName val="EXC"/>
      <sheetName val="PLUM"/>
      <sheetName val="STEEL"/>
      <sheetName val="ELE"/>
      <sheetName val="GUN"/>
      <sheetName val="ROCK &amp; TILE"/>
      <sheetName val="DECK"/>
      <sheetName val="INFLOOR"/>
      <sheetName val="COVER"/>
      <sheetName val="MISC"/>
      <sheetName val="EQUIP"/>
      <sheetName val="EQ SET"/>
      <sheetName val="PREP"/>
      <sheetName val="INT - NP"/>
      <sheetName val="SOLAR"/>
      <sheetName val="INT ENTRY"/>
      <sheetName val="INT COST"/>
      <sheetName val="NEW INT BILL"/>
      <sheetName val="REMODEL INT BILL"/>
      <sheetName val="REMODEL"/>
      <sheetName val="R COST"/>
      <sheetName val="R CUSTOM"/>
      <sheetName val="R PIECE"/>
      <sheetName val="R INFO"/>
      <sheetName val="FACTOR"/>
      <sheetName val="R PAYROLL"/>
      <sheetName val="R BILLING"/>
      <sheetName val="R CONTRACT"/>
      <sheetName val="INT - R"/>
      <sheetName val="SPAS"/>
      <sheetName val="SPA CONTRACT"/>
    </sheetNames>
    <sheetDataSet>
      <sheetData sheetId="0" refreshError="1"/>
      <sheetData sheetId="1">
        <row r="75">
          <cell r="B7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5">
          <cell r="A5" t="str">
            <v>Amador County</v>
          </cell>
        </row>
        <row r="6">
          <cell r="A6" t="str">
            <v>Auburn</v>
          </cell>
        </row>
        <row r="7">
          <cell r="A7" t="str">
            <v>Central Valley</v>
          </cell>
        </row>
        <row r="8">
          <cell r="A8" t="str">
            <v>Citrus Heights</v>
          </cell>
        </row>
        <row r="9">
          <cell r="A9" t="str">
            <v>Davis</v>
          </cell>
        </row>
        <row r="10">
          <cell r="A10" t="str">
            <v>El Dorado County</v>
          </cell>
        </row>
        <row r="11">
          <cell r="A11" t="str">
            <v>El Dorado County - Serrano</v>
          </cell>
        </row>
        <row r="12">
          <cell r="A12" t="str">
            <v>Elk Grove</v>
          </cell>
        </row>
        <row r="13">
          <cell r="A13" t="str">
            <v>Folsom</v>
          </cell>
        </row>
        <row r="14">
          <cell r="A14" t="str">
            <v>Galt</v>
          </cell>
        </row>
        <row r="15">
          <cell r="A15" t="str">
            <v>Ione</v>
          </cell>
        </row>
        <row r="16">
          <cell r="A16" t="str">
            <v>Lincoln</v>
          </cell>
        </row>
        <row r="17">
          <cell r="A17" t="str">
            <v>Nevada County</v>
          </cell>
        </row>
        <row r="18">
          <cell r="A18" t="str">
            <v>Placer County</v>
          </cell>
        </row>
        <row r="19">
          <cell r="A19" t="str">
            <v>Rancho Cordova City</v>
          </cell>
        </row>
        <row r="20">
          <cell r="A20" t="str">
            <v>Rocklin</v>
          </cell>
        </row>
        <row r="21">
          <cell r="A21" t="str">
            <v>Roseville</v>
          </cell>
        </row>
        <row r="22">
          <cell r="A22" t="str">
            <v>Sacramento City</v>
          </cell>
        </row>
        <row r="23">
          <cell r="A23" t="str">
            <v>Sacramento County</v>
          </cell>
        </row>
        <row r="24">
          <cell r="A24" t="str">
            <v>West Sacramento</v>
          </cell>
        </row>
        <row r="25">
          <cell r="A25" t="str">
            <v>Woodland</v>
          </cell>
        </row>
        <row r="26">
          <cell r="A26" t="str">
            <v>Yolo County</v>
          </cell>
        </row>
        <row r="27">
          <cell r="A27" t="str">
            <v>Yuba City</v>
          </cell>
        </row>
      </sheetData>
      <sheetData sheetId="23">
        <row r="20">
          <cell r="V20">
            <v>0</v>
          </cell>
        </row>
      </sheetData>
      <sheetData sheetId="24" refreshError="1"/>
      <sheetData sheetId="25" refreshError="1"/>
      <sheetData sheetId="26" refreshError="1"/>
      <sheetData sheetId="27" refreshError="1"/>
      <sheetData sheetId="28">
        <row r="71">
          <cell r="B71" t="str">
            <v>No Waterfall</v>
          </cell>
        </row>
        <row r="72">
          <cell r="B72" t="str">
            <v>A Waterfall - Moss</v>
          </cell>
        </row>
        <row r="73">
          <cell r="B73" t="str">
            <v>A Waterfall - Sierra/Eldorado/Granite</v>
          </cell>
        </row>
        <row r="74">
          <cell r="B74" t="str">
            <v>B Waterfall - Moss</v>
          </cell>
        </row>
        <row r="75">
          <cell r="B75" t="str">
            <v>B Waterfall - Granite/Eldorado</v>
          </cell>
        </row>
        <row r="76">
          <cell r="B76" t="str">
            <v>B Waterfall - Sierra Boulder</v>
          </cell>
        </row>
        <row r="77">
          <cell r="B77" t="str">
            <v>C Waterfall - Moss</v>
          </cell>
        </row>
        <row r="78">
          <cell r="B78" t="str">
            <v>C Waterfall - Granite/Eldorado</v>
          </cell>
        </row>
        <row r="79">
          <cell r="B79" t="str">
            <v>C Waterfall - Sierra Boulder</v>
          </cell>
        </row>
        <row r="80">
          <cell r="B80" t="str">
            <v>D Waterfall - Moss</v>
          </cell>
        </row>
        <row r="81">
          <cell r="B81" t="str">
            <v>D Waterfall - Granite/Eldorado</v>
          </cell>
        </row>
        <row r="82">
          <cell r="B82" t="str">
            <v>D Waterfall - Sierra Boulder</v>
          </cell>
        </row>
        <row r="93">
          <cell r="B93" t="str">
            <v>No Rock</v>
          </cell>
        </row>
        <row r="94">
          <cell r="B94" t="str">
            <v>Beam Rock - Moss/Eldorado</v>
          </cell>
        </row>
        <row r="95">
          <cell r="B95" t="str">
            <v>Beam Rock - Granite</v>
          </cell>
        </row>
        <row r="96">
          <cell r="B96" t="str">
            <v>Beam Rock - Sierra Boulder</v>
          </cell>
        </row>
        <row r="97">
          <cell r="B97" t="str">
            <v>Notched Rock - Moss</v>
          </cell>
        </row>
        <row r="98">
          <cell r="B98" t="str">
            <v>Notched Rock - Granite/Eldorado</v>
          </cell>
        </row>
        <row r="99">
          <cell r="B99" t="str">
            <v>Notched Rock - Sierra Boulder</v>
          </cell>
        </row>
      </sheetData>
      <sheetData sheetId="29">
        <row r="6">
          <cell r="F6" t="str">
            <v>No Stone Coping</v>
          </cell>
        </row>
        <row r="7">
          <cell r="F7" t="str">
            <v>Flagstone - STD</v>
          </cell>
        </row>
        <row r="8">
          <cell r="F8" t="str">
            <v>Flagstone - Upgrade</v>
          </cell>
        </row>
        <row r="9">
          <cell r="F9" t="str">
            <v>Tumbled Flagstone</v>
          </cell>
        </row>
        <row r="10">
          <cell r="F10" t="str">
            <v>Tumbled Flagstone - Upgrade</v>
          </cell>
        </row>
        <row r="11">
          <cell r="F11" t="str">
            <v>3cm Travertine - Standard</v>
          </cell>
        </row>
        <row r="12">
          <cell r="F12" t="str">
            <v>3cm Travertine - Upgrade</v>
          </cell>
        </row>
        <row r="13">
          <cell r="F13" t="str">
            <v>5cm Travertine - Standard</v>
          </cell>
        </row>
        <row r="14">
          <cell r="F14" t="str">
            <v>5cm Travertine - Upgrade</v>
          </cell>
        </row>
        <row r="15">
          <cell r="F15" t="str">
            <v>Concrete Paver</v>
          </cell>
        </row>
        <row r="16">
          <cell r="F16" t="str">
            <v>No Pavers</v>
          </cell>
        </row>
        <row r="17">
          <cell r="F17" t="str">
            <v>Travertine Decking - STD</v>
          </cell>
        </row>
        <row r="18">
          <cell r="F18" t="str">
            <v>Travertine Decking - Upgrade</v>
          </cell>
        </row>
        <row r="19">
          <cell r="F19" t="str">
            <v>Concrete Paver Decking</v>
          </cell>
        </row>
      </sheetData>
      <sheetData sheetId="30" refreshError="1"/>
      <sheetData sheetId="31" refreshError="1"/>
      <sheetData sheetId="32">
        <row r="4">
          <cell r="I4" t="str">
            <v>No Water Bowls</v>
          </cell>
        </row>
        <row r="5">
          <cell r="I5" t="str">
            <v>32" Biltmore - Standard</v>
          </cell>
        </row>
        <row r="6">
          <cell r="I6" t="str">
            <v>32" Biltmore - Premium</v>
          </cell>
        </row>
        <row r="7">
          <cell r="I7" t="str">
            <v>30" Corinthian - Standard</v>
          </cell>
        </row>
        <row r="8">
          <cell r="I8" t="str">
            <v>30" Corinthian - Premium</v>
          </cell>
        </row>
        <row r="9">
          <cell r="I9" t="str">
            <v>36" Corinthian - Standard</v>
          </cell>
        </row>
        <row r="10">
          <cell r="I10" t="str">
            <v>36" Corinthian - Premium</v>
          </cell>
        </row>
        <row r="11">
          <cell r="I11" t="str">
            <v>31" Essex-Standard</v>
          </cell>
        </row>
        <row r="12">
          <cell r="I12" t="str">
            <v>31" Essex - Premium</v>
          </cell>
        </row>
        <row r="13">
          <cell r="I13" t="str">
            <v>36" Essex - Standard</v>
          </cell>
        </row>
        <row r="14">
          <cell r="I14" t="str">
            <v>36" Essex - Premium</v>
          </cell>
        </row>
        <row r="15">
          <cell r="I15" t="str">
            <v>48" Essex - Standard</v>
          </cell>
        </row>
        <row r="16">
          <cell r="I16" t="str">
            <v>48" Essex - Premium</v>
          </cell>
        </row>
        <row r="17">
          <cell r="I17" t="str">
            <v>30" Legacy - Standard</v>
          </cell>
        </row>
        <row r="18">
          <cell r="I18" t="str">
            <v>30" Legacy - Premium</v>
          </cell>
        </row>
        <row r="19">
          <cell r="I19" t="str">
            <v>36" Legacy - Standard</v>
          </cell>
        </row>
        <row r="20">
          <cell r="I20" t="str">
            <v>36" Legacy - Premium</v>
          </cell>
        </row>
      </sheetData>
      <sheetData sheetId="33">
        <row r="11">
          <cell r="O11" t="str">
            <v>No Automatic Cleaner</v>
          </cell>
          <cell r="P11">
            <v>0</v>
          </cell>
          <cell r="T11">
            <v>0</v>
          </cell>
          <cell r="U11">
            <v>-960.73928355704697</v>
          </cell>
          <cell r="V11" t="str">
            <v>Manual Brushing &amp; Debris Removal</v>
          </cell>
        </row>
        <row r="12">
          <cell r="O12" t="str">
            <v>Polaris TR36P - Black &amp; Blue</v>
          </cell>
          <cell r="P12">
            <v>715.75076624999997</v>
          </cell>
          <cell r="T12">
            <v>960.73928355704697</v>
          </cell>
          <cell r="U12">
            <v>0</v>
          </cell>
          <cell r="V12" t="str">
            <v>https://www.polarispool.com/en/products/pressure/polaris-tr36p</v>
          </cell>
        </row>
        <row r="13">
          <cell r="O13" t="str">
            <v>Premier Clean In-Floor System</v>
          </cell>
          <cell r="P13">
            <v>2412.5580000000004</v>
          </cell>
          <cell r="T13">
            <v>3463.3328859060407</v>
          </cell>
          <cell r="U13">
            <v>2503</v>
          </cell>
          <cell r="V13" t="str">
            <v>https://www.1paramount.com/in-floor-systems/pv3-automatic-pool-cleaning-system/</v>
          </cell>
        </row>
        <row r="14">
          <cell r="O14" t="str">
            <v>Polaris TR28P - Blue &amp; White</v>
          </cell>
          <cell r="P14">
            <v>1143.4490275000001</v>
          </cell>
          <cell r="T14">
            <v>1759.1523500000001</v>
          </cell>
          <cell r="U14">
            <v>798.4130664429531</v>
          </cell>
          <cell r="V14" t="str">
            <v>http://www.polarispool.com/en/products/pressure/polaris-280</v>
          </cell>
        </row>
        <row r="15">
          <cell r="O15" t="str">
            <v>Polaris Quattro</v>
          </cell>
          <cell r="P15">
            <v>1719.4703337499998</v>
          </cell>
          <cell r="T15">
            <v>2645.3389749999997</v>
          </cell>
          <cell r="U15">
            <v>1684.5996914429527</v>
          </cell>
          <cell r="V15" t="str">
            <v>https://www.polarispool.com/en/products/pressure/polaris-quattro-sport</v>
          </cell>
        </row>
        <row r="16">
          <cell r="O16" t="str">
            <v>Polaris 9650 Robotic Cleaner</v>
          </cell>
          <cell r="P16">
            <v>2072.2258374999997</v>
          </cell>
          <cell r="T16">
            <v>3188.0397499999995</v>
          </cell>
          <cell r="U16">
            <v>2227.3004664429527</v>
          </cell>
          <cell r="V16" t="str">
            <v>https://www.polarispool.com/en/products/robotic/polaris-9650iq</v>
          </cell>
        </row>
        <row r="25">
          <cell r="O25" t="str">
            <v>PlusHP Variable Speed Pump</v>
          </cell>
          <cell r="P25">
            <v>1525.9612143749998</v>
          </cell>
          <cell r="Q25">
            <v>2048.2700864093958</v>
          </cell>
          <cell r="T25">
            <v>0</v>
          </cell>
          <cell r="U25">
            <v>1</v>
          </cell>
          <cell r="V25" t="str">
            <v>All Functions</v>
          </cell>
          <cell r="W25">
            <v>3051.9224287499997</v>
          </cell>
        </row>
        <row r="26">
          <cell r="O26" t="str">
            <v>e-Pump Variable Speed Pump</v>
          </cell>
          <cell r="P26">
            <v>1645.6575768750001</v>
          </cell>
          <cell r="Q26">
            <v>2208.936344798658</v>
          </cell>
          <cell r="T26">
            <v>160.66625838926211</v>
          </cell>
          <cell r="U26">
            <v>1</v>
          </cell>
          <cell r="V26" t="str">
            <v>All Functions</v>
          </cell>
          <cell r="W26">
            <v>2438.0112250000002</v>
          </cell>
        </row>
        <row r="27">
          <cell r="O27" t="str">
            <v>.75 HP Single Speed PlusHP</v>
          </cell>
          <cell r="P27">
            <v>699.3</v>
          </cell>
          <cell r="Q27">
            <v>938.65771812080527</v>
          </cell>
          <cell r="T27">
            <v>-1109.6123682885905</v>
          </cell>
          <cell r="U27">
            <v>1</v>
          </cell>
          <cell r="V27" t="str">
            <v>All Functions</v>
          </cell>
          <cell r="W27">
            <v>1035.9999999999998</v>
          </cell>
        </row>
        <row r="31">
          <cell r="O31" t="str">
            <v>No Auxiliary Pump</v>
          </cell>
          <cell r="P31">
            <v>0</v>
          </cell>
          <cell r="Q31">
            <v>0</v>
          </cell>
          <cell r="U31">
            <v>0</v>
          </cell>
          <cell r="V31" t="str">
            <v>No Auxiliary Pump Selected</v>
          </cell>
        </row>
        <row r="32">
          <cell r="O32" t="str">
            <v>2.0HP Single Speed - Spa Jets</v>
          </cell>
          <cell r="P32">
            <v>2100</v>
          </cell>
          <cell r="Q32">
            <v>2818.7919463087251</v>
          </cell>
          <cell r="U32">
            <v>1</v>
          </cell>
          <cell r="V32" t="str">
            <v>http://www.jandy.com/en/products/pumps/specialty/waterfall</v>
          </cell>
        </row>
        <row r="33">
          <cell r="O33" t="str">
            <v>PlusHP Variable Speed Pump</v>
          </cell>
          <cell r="P33">
            <v>1525.9612143749998</v>
          </cell>
          <cell r="Q33">
            <v>2048.2700864093958</v>
          </cell>
          <cell r="U33">
            <v>1</v>
          </cell>
          <cell r="V33" t="str">
            <v>http://www.jandy.com/en/products/pumps/variable-speed/vs-plushp</v>
          </cell>
        </row>
        <row r="34">
          <cell r="O34" t="str">
            <v>e-Pump Variable Speed Pump</v>
          </cell>
          <cell r="P34">
            <v>1645.6575768750001</v>
          </cell>
          <cell r="Q34">
            <v>2208.936344798658</v>
          </cell>
          <cell r="U34">
            <v>1</v>
          </cell>
          <cell r="V34" t="str">
            <v>https://www.jandy.com/en/products/pumps/variable-speed/epump</v>
          </cell>
        </row>
        <row r="35">
          <cell r="O35" t="str">
            <v>FloPro 1.0 Medium Head</v>
          </cell>
          <cell r="P35">
            <v>465</v>
          </cell>
          <cell r="Q35">
            <v>624.16107382550331</v>
          </cell>
          <cell r="V35" t="str">
            <v>Bubblers, Deck Jets, Laminars ONLY (Will not work for waterfalls)</v>
          </cell>
        </row>
        <row r="51">
          <cell r="O51" t="str">
            <v>Existing Filter</v>
          </cell>
          <cell r="V51" t="str">
            <v>Existing Filter to Remain</v>
          </cell>
        </row>
        <row r="52">
          <cell r="O52" t="str">
            <v>340 SQFT Cartridge Filter</v>
          </cell>
          <cell r="P52">
            <v>1105.5451793749999</v>
          </cell>
          <cell r="T52">
            <v>0</v>
          </cell>
          <cell r="U52">
            <v>0</v>
          </cell>
          <cell r="V52" t="str">
            <v>http://www.jandy.com/en/products/filters/cv</v>
          </cell>
        </row>
        <row r="53">
          <cell r="O53" t="str">
            <v>460 SQFT Cartridge Filter</v>
          </cell>
          <cell r="P53">
            <v>1239.359574375</v>
          </cell>
          <cell r="T53">
            <v>246.65439500000011</v>
          </cell>
          <cell r="U53">
            <v>1700.8387374999998</v>
          </cell>
          <cell r="V53" t="str">
            <v>http://www.jandy.com/en/products/filters/cv</v>
          </cell>
        </row>
        <row r="54">
          <cell r="O54" t="str">
            <v>580 SQFT Cartridge Filter</v>
          </cell>
          <cell r="P54">
            <v>1537.4425787499999</v>
          </cell>
          <cell r="T54">
            <v>505.90739937500007</v>
          </cell>
          <cell r="U54">
            <v>1906.7070374999998</v>
          </cell>
          <cell r="V54" t="str">
            <v>http://www.jandy.com/en/products/filters/cv</v>
          </cell>
        </row>
        <row r="55">
          <cell r="O55" t="str">
            <v>100 SQFT Cartidge Filter</v>
          </cell>
          <cell r="P55">
            <v>645.46751749999999</v>
          </cell>
          <cell r="T55">
            <v>-460.07766187499988</v>
          </cell>
          <cell r="U55">
            <v>2365.2962749999997</v>
          </cell>
          <cell r="V55" t="str">
            <v>http://www.jandy.com/en/products/filters/cs</v>
          </cell>
        </row>
        <row r="56">
          <cell r="O56" t="str">
            <v>250 SQFT Cartridge Filter</v>
          </cell>
          <cell r="P56">
            <v>863.52973687500003</v>
          </cell>
          <cell r="T56">
            <v>-242.01544249999984</v>
          </cell>
          <cell r="U56">
            <v>993.02694999999994</v>
          </cell>
          <cell r="V56" t="str">
            <v>http://www.jandy.com/en/products/filters/cs</v>
          </cell>
        </row>
        <row r="57">
          <cell r="O57" t="str">
            <v>4.9 SQFT Sand Filter</v>
          </cell>
          <cell r="P57">
            <v>1200.4730593749998</v>
          </cell>
          <cell r="T57">
            <v>94.927879999999959</v>
          </cell>
          <cell r="U57">
            <v>1328.5072875000001</v>
          </cell>
          <cell r="V57" t="str">
            <v>http://www.jandy.com/en/products/filters/js</v>
          </cell>
        </row>
        <row r="58">
          <cell r="O58" t="str">
            <v>60 SQFT DE Filter</v>
          </cell>
          <cell r="P58">
            <v>1189.2491187499998</v>
          </cell>
          <cell r="T58">
            <v>83.703939374999891</v>
          </cell>
          <cell r="U58">
            <v>1846.881629807692</v>
          </cell>
          <cell r="V58" t="str">
            <v>http://www.jandy.com/en/products/filters/dev</v>
          </cell>
        </row>
        <row r="60">
          <cell r="O60" t="str">
            <v>No Sanitation</v>
          </cell>
        </row>
        <row r="61">
          <cell r="O61" t="str">
            <v>Chlorine Floater</v>
          </cell>
        </row>
        <row r="62">
          <cell r="O62" t="str">
            <v>In-Line Chlorine Feeder</v>
          </cell>
        </row>
        <row r="63">
          <cell r="O63" t="str">
            <v>Mineral Sanitizer</v>
          </cell>
        </row>
        <row r="64">
          <cell r="O64" t="str">
            <v>Ozone Generator</v>
          </cell>
        </row>
        <row r="65">
          <cell r="O65" t="str">
            <v>Ultraviolet Sanitizer</v>
          </cell>
        </row>
        <row r="66">
          <cell r="O66" t="str">
            <v>Solar Eclipse - Ozone + UV Combo</v>
          </cell>
        </row>
        <row r="71">
          <cell r="O71" t="str">
            <v>No Sheer Descent</v>
          </cell>
          <cell r="P71">
            <v>0</v>
          </cell>
          <cell r="T71">
            <v>0</v>
          </cell>
          <cell r="V71" t="str">
            <v>No Sheer Descent</v>
          </cell>
        </row>
        <row r="72">
          <cell r="O72" t="str">
            <v>12" Sheer Descent</v>
          </cell>
          <cell r="P72">
            <v>181.45577937499999</v>
          </cell>
          <cell r="T72">
            <v>243.56480453020134</v>
          </cell>
          <cell r="V72" t="str">
            <v>Cascading Water Feature</v>
          </cell>
        </row>
        <row r="73">
          <cell r="O73" t="str">
            <v>18" Sheer Descent</v>
          </cell>
          <cell r="P73">
            <v>218.62024437500003</v>
          </cell>
          <cell r="T73">
            <v>293.44999244966448</v>
          </cell>
          <cell r="V73" t="str">
            <v>Cascading Water Feature</v>
          </cell>
        </row>
        <row r="74">
          <cell r="O74" t="str">
            <v>2' Sheer Descent</v>
          </cell>
          <cell r="P74">
            <v>230.60383125000001</v>
          </cell>
          <cell r="T74">
            <v>309.53534395973156</v>
          </cell>
          <cell r="V74" t="str">
            <v>Cascading Water Feature</v>
          </cell>
        </row>
        <row r="75">
          <cell r="O75" t="str">
            <v>3' Sheer Descent</v>
          </cell>
          <cell r="P75">
            <v>306.55103374999999</v>
          </cell>
          <cell r="T75">
            <v>411.47789765100669</v>
          </cell>
          <cell r="V75" t="str">
            <v>Cascading Water Feature</v>
          </cell>
        </row>
        <row r="76">
          <cell r="O76" t="str">
            <v>4' Sheer Descent</v>
          </cell>
          <cell r="P76">
            <v>433.75283249999995</v>
          </cell>
          <cell r="T76">
            <v>582.21856711409396</v>
          </cell>
          <cell r="V76" t="str">
            <v>Cascading Water Feature</v>
          </cell>
        </row>
        <row r="77">
          <cell r="O77" t="str">
            <v>5' Sheer Descent</v>
          </cell>
          <cell r="P77">
            <v>576.21661499999993</v>
          </cell>
          <cell r="T77">
            <v>773.44512080536902</v>
          </cell>
          <cell r="V77" t="str">
            <v>Cascading Water Feature</v>
          </cell>
        </row>
        <row r="78">
          <cell r="O78" t="str">
            <v>6' Sheer Descent</v>
          </cell>
        </row>
        <row r="80">
          <cell r="O80" t="str">
            <v>JEP-R</v>
          </cell>
          <cell r="P80">
            <v>175</v>
          </cell>
          <cell r="Q80">
            <v>0</v>
          </cell>
          <cell r="V80" t="str">
            <v>Manual Control - Wll not control Solar</v>
          </cell>
        </row>
        <row r="81">
          <cell r="O81" t="str">
            <v>IQ Pump 01 - Controls Pump Only</v>
          </cell>
          <cell r="P81">
            <v>270</v>
          </cell>
          <cell r="Q81">
            <v>199.87733333333335</v>
          </cell>
          <cell r="V81" t="str">
            <v>Only controls Variable Speed Pump - Will not control Solar</v>
          </cell>
        </row>
        <row r="82">
          <cell r="O82" t="str">
            <v>PDA P-4 (PDA Only)</v>
          </cell>
          <cell r="P82">
            <v>1746.9539000000002</v>
          </cell>
          <cell r="Q82">
            <v>2501.3248611111117</v>
          </cell>
          <cell r="T82" t="str">
            <v>PDA</v>
          </cell>
          <cell r="U82" t="str">
            <v>P</v>
          </cell>
          <cell r="V82" t="str">
            <v>Jandy PDA P-4</v>
          </cell>
        </row>
        <row r="83">
          <cell r="O83" t="str">
            <v>PDA P-8 (PDA Only)</v>
          </cell>
          <cell r="P83">
            <v>2419.5601999999999</v>
          </cell>
          <cell r="Q83">
            <v>3412.3244137931033</v>
          </cell>
          <cell r="T83" t="str">
            <v>PDA</v>
          </cell>
          <cell r="U83" t="str">
            <v>P</v>
          </cell>
          <cell r="V83" t="str">
            <v>Jandy PDA P-8</v>
          </cell>
        </row>
        <row r="84">
          <cell r="O84" t="str">
            <v>PDA PS-6 (PDA Only)</v>
          </cell>
          <cell r="P84">
            <v>2801.4526000000001</v>
          </cell>
          <cell r="Q84">
            <v>3939.0725517241381</v>
          </cell>
          <cell r="T84" t="str">
            <v>PDA</v>
          </cell>
          <cell r="U84" t="str">
            <v>PS</v>
          </cell>
          <cell r="V84" t="str">
            <v>Jandy PDA PS-6</v>
          </cell>
        </row>
        <row r="85">
          <cell r="O85" t="str">
            <v>PDA PS-8 (PDA Only)</v>
          </cell>
          <cell r="P85">
            <v>3116.0811000000003</v>
          </cell>
          <cell r="Q85">
            <v>4373.0428965517249</v>
          </cell>
          <cell r="T85" t="str">
            <v>PDA</v>
          </cell>
          <cell r="U85" t="str">
            <v>PS</v>
          </cell>
          <cell r="V85" t="str">
            <v>Jandy PDA PS-8</v>
          </cell>
        </row>
        <row r="86">
          <cell r="O86" t="str">
            <v>iAqualink Only P-4 (H.O. To Provide WiFi)</v>
          </cell>
          <cell r="P86">
            <v>2005.0550000000001</v>
          </cell>
          <cell r="Q86">
            <v>2972.4896551724141</v>
          </cell>
          <cell r="T86" t="str">
            <v>Rs</v>
          </cell>
          <cell r="U86" t="str">
            <v>P</v>
          </cell>
          <cell r="V86" t="str">
            <v>Zodiac iAqualink P-4 (No Handheld)</v>
          </cell>
        </row>
        <row r="87">
          <cell r="O87" t="str">
            <v>iAqualink Only P-8 (H.O. To Provide WiFi)</v>
          </cell>
          <cell r="P87">
            <v>2896.1518000000001</v>
          </cell>
          <cell r="Q87">
            <v>4069.6921379310347</v>
          </cell>
          <cell r="T87" t="str">
            <v>RS</v>
          </cell>
          <cell r="U87" t="str">
            <v>P</v>
          </cell>
          <cell r="V87" t="str">
            <v>Zodiac iAqualink P-8 (No Handheld)</v>
          </cell>
        </row>
        <row r="88">
          <cell r="O88" t="str">
            <v>iAqualink Only PS-6 (H.O. To Provide WiFi)</v>
          </cell>
          <cell r="P88">
            <v>3107.2630000000004</v>
          </cell>
          <cell r="Q88">
            <v>4360.880000000001</v>
          </cell>
          <cell r="T88" t="str">
            <v>RS</v>
          </cell>
          <cell r="U88" t="str">
            <v>PS</v>
          </cell>
          <cell r="V88" t="str">
            <v>Zodiac iAqualink PS-6 (No Handheld)</v>
          </cell>
        </row>
        <row r="89">
          <cell r="O89" t="str">
            <v>iAqualink Only PS-8 (H.O. To Provide WiFi)</v>
          </cell>
          <cell r="P89">
            <v>3818.2482</v>
          </cell>
          <cell r="Q89">
            <v>5341.5492413793108</v>
          </cell>
          <cell r="T89" t="str">
            <v>RS</v>
          </cell>
          <cell r="U89" t="str">
            <v>PS</v>
          </cell>
          <cell r="V89" t="str">
            <v>Zodiac iAqualink PS-8 (No Handheld)</v>
          </cell>
        </row>
        <row r="90">
          <cell r="O90" t="str">
            <v>iAqualink Only PS-12 (H.O. To Provide WiFi)</v>
          </cell>
          <cell r="P90">
            <v>4615.2888999999996</v>
          </cell>
          <cell r="Q90">
            <v>6440.9157241379307</v>
          </cell>
          <cell r="T90" t="str">
            <v>RS</v>
          </cell>
          <cell r="U90" t="str">
            <v>PS</v>
          </cell>
          <cell r="V90" t="str">
            <v>Zodiac iAqualink PS-12 (No Handheld)</v>
          </cell>
        </row>
        <row r="97">
          <cell r="R97" t="str">
            <v>1st Light Upgrade</v>
          </cell>
        </row>
        <row r="98">
          <cell r="O98" t="str">
            <v>None</v>
          </cell>
          <cell r="V98" t="str">
            <v xml:space="preserve"> </v>
          </cell>
        </row>
      </sheetData>
      <sheetData sheetId="34" refreshError="1"/>
      <sheetData sheetId="35" refreshError="1"/>
      <sheetData sheetId="36">
        <row r="249">
          <cell r="A249">
            <v>1</v>
          </cell>
          <cell r="B249">
            <v>2804</v>
          </cell>
          <cell r="C249">
            <v>6700</v>
          </cell>
          <cell r="D249">
            <v>5178.07125</v>
          </cell>
          <cell r="E249">
            <v>6700.7475000000004</v>
          </cell>
          <cell r="F249">
            <v>5179.04</v>
          </cell>
          <cell r="G249">
            <v>1</v>
          </cell>
          <cell r="H249">
            <v>515.29999999999995</v>
          </cell>
          <cell r="I249">
            <v>940.3</v>
          </cell>
          <cell r="J249">
            <v>489.23124999999999</v>
          </cell>
          <cell r="K249">
            <v>941.0474999999999</v>
          </cell>
          <cell r="L249">
            <v>490.2</v>
          </cell>
        </row>
        <row r="250">
          <cell r="A250">
            <v>2</v>
          </cell>
          <cell r="B250">
            <v>2804</v>
          </cell>
          <cell r="C250">
            <v>6700</v>
          </cell>
          <cell r="D250">
            <v>5178.3525</v>
          </cell>
          <cell r="E250">
            <v>6701.4949999999999</v>
          </cell>
          <cell r="F250">
            <v>5180.29</v>
          </cell>
          <cell r="G250">
            <v>2</v>
          </cell>
          <cell r="H250">
            <v>515.29999999999995</v>
          </cell>
          <cell r="I250">
            <v>940.3</v>
          </cell>
          <cell r="J250">
            <v>489.51249999999999</v>
          </cell>
          <cell r="K250">
            <v>941.79499999999996</v>
          </cell>
          <cell r="L250">
            <v>491.45</v>
          </cell>
        </row>
        <row r="251">
          <cell r="A251">
            <v>3</v>
          </cell>
          <cell r="B251">
            <v>2804</v>
          </cell>
          <cell r="C251">
            <v>6700</v>
          </cell>
          <cell r="D251">
            <v>5178.63375</v>
          </cell>
          <cell r="E251">
            <v>6702.2425000000003</v>
          </cell>
          <cell r="F251">
            <v>5181.54</v>
          </cell>
          <cell r="G251">
            <v>3</v>
          </cell>
          <cell r="H251">
            <v>515.29999999999995</v>
          </cell>
          <cell r="I251">
            <v>940.3</v>
          </cell>
          <cell r="J251">
            <v>489.79374999999999</v>
          </cell>
          <cell r="K251">
            <v>942.5424999999999</v>
          </cell>
          <cell r="L251">
            <v>492.7</v>
          </cell>
        </row>
        <row r="252">
          <cell r="A252">
            <v>4</v>
          </cell>
          <cell r="B252">
            <v>2804</v>
          </cell>
          <cell r="C252">
            <v>6700</v>
          </cell>
          <cell r="D252">
            <v>5178.915</v>
          </cell>
          <cell r="E252">
            <v>6702.99</v>
          </cell>
          <cell r="F252">
            <v>5182.79</v>
          </cell>
          <cell r="G252">
            <v>4</v>
          </cell>
          <cell r="H252">
            <v>515.29999999999995</v>
          </cell>
          <cell r="I252">
            <v>940.3</v>
          </cell>
          <cell r="J252">
            <v>490.07499999999999</v>
          </cell>
          <cell r="K252">
            <v>943.29</v>
          </cell>
          <cell r="L252">
            <v>493.95</v>
          </cell>
        </row>
        <row r="253">
          <cell r="A253">
            <v>5</v>
          </cell>
          <cell r="B253">
            <v>2804</v>
          </cell>
          <cell r="C253">
            <v>6700</v>
          </cell>
          <cell r="D253">
            <v>5179.19625</v>
          </cell>
          <cell r="E253">
            <v>6703.7375000000002</v>
          </cell>
          <cell r="F253">
            <v>5184.04</v>
          </cell>
          <cell r="G253">
            <v>5</v>
          </cell>
          <cell r="H253">
            <v>515.29999999999995</v>
          </cell>
          <cell r="I253">
            <v>940.3</v>
          </cell>
          <cell r="J253">
            <v>490.35624999999999</v>
          </cell>
          <cell r="K253">
            <v>944.03749999999991</v>
          </cell>
          <cell r="L253">
            <v>495.2</v>
          </cell>
        </row>
        <row r="254">
          <cell r="A254">
            <v>6</v>
          </cell>
          <cell r="B254">
            <v>2804</v>
          </cell>
          <cell r="C254">
            <v>6700</v>
          </cell>
          <cell r="D254">
            <v>5179.4775</v>
          </cell>
          <cell r="E254">
            <v>6704.4849999999997</v>
          </cell>
          <cell r="F254">
            <v>5185.29</v>
          </cell>
          <cell r="G254">
            <v>6</v>
          </cell>
          <cell r="H254">
            <v>515.29999999999995</v>
          </cell>
          <cell r="I254">
            <v>940.3</v>
          </cell>
          <cell r="J254">
            <v>490.63749999999999</v>
          </cell>
          <cell r="K254">
            <v>944.78499999999997</v>
          </cell>
          <cell r="L254">
            <v>496.45</v>
          </cell>
        </row>
        <row r="255">
          <cell r="A255">
            <v>7</v>
          </cell>
          <cell r="B255">
            <v>2804</v>
          </cell>
          <cell r="C255">
            <v>6700</v>
          </cell>
          <cell r="D255">
            <v>5179.75875</v>
          </cell>
          <cell r="E255">
            <v>6705.2325000000001</v>
          </cell>
          <cell r="F255">
            <v>5186.54</v>
          </cell>
          <cell r="G255">
            <v>7</v>
          </cell>
          <cell r="H255">
            <v>515.29999999999995</v>
          </cell>
          <cell r="I255">
            <v>940.3</v>
          </cell>
          <cell r="J255">
            <v>490.91874999999999</v>
          </cell>
          <cell r="K255">
            <v>945.53249999999991</v>
          </cell>
          <cell r="L255">
            <v>497.7</v>
          </cell>
        </row>
        <row r="256">
          <cell r="A256">
            <v>8</v>
          </cell>
          <cell r="B256">
            <v>2804</v>
          </cell>
          <cell r="C256">
            <v>6700</v>
          </cell>
          <cell r="D256">
            <v>5180.04</v>
          </cell>
          <cell r="E256">
            <v>6705.98</v>
          </cell>
          <cell r="F256">
            <v>5187.79</v>
          </cell>
          <cell r="G256">
            <v>8</v>
          </cell>
          <cell r="H256">
            <v>515.29999999999995</v>
          </cell>
          <cell r="I256">
            <v>940.3</v>
          </cell>
          <cell r="J256">
            <v>491.2</v>
          </cell>
          <cell r="K256">
            <v>946.28</v>
          </cell>
          <cell r="L256">
            <v>498.95</v>
          </cell>
        </row>
        <row r="257">
          <cell r="A257">
            <v>9</v>
          </cell>
          <cell r="B257">
            <v>2804</v>
          </cell>
          <cell r="C257">
            <v>6700</v>
          </cell>
          <cell r="D257">
            <v>5180.32125</v>
          </cell>
          <cell r="E257">
            <v>6706.7275</v>
          </cell>
          <cell r="F257">
            <v>5189.04</v>
          </cell>
          <cell r="G257">
            <v>9</v>
          </cell>
          <cell r="H257">
            <v>515.29999999999995</v>
          </cell>
          <cell r="I257">
            <v>940.3</v>
          </cell>
          <cell r="J257">
            <v>491.48124999999999</v>
          </cell>
          <cell r="K257">
            <v>947.02749999999992</v>
          </cell>
          <cell r="L257">
            <v>500.2</v>
          </cell>
        </row>
        <row r="258">
          <cell r="A258">
            <v>10</v>
          </cell>
          <cell r="B258">
            <v>2804</v>
          </cell>
          <cell r="C258">
            <v>6700</v>
          </cell>
          <cell r="D258">
            <v>5180.6025</v>
          </cell>
          <cell r="E258">
            <v>6707.4750000000004</v>
          </cell>
          <cell r="F258">
            <v>5190.29</v>
          </cell>
          <cell r="G258">
            <v>10</v>
          </cell>
          <cell r="H258">
            <v>515.29999999999995</v>
          </cell>
          <cell r="I258">
            <v>940.3</v>
          </cell>
          <cell r="J258">
            <v>491.76249999999999</v>
          </cell>
          <cell r="K258">
            <v>947.77499999999998</v>
          </cell>
          <cell r="L258">
            <v>501.45</v>
          </cell>
        </row>
        <row r="259">
          <cell r="A259">
            <v>11</v>
          </cell>
          <cell r="B259">
            <v>2804</v>
          </cell>
          <cell r="C259">
            <v>6700</v>
          </cell>
          <cell r="D259">
            <v>5180.88375</v>
          </cell>
          <cell r="E259">
            <v>6708.2224999999999</v>
          </cell>
          <cell r="F259">
            <v>5191.54</v>
          </cell>
          <cell r="G259">
            <v>11</v>
          </cell>
          <cell r="H259">
            <v>515.29999999999995</v>
          </cell>
          <cell r="I259">
            <v>940.3</v>
          </cell>
          <cell r="J259">
            <v>492.04374999999999</v>
          </cell>
          <cell r="K259">
            <v>948.52249999999992</v>
          </cell>
          <cell r="L259">
            <v>502.7</v>
          </cell>
        </row>
        <row r="260">
          <cell r="A260">
            <v>12</v>
          </cell>
          <cell r="B260">
            <v>2804</v>
          </cell>
          <cell r="C260">
            <v>6700</v>
          </cell>
          <cell r="D260">
            <v>5181.165</v>
          </cell>
          <cell r="E260">
            <v>6708.97</v>
          </cell>
          <cell r="F260">
            <v>5192.79</v>
          </cell>
          <cell r="G260">
            <v>12</v>
          </cell>
          <cell r="H260">
            <v>515.29999999999995</v>
          </cell>
          <cell r="I260">
            <v>940.3</v>
          </cell>
          <cell r="J260">
            <v>492.32499999999999</v>
          </cell>
          <cell r="K260">
            <v>949.27</v>
          </cell>
          <cell r="L260">
            <v>503.95</v>
          </cell>
        </row>
        <row r="261">
          <cell r="A261">
            <v>13</v>
          </cell>
          <cell r="B261">
            <v>2804</v>
          </cell>
          <cell r="C261">
            <v>6700</v>
          </cell>
          <cell r="D261">
            <v>5181.44625</v>
          </cell>
          <cell r="E261">
            <v>6709.7174999999997</v>
          </cell>
          <cell r="F261">
            <v>5194.04</v>
          </cell>
          <cell r="G261">
            <v>13</v>
          </cell>
          <cell r="H261">
            <v>515.29999999999995</v>
          </cell>
          <cell r="I261">
            <v>940.3</v>
          </cell>
          <cell r="J261">
            <v>492.60624999999999</v>
          </cell>
          <cell r="K261">
            <v>950.01749999999993</v>
          </cell>
          <cell r="L261">
            <v>505.2</v>
          </cell>
        </row>
        <row r="262">
          <cell r="A262">
            <v>14</v>
          </cell>
          <cell r="B262">
            <v>2804</v>
          </cell>
          <cell r="C262">
            <v>6700</v>
          </cell>
          <cell r="D262">
            <v>5181.7275</v>
          </cell>
          <cell r="E262">
            <v>6710.4650000000001</v>
          </cell>
          <cell r="F262">
            <v>5195.29</v>
          </cell>
          <cell r="G262">
            <v>14</v>
          </cell>
          <cell r="H262">
            <v>515.29999999999995</v>
          </cell>
          <cell r="I262">
            <v>940.3</v>
          </cell>
          <cell r="J262">
            <v>492.88749999999999</v>
          </cell>
          <cell r="K262">
            <v>950.76499999999999</v>
          </cell>
          <cell r="L262">
            <v>506.45</v>
          </cell>
        </row>
        <row r="263">
          <cell r="A263">
            <v>15</v>
          </cell>
          <cell r="B263">
            <v>2804</v>
          </cell>
          <cell r="C263">
            <v>6700</v>
          </cell>
          <cell r="D263">
            <v>5182.00875</v>
          </cell>
          <cell r="E263">
            <v>6711.2124999999996</v>
          </cell>
          <cell r="F263">
            <v>5196.54</v>
          </cell>
          <cell r="G263">
            <v>15</v>
          </cell>
          <cell r="H263">
            <v>515.29999999999995</v>
          </cell>
          <cell r="I263">
            <v>940.3</v>
          </cell>
          <cell r="J263">
            <v>493.16874999999999</v>
          </cell>
          <cell r="K263">
            <v>951.51249999999993</v>
          </cell>
          <cell r="L263">
            <v>507.7</v>
          </cell>
        </row>
        <row r="264">
          <cell r="A264">
            <v>16</v>
          </cell>
          <cell r="B264">
            <v>2804</v>
          </cell>
          <cell r="C264">
            <v>6700</v>
          </cell>
          <cell r="D264">
            <v>5182.29</v>
          </cell>
          <cell r="E264">
            <v>6711.96</v>
          </cell>
          <cell r="F264">
            <v>5197.79</v>
          </cell>
          <cell r="G264">
            <v>16</v>
          </cell>
          <cell r="H264">
            <v>515.29999999999995</v>
          </cell>
          <cell r="I264">
            <v>940.3</v>
          </cell>
          <cell r="J264">
            <v>493.45</v>
          </cell>
          <cell r="K264">
            <v>952.26</v>
          </cell>
          <cell r="L264">
            <v>508.95</v>
          </cell>
        </row>
        <row r="265">
          <cell r="A265">
            <v>17</v>
          </cell>
          <cell r="B265">
            <v>2804</v>
          </cell>
          <cell r="C265">
            <v>6700</v>
          </cell>
          <cell r="D265">
            <v>5182.57125</v>
          </cell>
          <cell r="E265">
            <v>6712.7075000000004</v>
          </cell>
          <cell r="F265">
            <v>5199.04</v>
          </cell>
          <cell r="G265">
            <v>17</v>
          </cell>
          <cell r="H265">
            <v>515.29999999999995</v>
          </cell>
          <cell r="I265">
            <v>940.3</v>
          </cell>
          <cell r="J265">
            <v>493.73124999999999</v>
          </cell>
          <cell r="K265">
            <v>953.00749999999994</v>
          </cell>
          <cell r="L265">
            <v>510.2</v>
          </cell>
        </row>
        <row r="266">
          <cell r="A266">
            <v>18</v>
          </cell>
          <cell r="B266">
            <v>2804</v>
          </cell>
          <cell r="C266">
            <v>6700</v>
          </cell>
          <cell r="D266">
            <v>5182.8525</v>
          </cell>
          <cell r="E266">
            <v>6713.4549999999999</v>
          </cell>
          <cell r="F266">
            <v>5200.29</v>
          </cell>
          <cell r="G266">
            <v>18</v>
          </cell>
          <cell r="H266">
            <v>515.29999999999995</v>
          </cell>
          <cell r="I266">
            <v>940.3</v>
          </cell>
          <cell r="J266">
            <v>494.01249999999999</v>
          </cell>
          <cell r="K266">
            <v>953.755</v>
          </cell>
          <cell r="L266">
            <v>511.45</v>
          </cell>
        </row>
        <row r="267">
          <cell r="A267">
            <v>19</v>
          </cell>
          <cell r="B267">
            <v>2804</v>
          </cell>
          <cell r="C267">
            <v>6700</v>
          </cell>
          <cell r="D267">
            <v>5183.13375</v>
          </cell>
          <cell r="E267">
            <v>6714.2025000000003</v>
          </cell>
          <cell r="F267">
            <v>5201.54</v>
          </cell>
          <cell r="G267">
            <v>19</v>
          </cell>
          <cell r="H267">
            <v>515.29999999999995</v>
          </cell>
          <cell r="I267">
            <v>940.3</v>
          </cell>
          <cell r="J267">
            <v>494.29374999999999</v>
          </cell>
          <cell r="K267">
            <v>954.50249999999994</v>
          </cell>
          <cell r="L267">
            <v>512.70000000000005</v>
          </cell>
        </row>
        <row r="268">
          <cell r="A268">
            <v>20</v>
          </cell>
          <cell r="B268">
            <v>2804</v>
          </cell>
          <cell r="C268">
            <v>6700</v>
          </cell>
          <cell r="D268">
            <v>5183.415</v>
          </cell>
          <cell r="E268">
            <v>6714.95</v>
          </cell>
          <cell r="F268">
            <v>5202.79</v>
          </cell>
          <cell r="G268">
            <v>20</v>
          </cell>
          <cell r="H268">
            <v>515.29999999999995</v>
          </cell>
          <cell r="I268">
            <v>940.3</v>
          </cell>
          <cell r="J268">
            <v>494.57499999999999</v>
          </cell>
          <cell r="K268">
            <v>955.25</v>
          </cell>
          <cell r="L268">
            <v>513.95000000000005</v>
          </cell>
        </row>
        <row r="269">
          <cell r="A269">
            <v>21</v>
          </cell>
          <cell r="B269">
            <v>2804</v>
          </cell>
          <cell r="C269">
            <v>6700</v>
          </cell>
          <cell r="D269">
            <v>5183.69625</v>
          </cell>
          <cell r="E269">
            <v>6715.6975000000002</v>
          </cell>
          <cell r="F269">
            <v>5204.04</v>
          </cell>
          <cell r="G269">
            <v>21</v>
          </cell>
          <cell r="H269">
            <v>515.29999999999995</v>
          </cell>
          <cell r="I269">
            <v>940.3</v>
          </cell>
          <cell r="J269">
            <v>494.85624999999999</v>
          </cell>
          <cell r="K269">
            <v>955.99749999999995</v>
          </cell>
          <cell r="L269">
            <v>515.20000000000005</v>
          </cell>
        </row>
        <row r="270">
          <cell r="A270">
            <v>22</v>
          </cell>
          <cell r="B270">
            <v>2804</v>
          </cell>
          <cell r="C270">
            <v>6700</v>
          </cell>
          <cell r="D270">
            <v>5183.9775</v>
          </cell>
          <cell r="E270">
            <v>6716.4449999999997</v>
          </cell>
          <cell r="F270">
            <v>5205.29</v>
          </cell>
          <cell r="G270">
            <v>22</v>
          </cell>
          <cell r="H270">
            <v>515.29999999999995</v>
          </cell>
          <cell r="I270">
            <v>940.3</v>
          </cell>
          <cell r="J270">
            <v>495.13749999999999</v>
          </cell>
          <cell r="K270">
            <v>956.745</v>
          </cell>
          <cell r="L270">
            <v>516.45000000000005</v>
          </cell>
        </row>
        <row r="271">
          <cell r="A271">
            <v>23</v>
          </cell>
          <cell r="B271">
            <v>2804</v>
          </cell>
          <cell r="C271">
            <v>6700</v>
          </cell>
          <cell r="D271">
            <v>5184.25875</v>
          </cell>
          <cell r="E271">
            <v>6717.1925000000001</v>
          </cell>
          <cell r="F271">
            <v>5206.54</v>
          </cell>
          <cell r="G271">
            <v>23</v>
          </cell>
          <cell r="H271">
            <v>515.29999999999995</v>
          </cell>
          <cell r="I271">
            <v>940.3</v>
          </cell>
          <cell r="J271">
            <v>495.41874999999999</v>
          </cell>
          <cell r="K271">
            <v>957.49249999999995</v>
          </cell>
          <cell r="L271">
            <v>517.70000000000005</v>
          </cell>
        </row>
        <row r="272">
          <cell r="A272">
            <v>24</v>
          </cell>
          <cell r="B272">
            <v>2804</v>
          </cell>
          <cell r="C272">
            <v>6700</v>
          </cell>
          <cell r="D272">
            <v>5184.54</v>
          </cell>
          <cell r="E272">
            <v>6717.94</v>
          </cell>
          <cell r="F272">
            <v>5207.79</v>
          </cell>
          <cell r="G272">
            <v>24</v>
          </cell>
          <cell r="H272">
            <v>515.29999999999995</v>
          </cell>
          <cell r="I272">
            <v>940.3</v>
          </cell>
          <cell r="J272">
            <v>495.7</v>
          </cell>
          <cell r="K272">
            <v>958.24</v>
          </cell>
          <cell r="L272">
            <v>518.95000000000005</v>
          </cell>
        </row>
        <row r="273">
          <cell r="A273">
            <v>25</v>
          </cell>
          <cell r="B273">
            <v>2804</v>
          </cell>
          <cell r="C273">
            <v>6700</v>
          </cell>
          <cell r="D273">
            <v>5184.82125</v>
          </cell>
          <cell r="E273">
            <v>6718.6875</v>
          </cell>
          <cell r="F273">
            <v>5209.04</v>
          </cell>
          <cell r="G273">
            <v>25</v>
          </cell>
          <cell r="H273">
            <v>515.29999999999995</v>
          </cell>
          <cell r="I273">
            <v>940.3</v>
          </cell>
          <cell r="J273">
            <v>495.98124999999999</v>
          </cell>
          <cell r="K273">
            <v>958.98749999999995</v>
          </cell>
          <cell r="L273">
            <v>520.20000000000005</v>
          </cell>
        </row>
        <row r="274">
          <cell r="A274">
            <v>26</v>
          </cell>
          <cell r="B274">
            <v>2804</v>
          </cell>
          <cell r="C274">
            <v>6700</v>
          </cell>
          <cell r="D274">
            <v>5185.1025</v>
          </cell>
          <cell r="E274">
            <v>6719.4350000000004</v>
          </cell>
          <cell r="F274">
            <v>5210.29</v>
          </cell>
          <cell r="G274">
            <v>26</v>
          </cell>
          <cell r="H274">
            <v>515.29999999999995</v>
          </cell>
          <cell r="I274">
            <v>940.3</v>
          </cell>
          <cell r="J274">
            <v>496.26249999999999</v>
          </cell>
          <cell r="K274">
            <v>959.7349999999999</v>
          </cell>
          <cell r="L274">
            <v>521.45000000000005</v>
          </cell>
        </row>
        <row r="275">
          <cell r="A275">
            <v>27</v>
          </cell>
          <cell r="B275">
            <v>2804</v>
          </cell>
          <cell r="C275">
            <v>6700</v>
          </cell>
          <cell r="D275">
            <v>5185.38375</v>
          </cell>
          <cell r="E275">
            <v>6720.1824999999999</v>
          </cell>
          <cell r="F275">
            <v>5211.54</v>
          </cell>
          <cell r="G275">
            <v>27</v>
          </cell>
          <cell r="H275">
            <v>515.29999999999995</v>
          </cell>
          <cell r="I275">
            <v>940.3</v>
          </cell>
          <cell r="J275">
            <v>496.54374999999999</v>
          </cell>
          <cell r="K275">
            <v>960.48249999999996</v>
          </cell>
          <cell r="L275">
            <v>522.70000000000005</v>
          </cell>
        </row>
        <row r="276">
          <cell r="A276">
            <v>28</v>
          </cell>
          <cell r="B276">
            <v>2804</v>
          </cell>
          <cell r="C276">
            <v>6700</v>
          </cell>
          <cell r="D276">
            <v>5185.665</v>
          </cell>
          <cell r="E276">
            <v>6720.93</v>
          </cell>
          <cell r="F276">
            <v>5212.79</v>
          </cell>
          <cell r="G276">
            <v>28</v>
          </cell>
          <cell r="H276">
            <v>515.29999999999995</v>
          </cell>
          <cell r="I276">
            <v>940.3</v>
          </cell>
          <cell r="J276">
            <v>496.82499999999999</v>
          </cell>
          <cell r="K276">
            <v>961.2299999999999</v>
          </cell>
          <cell r="L276">
            <v>523.95000000000005</v>
          </cell>
        </row>
        <row r="277">
          <cell r="A277">
            <v>29</v>
          </cell>
          <cell r="B277">
            <v>2804</v>
          </cell>
          <cell r="C277">
            <v>6700</v>
          </cell>
          <cell r="D277">
            <v>5185.94625</v>
          </cell>
          <cell r="E277">
            <v>6721.6774999999998</v>
          </cell>
          <cell r="F277">
            <v>5214.04</v>
          </cell>
          <cell r="G277">
            <v>29</v>
          </cell>
          <cell r="H277">
            <v>515.29999999999995</v>
          </cell>
          <cell r="I277">
            <v>940.3</v>
          </cell>
          <cell r="J277">
            <v>497.10624999999999</v>
          </cell>
          <cell r="K277">
            <v>961.97749999999996</v>
          </cell>
          <cell r="L277">
            <v>525.20000000000005</v>
          </cell>
        </row>
        <row r="278">
          <cell r="A278">
            <v>30</v>
          </cell>
          <cell r="B278">
            <v>2804</v>
          </cell>
          <cell r="C278">
            <v>6700</v>
          </cell>
          <cell r="D278">
            <v>5186.2275</v>
          </cell>
          <cell r="E278">
            <v>6722.4250000000002</v>
          </cell>
          <cell r="F278">
            <v>5215.29</v>
          </cell>
          <cell r="G278">
            <v>30</v>
          </cell>
          <cell r="H278">
            <v>515.29999999999995</v>
          </cell>
          <cell r="I278">
            <v>940.3</v>
          </cell>
          <cell r="J278">
            <v>497.38749999999999</v>
          </cell>
          <cell r="K278">
            <v>962.72499999999991</v>
          </cell>
          <cell r="L278">
            <v>526.45000000000005</v>
          </cell>
        </row>
        <row r="279">
          <cell r="A279">
            <v>31</v>
          </cell>
          <cell r="B279">
            <v>2804</v>
          </cell>
          <cell r="C279">
            <v>6700</v>
          </cell>
          <cell r="D279">
            <v>5186.50875</v>
          </cell>
          <cell r="E279">
            <v>6723.1724999999997</v>
          </cell>
          <cell r="F279">
            <v>5216.54</v>
          </cell>
          <cell r="G279">
            <v>31</v>
          </cell>
          <cell r="H279">
            <v>515.29999999999995</v>
          </cell>
          <cell r="I279">
            <v>940.3</v>
          </cell>
          <cell r="J279">
            <v>497.66874999999999</v>
          </cell>
          <cell r="K279">
            <v>963.47249999999997</v>
          </cell>
          <cell r="L279">
            <v>527.70000000000005</v>
          </cell>
        </row>
        <row r="280">
          <cell r="A280">
            <v>32</v>
          </cell>
          <cell r="B280">
            <v>2804</v>
          </cell>
          <cell r="C280">
            <v>6700</v>
          </cell>
          <cell r="D280">
            <v>5186.79</v>
          </cell>
          <cell r="E280">
            <v>6723.92</v>
          </cell>
          <cell r="F280">
            <v>5217.79</v>
          </cell>
          <cell r="G280">
            <v>32</v>
          </cell>
          <cell r="H280">
            <v>515.29999999999995</v>
          </cell>
          <cell r="I280">
            <v>940.3</v>
          </cell>
          <cell r="J280">
            <v>497.95</v>
          </cell>
          <cell r="K280">
            <v>964.21999999999991</v>
          </cell>
          <cell r="L280">
            <v>528.95000000000005</v>
          </cell>
        </row>
        <row r="281">
          <cell r="A281">
            <v>33</v>
          </cell>
          <cell r="B281">
            <v>2804</v>
          </cell>
          <cell r="C281">
            <v>6700</v>
          </cell>
          <cell r="D281">
            <v>5187.07125</v>
          </cell>
          <cell r="E281">
            <v>6724.6674999999996</v>
          </cell>
          <cell r="F281">
            <v>5219.04</v>
          </cell>
          <cell r="G281">
            <v>33</v>
          </cell>
          <cell r="H281">
            <v>515.29999999999995</v>
          </cell>
          <cell r="I281">
            <v>940.3</v>
          </cell>
          <cell r="J281">
            <v>498.23124999999999</v>
          </cell>
          <cell r="K281">
            <v>964.96749999999997</v>
          </cell>
          <cell r="L281">
            <v>530.20000000000005</v>
          </cell>
        </row>
        <row r="282">
          <cell r="A282">
            <v>34</v>
          </cell>
          <cell r="B282">
            <v>2804</v>
          </cell>
          <cell r="C282">
            <v>6700</v>
          </cell>
          <cell r="D282">
            <v>5187.3525</v>
          </cell>
          <cell r="E282">
            <v>6725.415</v>
          </cell>
          <cell r="F282">
            <v>5220.29</v>
          </cell>
          <cell r="G282">
            <v>34</v>
          </cell>
          <cell r="H282">
            <v>515.29999999999995</v>
          </cell>
          <cell r="I282">
            <v>940.3</v>
          </cell>
          <cell r="J282">
            <v>498.51249999999999</v>
          </cell>
          <cell r="K282">
            <v>965.71499999999992</v>
          </cell>
          <cell r="L282">
            <v>531.45000000000005</v>
          </cell>
        </row>
        <row r="283">
          <cell r="A283">
            <v>35</v>
          </cell>
          <cell r="B283">
            <v>2804</v>
          </cell>
          <cell r="C283">
            <v>6700</v>
          </cell>
          <cell r="D283">
            <v>5187.63375</v>
          </cell>
          <cell r="E283">
            <v>6726.1625000000004</v>
          </cell>
          <cell r="F283">
            <v>5221.54</v>
          </cell>
          <cell r="G283">
            <v>35</v>
          </cell>
          <cell r="H283">
            <v>515.29999999999995</v>
          </cell>
          <cell r="I283">
            <v>940.3</v>
          </cell>
          <cell r="J283">
            <v>498.79374999999999</v>
          </cell>
          <cell r="K283">
            <v>966.46249999999998</v>
          </cell>
          <cell r="L283">
            <v>532.70000000000005</v>
          </cell>
        </row>
        <row r="284">
          <cell r="A284">
            <v>36</v>
          </cell>
          <cell r="B284">
            <v>2804</v>
          </cell>
          <cell r="C284">
            <v>6700</v>
          </cell>
          <cell r="D284">
            <v>5187.915</v>
          </cell>
          <cell r="E284">
            <v>6726.91</v>
          </cell>
          <cell r="F284">
            <v>5222.79</v>
          </cell>
          <cell r="G284">
            <v>36</v>
          </cell>
          <cell r="H284">
            <v>540.29999999999995</v>
          </cell>
          <cell r="I284">
            <v>1140.3</v>
          </cell>
          <cell r="J284">
            <v>518.125</v>
          </cell>
          <cell r="K284">
            <v>1167.21</v>
          </cell>
          <cell r="L284">
            <v>553</v>
          </cell>
        </row>
        <row r="285">
          <cell r="A285">
            <v>37</v>
          </cell>
          <cell r="B285">
            <v>2804</v>
          </cell>
          <cell r="C285">
            <v>6700</v>
          </cell>
          <cell r="D285">
            <v>5188.19625</v>
          </cell>
          <cell r="E285">
            <v>6727.6575000000003</v>
          </cell>
          <cell r="F285">
            <v>5224.04</v>
          </cell>
          <cell r="G285">
            <v>37</v>
          </cell>
          <cell r="H285">
            <v>540.29999999999995</v>
          </cell>
          <cell r="I285">
            <v>1140.3</v>
          </cell>
          <cell r="J285">
            <v>518.40625</v>
          </cell>
          <cell r="K285">
            <v>1167.9575</v>
          </cell>
          <cell r="L285">
            <v>554.25</v>
          </cell>
        </row>
        <row r="286">
          <cell r="A286">
            <v>38</v>
          </cell>
          <cell r="B286">
            <v>2804</v>
          </cell>
          <cell r="C286">
            <v>6700</v>
          </cell>
          <cell r="D286">
            <v>5188.4775</v>
          </cell>
          <cell r="E286">
            <v>6728.4049999999997</v>
          </cell>
          <cell r="F286">
            <v>5225.29</v>
          </cell>
          <cell r="G286">
            <v>38</v>
          </cell>
          <cell r="H286">
            <v>540.29999999999995</v>
          </cell>
          <cell r="I286">
            <v>1140.3</v>
          </cell>
          <cell r="J286">
            <v>518.6875</v>
          </cell>
          <cell r="K286">
            <v>1168.7049999999999</v>
          </cell>
          <cell r="L286">
            <v>555.5</v>
          </cell>
        </row>
        <row r="287">
          <cell r="A287">
            <v>39</v>
          </cell>
          <cell r="B287">
            <v>2804</v>
          </cell>
          <cell r="C287">
            <v>6700</v>
          </cell>
          <cell r="D287">
            <v>5188.75875</v>
          </cell>
          <cell r="E287">
            <v>6729.1525000000001</v>
          </cell>
          <cell r="F287">
            <v>5226.54</v>
          </cell>
          <cell r="G287">
            <v>39</v>
          </cell>
          <cell r="H287">
            <v>540.29999999999995</v>
          </cell>
          <cell r="I287">
            <v>1140.3</v>
          </cell>
          <cell r="J287">
            <v>518.96875</v>
          </cell>
          <cell r="K287">
            <v>1169.4524999999999</v>
          </cell>
          <cell r="L287">
            <v>556.75</v>
          </cell>
        </row>
        <row r="288">
          <cell r="A288">
            <v>40</v>
          </cell>
          <cell r="B288">
            <v>2804</v>
          </cell>
          <cell r="C288">
            <v>6700</v>
          </cell>
          <cell r="D288">
            <v>5189.04</v>
          </cell>
          <cell r="E288">
            <v>6729.9</v>
          </cell>
          <cell r="F288">
            <v>5227.79</v>
          </cell>
          <cell r="G288">
            <v>40</v>
          </cell>
          <cell r="H288">
            <v>540.29999999999995</v>
          </cell>
          <cell r="I288">
            <v>1140.3</v>
          </cell>
          <cell r="J288">
            <v>519.25</v>
          </cell>
          <cell r="K288">
            <v>1170.2</v>
          </cell>
          <cell r="L288">
            <v>558</v>
          </cell>
        </row>
        <row r="289">
          <cell r="A289">
            <v>41</v>
          </cell>
          <cell r="B289">
            <v>2804</v>
          </cell>
          <cell r="C289">
            <v>6700</v>
          </cell>
          <cell r="D289">
            <v>5189.32125</v>
          </cell>
          <cell r="E289">
            <v>6730.6475</v>
          </cell>
          <cell r="F289">
            <v>5229.04</v>
          </cell>
          <cell r="G289">
            <v>41</v>
          </cell>
          <cell r="H289">
            <v>540.29999999999995</v>
          </cell>
          <cell r="I289">
            <v>1140.3</v>
          </cell>
          <cell r="J289">
            <v>519.53125</v>
          </cell>
          <cell r="K289">
            <v>1170.9475</v>
          </cell>
          <cell r="L289">
            <v>559.25</v>
          </cell>
        </row>
        <row r="290">
          <cell r="A290">
            <v>42</v>
          </cell>
          <cell r="B290">
            <v>2804</v>
          </cell>
          <cell r="C290">
            <v>6700</v>
          </cell>
          <cell r="D290">
            <v>5189.6025</v>
          </cell>
          <cell r="E290">
            <v>6731.3950000000004</v>
          </cell>
          <cell r="F290">
            <v>5230.29</v>
          </cell>
          <cell r="G290">
            <v>42</v>
          </cell>
          <cell r="H290">
            <v>540.29999999999995</v>
          </cell>
          <cell r="I290">
            <v>1140.3</v>
          </cell>
          <cell r="J290">
            <v>519.8125</v>
          </cell>
          <cell r="K290">
            <v>1171.6949999999999</v>
          </cell>
          <cell r="L290">
            <v>560.5</v>
          </cell>
        </row>
        <row r="291">
          <cell r="A291">
            <v>43</v>
          </cell>
          <cell r="B291">
            <v>2804</v>
          </cell>
          <cell r="C291">
            <v>6700</v>
          </cell>
          <cell r="D291">
            <v>5189.88375</v>
          </cell>
          <cell r="E291">
            <v>6732.1424999999999</v>
          </cell>
          <cell r="F291">
            <v>5231.54</v>
          </cell>
          <cell r="G291">
            <v>43</v>
          </cell>
          <cell r="H291">
            <v>540.29999999999995</v>
          </cell>
          <cell r="I291">
            <v>1140.3</v>
          </cell>
          <cell r="J291">
            <v>520.09375</v>
          </cell>
          <cell r="K291">
            <v>1172.4424999999999</v>
          </cell>
          <cell r="L291">
            <v>561.75</v>
          </cell>
        </row>
        <row r="292">
          <cell r="A292">
            <v>44</v>
          </cell>
          <cell r="B292">
            <v>2804</v>
          </cell>
          <cell r="C292">
            <v>6700</v>
          </cell>
          <cell r="D292">
            <v>5190.165</v>
          </cell>
          <cell r="E292">
            <v>6732.89</v>
          </cell>
          <cell r="F292">
            <v>5232.79</v>
          </cell>
          <cell r="G292">
            <v>44</v>
          </cell>
          <cell r="H292">
            <v>540.29999999999995</v>
          </cell>
          <cell r="I292">
            <v>1140.3</v>
          </cell>
          <cell r="J292">
            <v>520.375</v>
          </cell>
          <cell r="K292">
            <v>1173.19</v>
          </cell>
          <cell r="L292">
            <v>563</v>
          </cell>
        </row>
        <row r="293">
          <cell r="A293">
            <v>45</v>
          </cell>
          <cell r="B293">
            <v>2804</v>
          </cell>
          <cell r="C293">
            <v>6700</v>
          </cell>
          <cell r="D293">
            <v>5190.44625</v>
          </cell>
          <cell r="E293">
            <v>6733.6374999999998</v>
          </cell>
          <cell r="F293">
            <v>5234.04</v>
          </cell>
          <cell r="G293">
            <v>45</v>
          </cell>
          <cell r="H293">
            <v>540.29999999999995</v>
          </cell>
          <cell r="I293">
            <v>1140.3</v>
          </cell>
          <cell r="J293">
            <v>520.65625</v>
          </cell>
          <cell r="K293">
            <v>1173.9375</v>
          </cell>
          <cell r="L293">
            <v>564.25</v>
          </cell>
        </row>
        <row r="294">
          <cell r="A294">
            <v>46</v>
          </cell>
          <cell r="B294">
            <v>2804</v>
          </cell>
          <cell r="C294">
            <v>6700</v>
          </cell>
          <cell r="D294">
            <v>5190.7275</v>
          </cell>
          <cell r="E294">
            <v>6734.3850000000002</v>
          </cell>
          <cell r="F294">
            <v>5235.29</v>
          </cell>
          <cell r="G294">
            <v>46</v>
          </cell>
          <cell r="H294">
            <v>540.29999999999995</v>
          </cell>
          <cell r="I294">
            <v>1140.3</v>
          </cell>
          <cell r="J294">
            <v>520.9375</v>
          </cell>
          <cell r="K294">
            <v>1174.6849999999999</v>
          </cell>
          <cell r="L294">
            <v>565.5</v>
          </cell>
        </row>
        <row r="295">
          <cell r="A295">
            <v>47</v>
          </cell>
          <cell r="B295">
            <v>2804</v>
          </cell>
          <cell r="C295">
            <v>6700</v>
          </cell>
          <cell r="D295">
            <v>5191.00875</v>
          </cell>
          <cell r="E295">
            <v>6735.1324999999997</v>
          </cell>
          <cell r="F295">
            <v>5236.54</v>
          </cell>
          <cell r="G295">
            <v>47</v>
          </cell>
          <cell r="H295">
            <v>540.29999999999995</v>
          </cell>
          <cell r="I295">
            <v>1140.3</v>
          </cell>
          <cell r="J295">
            <v>521.21875</v>
          </cell>
          <cell r="K295">
            <v>1175.4324999999999</v>
          </cell>
          <cell r="L295">
            <v>566.75</v>
          </cell>
        </row>
        <row r="296">
          <cell r="A296">
            <v>48</v>
          </cell>
          <cell r="B296">
            <v>2804</v>
          </cell>
          <cell r="C296">
            <v>6700</v>
          </cell>
          <cell r="D296">
            <v>5191.29</v>
          </cell>
          <cell r="E296">
            <v>6735.88</v>
          </cell>
          <cell r="F296">
            <v>5237.79</v>
          </cell>
          <cell r="G296">
            <v>48</v>
          </cell>
          <cell r="H296">
            <v>540.29999999999995</v>
          </cell>
          <cell r="I296">
            <v>1140.3</v>
          </cell>
          <cell r="J296">
            <v>521.5</v>
          </cell>
          <cell r="K296">
            <v>1176.1799999999998</v>
          </cell>
          <cell r="L296">
            <v>568</v>
          </cell>
        </row>
        <row r="297">
          <cell r="A297">
            <v>49</v>
          </cell>
          <cell r="B297">
            <v>2804</v>
          </cell>
          <cell r="C297">
            <v>6700</v>
          </cell>
          <cell r="D297">
            <v>5191.57125</v>
          </cell>
          <cell r="E297">
            <v>6736.6274999999996</v>
          </cell>
          <cell r="F297">
            <v>5239.04</v>
          </cell>
          <cell r="G297">
            <v>49</v>
          </cell>
          <cell r="H297">
            <v>540.29999999999995</v>
          </cell>
          <cell r="I297">
            <v>1140.3</v>
          </cell>
          <cell r="J297">
            <v>521.78125</v>
          </cell>
          <cell r="K297">
            <v>1176.9275</v>
          </cell>
          <cell r="L297">
            <v>569.25</v>
          </cell>
        </row>
        <row r="298">
          <cell r="A298">
            <v>50</v>
          </cell>
          <cell r="B298">
            <v>2804</v>
          </cell>
          <cell r="C298">
            <v>6700</v>
          </cell>
          <cell r="D298">
            <v>5191.8525</v>
          </cell>
          <cell r="E298">
            <v>6737.375</v>
          </cell>
          <cell r="F298">
            <v>5240.29</v>
          </cell>
          <cell r="G298">
            <v>50</v>
          </cell>
          <cell r="H298">
            <v>565.29999999999995</v>
          </cell>
          <cell r="I298">
            <v>1455.3</v>
          </cell>
          <cell r="J298">
            <v>966.5625</v>
          </cell>
          <cell r="K298">
            <v>1492.675</v>
          </cell>
          <cell r="L298">
            <v>1015</v>
          </cell>
        </row>
        <row r="299">
          <cell r="A299">
            <v>51</v>
          </cell>
          <cell r="B299">
            <v>2804</v>
          </cell>
          <cell r="C299">
            <v>6700</v>
          </cell>
          <cell r="D299">
            <v>5192.13375</v>
          </cell>
          <cell r="E299">
            <v>6738.1225000000004</v>
          </cell>
          <cell r="F299">
            <v>5241.54</v>
          </cell>
          <cell r="G299">
            <v>51</v>
          </cell>
          <cell r="H299">
            <v>565.29999999999995</v>
          </cell>
          <cell r="I299">
            <v>1455.3</v>
          </cell>
          <cell r="J299">
            <v>966.84375</v>
          </cell>
          <cell r="K299">
            <v>1493.4224999999999</v>
          </cell>
          <cell r="L299">
            <v>1016.25</v>
          </cell>
        </row>
        <row r="300">
          <cell r="A300">
            <v>52</v>
          </cell>
          <cell r="B300">
            <v>2804</v>
          </cell>
          <cell r="C300">
            <v>6700</v>
          </cell>
          <cell r="D300">
            <v>5192.415</v>
          </cell>
          <cell r="E300">
            <v>6738.87</v>
          </cell>
          <cell r="F300">
            <v>5242.79</v>
          </cell>
          <cell r="G300">
            <v>52</v>
          </cell>
          <cell r="H300">
            <v>565.29999999999995</v>
          </cell>
          <cell r="I300">
            <v>1455.3</v>
          </cell>
          <cell r="J300">
            <v>967.125</v>
          </cell>
          <cell r="K300">
            <v>1494.1699999999998</v>
          </cell>
          <cell r="L300">
            <v>1017.5</v>
          </cell>
        </row>
        <row r="301">
          <cell r="A301">
            <v>53</v>
          </cell>
          <cell r="B301">
            <v>2804</v>
          </cell>
          <cell r="C301">
            <v>6700</v>
          </cell>
          <cell r="D301">
            <v>5192.69625</v>
          </cell>
          <cell r="E301">
            <v>6739.6175000000003</v>
          </cell>
          <cell r="F301">
            <v>5244.04</v>
          </cell>
          <cell r="G301">
            <v>53</v>
          </cell>
          <cell r="H301">
            <v>565.29999999999995</v>
          </cell>
          <cell r="I301">
            <v>1455.3</v>
          </cell>
          <cell r="J301">
            <v>967.40625</v>
          </cell>
          <cell r="K301">
            <v>1494.9175</v>
          </cell>
          <cell r="L301">
            <v>1018.75</v>
          </cell>
        </row>
        <row r="302">
          <cell r="A302">
            <v>54</v>
          </cell>
          <cell r="B302">
            <v>2804</v>
          </cell>
          <cell r="C302">
            <v>6700</v>
          </cell>
          <cell r="D302">
            <v>5192.9775</v>
          </cell>
          <cell r="E302">
            <v>6740.3649999999998</v>
          </cell>
          <cell r="F302">
            <v>5245.29</v>
          </cell>
          <cell r="G302">
            <v>54</v>
          </cell>
          <cell r="H302">
            <v>565.29999999999995</v>
          </cell>
          <cell r="I302">
            <v>1455.3</v>
          </cell>
          <cell r="J302">
            <v>967.6875</v>
          </cell>
          <cell r="K302">
            <v>1495.665</v>
          </cell>
          <cell r="L302">
            <v>1020</v>
          </cell>
        </row>
        <row r="303">
          <cell r="A303">
            <v>55</v>
          </cell>
          <cell r="B303">
            <v>2804</v>
          </cell>
          <cell r="C303">
            <v>6700</v>
          </cell>
          <cell r="D303">
            <v>5193.25875</v>
          </cell>
          <cell r="E303">
            <v>6741.1125000000002</v>
          </cell>
          <cell r="F303">
            <v>5246.54</v>
          </cell>
          <cell r="G303">
            <v>55</v>
          </cell>
          <cell r="H303">
            <v>565.29999999999995</v>
          </cell>
          <cell r="I303">
            <v>1455.3</v>
          </cell>
          <cell r="J303">
            <v>967.96875</v>
          </cell>
          <cell r="K303">
            <v>1496.4124999999999</v>
          </cell>
          <cell r="L303">
            <v>1021.25</v>
          </cell>
        </row>
        <row r="304">
          <cell r="A304">
            <v>56</v>
          </cell>
          <cell r="B304">
            <v>2804</v>
          </cell>
          <cell r="C304">
            <v>6700</v>
          </cell>
          <cell r="D304">
            <v>5193.54</v>
          </cell>
          <cell r="E304">
            <v>6741.86</v>
          </cell>
          <cell r="F304">
            <v>5247.79</v>
          </cell>
          <cell r="G304">
            <v>56</v>
          </cell>
          <cell r="H304">
            <v>565.29999999999995</v>
          </cell>
          <cell r="I304">
            <v>1455.3</v>
          </cell>
          <cell r="J304">
            <v>968.25</v>
          </cell>
          <cell r="K304">
            <v>1497.1599999999999</v>
          </cell>
          <cell r="L304">
            <v>1022.5</v>
          </cell>
        </row>
        <row r="305">
          <cell r="A305">
            <v>57</v>
          </cell>
          <cell r="B305">
            <v>2804</v>
          </cell>
          <cell r="C305">
            <v>6700</v>
          </cell>
          <cell r="D305">
            <v>5193.82125</v>
          </cell>
          <cell r="E305">
            <v>6742.6075000000001</v>
          </cell>
          <cell r="F305">
            <v>5249.04</v>
          </cell>
          <cell r="G305">
            <v>57</v>
          </cell>
          <cell r="H305">
            <v>565.29999999999995</v>
          </cell>
          <cell r="I305">
            <v>1455.3</v>
          </cell>
          <cell r="J305">
            <v>968.53125</v>
          </cell>
          <cell r="K305">
            <v>1497.9075</v>
          </cell>
          <cell r="L305">
            <v>1023.75</v>
          </cell>
        </row>
        <row r="306">
          <cell r="A306">
            <v>58</v>
          </cell>
          <cell r="B306">
            <v>2804</v>
          </cell>
          <cell r="C306">
            <v>6700</v>
          </cell>
          <cell r="D306">
            <v>5194.1025</v>
          </cell>
          <cell r="E306">
            <v>6743.3549999999996</v>
          </cell>
          <cell r="F306">
            <v>5250.29</v>
          </cell>
          <cell r="G306">
            <v>58</v>
          </cell>
          <cell r="H306">
            <v>565.29999999999995</v>
          </cell>
          <cell r="I306">
            <v>1455.3</v>
          </cell>
          <cell r="J306">
            <v>968.8125</v>
          </cell>
          <cell r="K306">
            <v>1498.655</v>
          </cell>
          <cell r="L306">
            <v>1025</v>
          </cell>
        </row>
        <row r="307">
          <cell r="A307">
            <v>59</v>
          </cell>
          <cell r="B307">
            <v>2804</v>
          </cell>
          <cell r="C307">
            <v>6700</v>
          </cell>
          <cell r="D307">
            <v>5194.38375</v>
          </cell>
          <cell r="E307">
            <v>6744.1025</v>
          </cell>
          <cell r="F307">
            <v>5251.54</v>
          </cell>
          <cell r="G307">
            <v>59</v>
          </cell>
          <cell r="H307">
            <v>565.29999999999995</v>
          </cell>
          <cell r="I307">
            <v>1455.3</v>
          </cell>
          <cell r="J307">
            <v>969.09375</v>
          </cell>
          <cell r="K307">
            <v>1499.4024999999999</v>
          </cell>
          <cell r="L307">
            <v>1026.25</v>
          </cell>
        </row>
        <row r="308">
          <cell r="A308">
            <v>60</v>
          </cell>
          <cell r="B308">
            <v>2804</v>
          </cell>
          <cell r="C308">
            <v>6700</v>
          </cell>
          <cell r="D308">
            <v>5194.665</v>
          </cell>
          <cell r="E308">
            <v>6744.85</v>
          </cell>
          <cell r="F308">
            <v>5252.79</v>
          </cell>
          <cell r="G308">
            <v>60</v>
          </cell>
          <cell r="H308">
            <v>1040.3</v>
          </cell>
          <cell r="I308">
            <v>1690.3</v>
          </cell>
          <cell r="J308">
            <v>1540.875</v>
          </cell>
          <cell r="K308">
            <v>1735.1499999999999</v>
          </cell>
          <cell r="L308">
            <v>1599</v>
          </cell>
        </row>
        <row r="309">
          <cell r="A309">
            <v>61</v>
          </cell>
          <cell r="B309">
            <v>2804</v>
          </cell>
          <cell r="C309">
            <v>6700</v>
          </cell>
          <cell r="D309">
            <v>5194.94625</v>
          </cell>
          <cell r="E309">
            <v>6745.5974999999999</v>
          </cell>
          <cell r="F309">
            <v>5254.04</v>
          </cell>
          <cell r="G309">
            <v>61</v>
          </cell>
          <cell r="H309">
            <v>1040.3</v>
          </cell>
          <cell r="I309">
            <v>1690.3</v>
          </cell>
          <cell r="J309">
            <v>1541.15625</v>
          </cell>
          <cell r="K309">
            <v>1735.8975</v>
          </cell>
          <cell r="L309">
            <v>1600.25</v>
          </cell>
        </row>
        <row r="310">
          <cell r="A310">
            <v>62</v>
          </cell>
          <cell r="B310">
            <v>2804</v>
          </cell>
          <cell r="C310">
            <v>6700</v>
          </cell>
          <cell r="D310">
            <v>5195.2275</v>
          </cell>
          <cell r="E310">
            <v>6746.3450000000003</v>
          </cell>
          <cell r="F310">
            <v>5255.29</v>
          </cell>
          <cell r="G310">
            <v>62</v>
          </cell>
          <cell r="H310">
            <v>1040.3</v>
          </cell>
          <cell r="I310">
            <v>1690.3</v>
          </cell>
          <cell r="J310">
            <v>1541.4375</v>
          </cell>
          <cell r="K310">
            <v>1736.645</v>
          </cell>
          <cell r="L310">
            <v>1601.5</v>
          </cell>
        </row>
        <row r="311">
          <cell r="A311">
            <v>63</v>
          </cell>
          <cell r="B311">
            <v>2804</v>
          </cell>
          <cell r="C311">
            <v>6700</v>
          </cell>
          <cell r="D311">
            <v>5195.50875</v>
          </cell>
          <cell r="E311">
            <v>6747.0924999999997</v>
          </cell>
          <cell r="F311">
            <v>5256.54</v>
          </cell>
          <cell r="G311">
            <v>63</v>
          </cell>
          <cell r="H311">
            <v>1040.3</v>
          </cell>
          <cell r="I311">
            <v>1690.3</v>
          </cell>
          <cell r="J311">
            <v>1541.71875</v>
          </cell>
          <cell r="K311">
            <v>1737.3924999999999</v>
          </cell>
          <cell r="L311">
            <v>1602.75</v>
          </cell>
        </row>
        <row r="312">
          <cell r="A312">
            <v>64</v>
          </cell>
          <cell r="B312">
            <v>2804</v>
          </cell>
          <cell r="C312">
            <v>6700</v>
          </cell>
          <cell r="D312">
            <v>5195.79</v>
          </cell>
          <cell r="E312">
            <v>6747.84</v>
          </cell>
          <cell r="F312">
            <v>5257.79</v>
          </cell>
          <cell r="G312">
            <v>64</v>
          </cell>
          <cell r="H312">
            <v>1040.3</v>
          </cell>
          <cell r="I312">
            <v>1690.3</v>
          </cell>
          <cell r="J312">
            <v>1542</v>
          </cell>
          <cell r="K312">
            <v>1738.1399999999999</v>
          </cell>
          <cell r="L312">
            <v>1604</v>
          </cell>
        </row>
        <row r="313">
          <cell r="A313">
            <v>65</v>
          </cell>
          <cell r="B313">
            <v>2804</v>
          </cell>
          <cell r="C313">
            <v>6700</v>
          </cell>
          <cell r="D313">
            <v>5196.07125</v>
          </cell>
          <cell r="E313">
            <v>6748.5874999999996</v>
          </cell>
          <cell r="F313">
            <v>5259.04</v>
          </cell>
          <cell r="G313">
            <v>65</v>
          </cell>
          <cell r="H313">
            <v>1040.3</v>
          </cell>
          <cell r="I313">
            <v>1690.3</v>
          </cell>
          <cell r="J313">
            <v>1542.28125</v>
          </cell>
          <cell r="K313">
            <v>1738.8875</v>
          </cell>
          <cell r="L313">
            <v>1605.25</v>
          </cell>
        </row>
        <row r="314">
          <cell r="A314">
            <v>66</v>
          </cell>
          <cell r="B314">
            <v>2804</v>
          </cell>
          <cell r="C314">
            <v>6700</v>
          </cell>
          <cell r="D314">
            <v>5196.3525</v>
          </cell>
          <cell r="E314">
            <v>6749.335</v>
          </cell>
          <cell r="F314">
            <v>5260.29</v>
          </cell>
          <cell r="G314">
            <v>66</v>
          </cell>
          <cell r="H314">
            <v>1040.3</v>
          </cell>
          <cell r="I314">
            <v>1690.3</v>
          </cell>
          <cell r="J314">
            <v>1542.5625</v>
          </cell>
          <cell r="K314">
            <v>1739.635</v>
          </cell>
          <cell r="L314">
            <v>1606.5</v>
          </cell>
        </row>
        <row r="315">
          <cell r="A315">
            <v>67</v>
          </cell>
          <cell r="B315">
            <v>2804</v>
          </cell>
          <cell r="C315">
            <v>6700</v>
          </cell>
          <cell r="D315">
            <v>5196.63375</v>
          </cell>
          <cell r="E315">
            <v>6750.0825000000004</v>
          </cell>
          <cell r="F315">
            <v>5261.54</v>
          </cell>
          <cell r="G315">
            <v>67</v>
          </cell>
          <cell r="H315">
            <v>1040.3</v>
          </cell>
          <cell r="I315">
            <v>1690.3</v>
          </cell>
          <cell r="J315">
            <v>1542.84375</v>
          </cell>
          <cell r="K315">
            <v>1740.3824999999999</v>
          </cell>
          <cell r="L315">
            <v>1607.75</v>
          </cell>
        </row>
        <row r="316">
          <cell r="A316">
            <v>68</v>
          </cell>
          <cell r="B316">
            <v>2804</v>
          </cell>
          <cell r="C316">
            <v>6700</v>
          </cell>
          <cell r="D316">
            <v>5196.915</v>
          </cell>
          <cell r="E316">
            <v>6750.83</v>
          </cell>
          <cell r="F316">
            <v>5262.79</v>
          </cell>
          <cell r="G316">
            <v>68</v>
          </cell>
          <cell r="H316">
            <v>1040.3</v>
          </cell>
          <cell r="I316">
            <v>1690.3</v>
          </cell>
          <cell r="J316">
            <v>1543.125</v>
          </cell>
          <cell r="K316">
            <v>1741.1299999999999</v>
          </cell>
          <cell r="L316">
            <v>1609</v>
          </cell>
        </row>
        <row r="317">
          <cell r="A317">
            <v>69</v>
          </cell>
          <cell r="B317">
            <v>2804</v>
          </cell>
          <cell r="C317">
            <v>6700</v>
          </cell>
          <cell r="D317">
            <v>5197.19625</v>
          </cell>
          <cell r="E317">
            <v>6751.5775000000003</v>
          </cell>
          <cell r="F317">
            <v>5264.04</v>
          </cell>
          <cell r="G317">
            <v>69</v>
          </cell>
          <cell r="H317">
            <v>1040.3</v>
          </cell>
          <cell r="I317">
            <v>1690.3</v>
          </cell>
          <cell r="J317">
            <v>1543.40625</v>
          </cell>
          <cell r="K317">
            <v>1741.8775000000001</v>
          </cell>
          <cell r="L317">
            <v>1610.25</v>
          </cell>
        </row>
        <row r="318">
          <cell r="A318">
            <v>70</v>
          </cell>
          <cell r="B318">
            <v>2804</v>
          </cell>
          <cell r="C318">
            <v>6700</v>
          </cell>
          <cell r="D318">
            <v>5197.4775</v>
          </cell>
          <cell r="E318">
            <v>6752.3249999999998</v>
          </cell>
          <cell r="F318">
            <v>5265.29</v>
          </cell>
          <cell r="G318">
            <v>70</v>
          </cell>
          <cell r="H318">
            <v>1040.3</v>
          </cell>
          <cell r="I318">
            <v>1690.3</v>
          </cell>
          <cell r="J318">
            <v>1543.6875</v>
          </cell>
          <cell r="K318">
            <v>1742.625</v>
          </cell>
          <cell r="L318">
            <v>1611.5</v>
          </cell>
        </row>
        <row r="319">
          <cell r="A319">
            <v>71</v>
          </cell>
          <cell r="B319">
            <v>2804</v>
          </cell>
          <cell r="C319">
            <v>6700</v>
          </cell>
          <cell r="D319">
            <v>5197.75875</v>
          </cell>
          <cell r="E319">
            <v>6753.0725000000002</v>
          </cell>
          <cell r="F319">
            <v>5266.54</v>
          </cell>
          <cell r="G319">
            <v>71</v>
          </cell>
          <cell r="H319">
            <v>1040.3</v>
          </cell>
          <cell r="I319">
            <v>1690.3</v>
          </cell>
          <cell r="J319">
            <v>1543.96875</v>
          </cell>
          <cell r="K319">
            <v>1743.3724999999999</v>
          </cell>
          <cell r="L319">
            <v>1612.75</v>
          </cell>
        </row>
        <row r="320">
          <cell r="A320">
            <v>72</v>
          </cell>
          <cell r="B320">
            <v>2804</v>
          </cell>
          <cell r="C320">
            <v>6700</v>
          </cell>
          <cell r="D320">
            <v>5198.04</v>
          </cell>
          <cell r="E320">
            <v>6753.82</v>
          </cell>
          <cell r="F320">
            <v>5267.79</v>
          </cell>
          <cell r="G320">
            <v>72</v>
          </cell>
          <cell r="H320">
            <v>1040.3</v>
          </cell>
          <cell r="I320">
            <v>1690.3</v>
          </cell>
          <cell r="J320">
            <v>1544.25</v>
          </cell>
          <cell r="K320">
            <v>1744.12</v>
          </cell>
          <cell r="L320">
            <v>1614</v>
          </cell>
        </row>
        <row r="321">
          <cell r="A321">
            <v>73</v>
          </cell>
          <cell r="B321">
            <v>2804</v>
          </cell>
          <cell r="C321">
            <v>6700</v>
          </cell>
          <cell r="D321">
            <v>5198.32125</v>
          </cell>
          <cell r="E321">
            <v>6754.5675000000001</v>
          </cell>
          <cell r="F321">
            <v>5269.04</v>
          </cell>
          <cell r="G321">
            <v>73</v>
          </cell>
          <cell r="H321">
            <v>1040.3</v>
          </cell>
          <cell r="I321">
            <v>1690.3</v>
          </cell>
          <cell r="J321">
            <v>1544.53125</v>
          </cell>
          <cell r="K321">
            <v>1744.8674999999998</v>
          </cell>
          <cell r="L321">
            <v>1615.25</v>
          </cell>
        </row>
        <row r="322">
          <cell r="A322">
            <v>74</v>
          </cell>
          <cell r="B322">
            <v>2804</v>
          </cell>
          <cell r="C322">
            <v>6700</v>
          </cell>
          <cell r="D322">
            <v>5198.6025</v>
          </cell>
          <cell r="E322">
            <v>6755.3149999999996</v>
          </cell>
          <cell r="F322">
            <v>5270.29</v>
          </cell>
          <cell r="G322">
            <v>74</v>
          </cell>
          <cell r="H322">
            <v>1040.3</v>
          </cell>
          <cell r="I322">
            <v>1690.3</v>
          </cell>
          <cell r="J322">
            <v>1544.8125</v>
          </cell>
          <cell r="K322">
            <v>1745.615</v>
          </cell>
          <cell r="L322">
            <v>1616.5</v>
          </cell>
        </row>
        <row r="323">
          <cell r="A323">
            <v>75</v>
          </cell>
          <cell r="B323">
            <v>2804</v>
          </cell>
          <cell r="C323">
            <v>6700</v>
          </cell>
          <cell r="D323">
            <v>5198.88375</v>
          </cell>
          <cell r="E323">
            <v>6756.0625</v>
          </cell>
          <cell r="F323">
            <v>5271.54</v>
          </cell>
          <cell r="G323">
            <v>75</v>
          </cell>
          <cell r="H323">
            <v>1040.3</v>
          </cell>
          <cell r="I323">
            <v>1690.3</v>
          </cell>
          <cell r="J323">
            <v>1545.09375</v>
          </cell>
          <cell r="K323">
            <v>1746.3625</v>
          </cell>
          <cell r="L323">
            <v>1617.75</v>
          </cell>
        </row>
        <row r="324">
          <cell r="A324">
            <v>76</v>
          </cell>
          <cell r="B324">
            <v>2804</v>
          </cell>
          <cell r="C324">
            <v>6700</v>
          </cell>
          <cell r="D324">
            <v>5199.165</v>
          </cell>
          <cell r="E324">
            <v>6756.81</v>
          </cell>
          <cell r="F324">
            <v>5272.79</v>
          </cell>
          <cell r="G324">
            <v>76</v>
          </cell>
          <cell r="H324">
            <v>1040.3</v>
          </cell>
          <cell r="I324">
            <v>1690.3</v>
          </cell>
          <cell r="J324">
            <v>1545.375</v>
          </cell>
          <cell r="K324">
            <v>1747.11</v>
          </cell>
          <cell r="L324">
            <v>1619</v>
          </cell>
        </row>
        <row r="325">
          <cell r="A325">
            <v>77</v>
          </cell>
          <cell r="B325">
            <v>2804</v>
          </cell>
          <cell r="C325">
            <v>6700</v>
          </cell>
          <cell r="D325">
            <v>5199.44625</v>
          </cell>
          <cell r="E325">
            <v>6757.5574999999999</v>
          </cell>
          <cell r="F325">
            <v>5274.04</v>
          </cell>
          <cell r="G325">
            <v>77</v>
          </cell>
          <cell r="H325">
            <v>1040.3</v>
          </cell>
          <cell r="I325">
            <v>1690.3</v>
          </cell>
          <cell r="J325">
            <v>1545.65625</v>
          </cell>
          <cell r="K325">
            <v>1747.8574999999998</v>
          </cell>
          <cell r="L325">
            <v>1620.25</v>
          </cell>
        </row>
        <row r="326">
          <cell r="A326">
            <v>78</v>
          </cell>
          <cell r="B326">
            <v>2804</v>
          </cell>
          <cell r="C326">
            <v>6700</v>
          </cell>
          <cell r="D326">
            <v>5199.7275</v>
          </cell>
          <cell r="E326">
            <v>6758.3050000000003</v>
          </cell>
          <cell r="F326">
            <v>5275.29</v>
          </cell>
          <cell r="G326">
            <v>78</v>
          </cell>
          <cell r="H326">
            <v>1040.3</v>
          </cell>
          <cell r="I326">
            <v>1690.3</v>
          </cell>
          <cell r="J326">
            <v>1545.9375</v>
          </cell>
          <cell r="K326">
            <v>1748.605</v>
          </cell>
          <cell r="L326">
            <v>1621.5</v>
          </cell>
        </row>
        <row r="327">
          <cell r="A327">
            <v>79</v>
          </cell>
          <cell r="B327">
            <v>2804</v>
          </cell>
          <cell r="C327">
            <v>6700</v>
          </cell>
          <cell r="D327">
            <v>5200.00875</v>
          </cell>
          <cell r="E327">
            <v>6759.0524999999998</v>
          </cell>
          <cell r="F327">
            <v>5276.54</v>
          </cell>
          <cell r="G327">
            <v>79</v>
          </cell>
          <cell r="H327">
            <v>1040.3</v>
          </cell>
          <cell r="I327">
            <v>1690.3</v>
          </cell>
          <cell r="J327">
            <v>1546.21875</v>
          </cell>
          <cell r="K327">
            <v>1749.3525</v>
          </cell>
          <cell r="L327">
            <v>1622.75</v>
          </cell>
        </row>
        <row r="328">
          <cell r="A328">
            <v>80</v>
          </cell>
          <cell r="B328">
            <v>2804</v>
          </cell>
          <cell r="C328">
            <v>6700</v>
          </cell>
          <cell r="D328">
            <v>5200.29</v>
          </cell>
          <cell r="E328">
            <v>6759.8</v>
          </cell>
          <cell r="F328">
            <v>5277.79</v>
          </cell>
          <cell r="G328">
            <v>80</v>
          </cell>
          <cell r="H328">
            <v>1040.3</v>
          </cell>
          <cell r="I328">
            <v>1690.3</v>
          </cell>
          <cell r="J328">
            <v>1546.5</v>
          </cell>
          <cell r="K328">
            <v>1750.1</v>
          </cell>
          <cell r="L328">
            <v>1624</v>
          </cell>
        </row>
        <row r="329">
          <cell r="A329">
            <v>81</v>
          </cell>
          <cell r="B329">
            <v>2804</v>
          </cell>
          <cell r="C329">
            <v>6700</v>
          </cell>
          <cell r="D329">
            <v>5200.57125</v>
          </cell>
          <cell r="E329">
            <v>6760.5474999999997</v>
          </cell>
          <cell r="F329">
            <v>5279.04</v>
          </cell>
          <cell r="G329">
            <v>81</v>
          </cell>
          <cell r="H329">
            <v>1640.3</v>
          </cell>
          <cell r="I329">
            <v>2590.3000000000002</v>
          </cell>
          <cell r="J329">
            <v>2562.78125</v>
          </cell>
          <cell r="K329">
            <v>2650.8475000000003</v>
          </cell>
          <cell r="L329">
            <v>2641.25</v>
          </cell>
        </row>
        <row r="330">
          <cell r="A330">
            <v>82</v>
          </cell>
          <cell r="B330">
            <v>2804</v>
          </cell>
          <cell r="C330">
            <v>6700</v>
          </cell>
          <cell r="D330">
            <v>5200.8525</v>
          </cell>
          <cell r="E330">
            <v>6761.2950000000001</v>
          </cell>
          <cell r="F330">
            <v>5280.29</v>
          </cell>
          <cell r="G330">
            <v>82</v>
          </cell>
          <cell r="H330">
            <v>1640.3</v>
          </cell>
          <cell r="I330">
            <v>2590.3000000000002</v>
          </cell>
          <cell r="J330">
            <v>2563.0625</v>
          </cell>
          <cell r="K330">
            <v>2651.5950000000003</v>
          </cell>
          <cell r="L330">
            <v>2642.5</v>
          </cell>
        </row>
        <row r="331">
          <cell r="A331">
            <v>83</v>
          </cell>
          <cell r="B331">
            <v>2804</v>
          </cell>
          <cell r="C331">
            <v>6700</v>
          </cell>
          <cell r="D331">
            <v>5201.13375</v>
          </cell>
          <cell r="E331">
            <v>6762.0424999999996</v>
          </cell>
          <cell r="F331">
            <v>5281.54</v>
          </cell>
          <cell r="G331">
            <v>83</v>
          </cell>
          <cell r="H331">
            <v>1640.3</v>
          </cell>
          <cell r="I331">
            <v>2590.3000000000002</v>
          </cell>
          <cell r="J331">
            <v>2563.34375</v>
          </cell>
          <cell r="K331">
            <v>2652.3425000000002</v>
          </cell>
          <cell r="L331">
            <v>2643.75</v>
          </cell>
        </row>
        <row r="332">
          <cell r="A332">
            <v>84</v>
          </cell>
          <cell r="B332">
            <v>2804</v>
          </cell>
          <cell r="C332">
            <v>6700</v>
          </cell>
          <cell r="D332">
            <v>5201.415</v>
          </cell>
          <cell r="E332">
            <v>6762.79</v>
          </cell>
          <cell r="F332">
            <v>5282.79</v>
          </cell>
          <cell r="G332">
            <v>84</v>
          </cell>
          <cell r="H332">
            <v>1640.3</v>
          </cell>
          <cell r="I332">
            <v>2590.3000000000002</v>
          </cell>
          <cell r="J332">
            <v>2563.625</v>
          </cell>
          <cell r="K332">
            <v>2653.09</v>
          </cell>
          <cell r="L332">
            <v>2645</v>
          </cell>
        </row>
        <row r="333">
          <cell r="A333">
            <v>85</v>
          </cell>
          <cell r="B333">
            <v>2804</v>
          </cell>
          <cell r="C333">
            <v>6700</v>
          </cell>
          <cell r="D333">
            <v>5201.69625</v>
          </cell>
          <cell r="E333">
            <v>6763.5375000000004</v>
          </cell>
          <cell r="F333">
            <v>5284.04</v>
          </cell>
          <cell r="G333">
            <v>85</v>
          </cell>
          <cell r="H333">
            <v>1640.3</v>
          </cell>
          <cell r="I333">
            <v>2590.3000000000002</v>
          </cell>
          <cell r="J333">
            <v>2563.90625</v>
          </cell>
          <cell r="K333">
            <v>2653.8375000000001</v>
          </cell>
          <cell r="L333">
            <v>2646.25</v>
          </cell>
        </row>
        <row r="334">
          <cell r="A334">
            <v>86</v>
          </cell>
          <cell r="B334">
            <v>2804</v>
          </cell>
          <cell r="C334">
            <v>6700</v>
          </cell>
          <cell r="D334">
            <v>5201.9775</v>
          </cell>
          <cell r="E334">
            <v>6764.2849999999999</v>
          </cell>
          <cell r="F334">
            <v>5285.29</v>
          </cell>
          <cell r="G334">
            <v>86</v>
          </cell>
          <cell r="H334">
            <v>1640.3</v>
          </cell>
          <cell r="I334">
            <v>2590.3000000000002</v>
          </cell>
          <cell r="J334">
            <v>2564.1875</v>
          </cell>
          <cell r="K334">
            <v>2654.585</v>
          </cell>
          <cell r="L334">
            <v>2647.5</v>
          </cell>
        </row>
        <row r="335">
          <cell r="A335">
            <v>87</v>
          </cell>
          <cell r="B335">
            <v>2804</v>
          </cell>
          <cell r="C335">
            <v>6700</v>
          </cell>
          <cell r="D335">
            <v>5202.25875</v>
          </cell>
          <cell r="E335">
            <v>6765.0325000000003</v>
          </cell>
          <cell r="F335">
            <v>5286.54</v>
          </cell>
          <cell r="G335">
            <v>87</v>
          </cell>
          <cell r="H335">
            <v>1640.3</v>
          </cell>
          <cell r="I335">
            <v>2590.3000000000002</v>
          </cell>
          <cell r="J335">
            <v>2564.46875</v>
          </cell>
          <cell r="K335">
            <v>2655.3325</v>
          </cell>
          <cell r="L335">
            <v>2648.75</v>
          </cell>
        </row>
        <row r="336">
          <cell r="A336">
            <v>88</v>
          </cell>
          <cell r="B336">
            <v>2804</v>
          </cell>
          <cell r="C336">
            <v>6700</v>
          </cell>
          <cell r="D336">
            <v>5202.54</v>
          </cell>
          <cell r="E336">
            <v>6765.78</v>
          </cell>
          <cell r="F336">
            <v>5287.79</v>
          </cell>
          <cell r="G336">
            <v>88</v>
          </cell>
          <cell r="H336">
            <v>1640.3</v>
          </cell>
          <cell r="I336">
            <v>2590.3000000000002</v>
          </cell>
          <cell r="J336">
            <v>2564.75</v>
          </cell>
          <cell r="K336">
            <v>2656.0800000000004</v>
          </cell>
          <cell r="L336">
            <v>2650</v>
          </cell>
        </row>
        <row r="337">
          <cell r="A337">
            <v>89</v>
          </cell>
          <cell r="B337">
            <v>2804</v>
          </cell>
          <cell r="C337">
            <v>6700</v>
          </cell>
          <cell r="D337">
            <v>5202.82125</v>
          </cell>
          <cell r="E337">
            <v>6766.5275000000001</v>
          </cell>
          <cell r="F337">
            <v>5289.04</v>
          </cell>
          <cell r="G337">
            <v>89</v>
          </cell>
          <cell r="H337">
            <v>1640.3</v>
          </cell>
          <cell r="I337">
            <v>2590.3000000000002</v>
          </cell>
          <cell r="J337">
            <v>2565.03125</v>
          </cell>
          <cell r="K337">
            <v>2656.8275000000003</v>
          </cell>
          <cell r="L337">
            <v>2651.25</v>
          </cell>
        </row>
        <row r="338">
          <cell r="A338">
            <v>90</v>
          </cell>
          <cell r="B338">
            <v>2804</v>
          </cell>
          <cell r="C338">
            <v>6700</v>
          </cell>
          <cell r="D338">
            <v>5203.1025</v>
          </cell>
          <cell r="E338">
            <v>6767.2749999999996</v>
          </cell>
          <cell r="F338">
            <v>5290.29</v>
          </cell>
          <cell r="G338">
            <v>90</v>
          </cell>
          <cell r="H338">
            <v>1640.3</v>
          </cell>
          <cell r="I338">
            <v>2590.3000000000002</v>
          </cell>
          <cell r="J338">
            <v>2565.3125</v>
          </cell>
          <cell r="K338">
            <v>2657.5750000000003</v>
          </cell>
          <cell r="L338">
            <v>2652.5</v>
          </cell>
        </row>
        <row r="339">
          <cell r="A339">
            <v>91</v>
          </cell>
          <cell r="B339">
            <v>2804</v>
          </cell>
          <cell r="C339">
            <v>6700</v>
          </cell>
          <cell r="D339">
            <v>5203.38375</v>
          </cell>
          <cell r="E339">
            <v>6768.0225</v>
          </cell>
          <cell r="F339">
            <v>5291.54</v>
          </cell>
          <cell r="G339">
            <v>91</v>
          </cell>
          <cell r="H339">
            <v>1640.3</v>
          </cell>
          <cell r="I339">
            <v>2590.3000000000002</v>
          </cell>
          <cell r="J339">
            <v>2565.59375</v>
          </cell>
          <cell r="K339">
            <v>2658.3225000000002</v>
          </cell>
          <cell r="L339">
            <v>2653.75</v>
          </cell>
        </row>
        <row r="340">
          <cell r="A340">
            <v>92</v>
          </cell>
          <cell r="B340">
            <v>2804</v>
          </cell>
          <cell r="C340">
            <v>6700</v>
          </cell>
          <cell r="D340">
            <v>5203.665</v>
          </cell>
          <cell r="E340">
            <v>6768.77</v>
          </cell>
          <cell r="F340">
            <v>5292.79</v>
          </cell>
          <cell r="G340">
            <v>92</v>
          </cell>
          <cell r="H340">
            <v>1640.3</v>
          </cell>
          <cell r="I340">
            <v>2590.3000000000002</v>
          </cell>
          <cell r="J340">
            <v>2565.875</v>
          </cell>
          <cell r="K340">
            <v>2659.07</v>
          </cell>
          <cell r="L340">
            <v>2655</v>
          </cell>
        </row>
        <row r="341">
          <cell r="A341">
            <v>93</v>
          </cell>
          <cell r="B341">
            <v>2804</v>
          </cell>
          <cell r="C341">
            <v>6700</v>
          </cell>
          <cell r="D341">
            <v>5203.94625</v>
          </cell>
          <cell r="E341">
            <v>6769.5174999999999</v>
          </cell>
          <cell r="F341">
            <v>5294.04</v>
          </cell>
          <cell r="G341">
            <v>93</v>
          </cell>
          <cell r="H341">
            <v>1640.3</v>
          </cell>
          <cell r="I341">
            <v>2590.3000000000002</v>
          </cell>
          <cell r="J341">
            <v>2566.15625</v>
          </cell>
          <cell r="K341">
            <v>2659.8175000000001</v>
          </cell>
          <cell r="L341">
            <v>2656.25</v>
          </cell>
        </row>
        <row r="342">
          <cell r="A342">
            <v>94</v>
          </cell>
          <cell r="B342">
            <v>2804</v>
          </cell>
          <cell r="C342">
            <v>6700</v>
          </cell>
          <cell r="D342">
            <v>5204.2275</v>
          </cell>
          <cell r="E342">
            <v>6770.2650000000003</v>
          </cell>
          <cell r="F342">
            <v>5295.29</v>
          </cell>
          <cell r="G342">
            <v>94</v>
          </cell>
          <cell r="H342">
            <v>1640.3</v>
          </cell>
          <cell r="I342">
            <v>2590.3000000000002</v>
          </cell>
          <cell r="J342">
            <v>2566.4375</v>
          </cell>
          <cell r="K342">
            <v>2660.5650000000001</v>
          </cell>
          <cell r="L342">
            <v>2657.5</v>
          </cell>
        </row>
        <row r="343">
          <cell r="A343">
            <v>95</v>
          </cell>
          <cell r="B343">
            <v>2804</v>
          </cell>
          <cell r="C343">
            <v>6700</v>
          </cell>
          <cell r="D343">
            <v>5204.50875</v>
          </cell>
          <cell r="E343">
            <v>6771.0124999999998</v>
          </cell>
          <cell r="F343">
            <v>5296.54</v>
          </cell>
          <cell r="G343">
            <v>95</v>
          </cell>
          <cell r="H343">
            <v>1640.3</v>
          </cell>
          <cell r="I343">
            <v>2590.3000000000002</v>
          </cell>
          <cell r="J343">
            <v>2566.71875</v>
          </cell>
          <cell r="K343">
            <v>2661.3125</v>
          </cell>
          <cell r="L343">
            <v>2658.75</v>
          </cell>
        </row>
        <row r="344">
          <cell r="A344">
            <v>96</v>
          </cell>
          <cell r="B344">
            <v>2804</v>
          </cell>
          <cell r="C344">
            <v>6700</v>
          </cell>
          <cell r="D344">
            <v>5204.79</v>
          </cell>
          <cell r="E344">
            <v>6771.76</v>
          </cell>
          <cell r="F344">
            <v>5297.79</v>
          </cell>
          <cell r="G344">
            <v>96</v>
          </cell>
          <cell r="H344">
            <v>1640.3</v>
          </cell>
          <cell r="I344">
            <v>2590.3000000000002</v>
          </cell>
          <cell r="J344">
            <v>2567</v>
          </cell>
          <cell r="K344">
            <v>2662.0600000000004</v>
          </cell>
          <cell r="L344">
            <v>2660</v>
          </cell>
        </row>
        <row r="345">
          <cell r="A345">
            <v>97</v>
          </cell>
          <cell r="B345">
            <v>2804</v>
          </cell>
          <cell r="C345">
            <v>6700</v>
          </cell>
          <cell r="D345">
            <v>5205.07125</v>
          </cell>
          <cell r="E345">
            <v>6772.5074999999997</v>
          </cell>
          <cell r="F345">
            <v>5299.04</v>
          </cell>
          <cell r="G345">
            <v>97</v>
          </cell>
          <cell r="H345">
            <v>1640.3</v>
          </cell>
          <cell r="I345">
            <v>2590.3000000000002</v>
          </cell>
          <cell r="J345">
            <v>2567.28125</v>
          </cell>
          <cell r="K345">
            <v>2662.8075000000003</v>
          </cell>
          <cell r="L345">
            <v>2661.25</v>
          </cell>
        </row>
        <row r="346">
          <cell r="A346">
            <v>98</v>
          </cell>
          <cell r="B346">
            <v>2804</v>
          </cell>
          <cell r="C346">
            <v>6700</v>
          </cell>
          <cell r="D346">
            <v>5205.3525</v>
          </cell>
          <cell r="E346">
            <v>6773.2550000000001</v>
          </cell>
          <cell r="F346">
            <v>5300.29</v>
          </cell>
          <cell r="G346">
            <v>98</v>
          </cell>
          <cell r="H346">
            <v>1640.3</v>
          </cell>
          <cell r="I346">
            <v>2590.3000000000002</v>
          </cell>
          <cell r="J346">
            <v>2567.5625</v>
          </cell>
          <cell r="K346">
            <v>2663.5550000000003</v>
          </cell>
          <cell r="L346">
            <v>2662.5</v>
          </cell>
        </row>
        <row r="347">
          <cell r="A347">
            <v>99</v>
          </cell>
          <cell r="B347">
            <v>2804</v>
          </cell>
          <cell r="C347">
            <v>6700</v>
          </cell>
          <cell r="D347">
            <v>5205.63375</v>
          </cell>
          <cell r="E347">
            <v>6774.0024999999996</v>
          </cell>
          <cell r="F347">
            <v>5301.54</v>
          </cell>
          <cell r="G347">
            <v>99</v>
          </cell>
          <cell r="H347">
            <v>1640.3</v>
          </cell>
          <cell r="I347">
            <v>2590.3000000000002</v>
          </cell>
          <cell r="J347">
            <v>2567.84375</v>
          </cell>
          <cell r="K347">
            <v>2664.3025000000002</v>
          </cell>
          <cell r="L347">
            <v>2663.75</v>
          </cell>
        </row>
        <row r="348">
          <cell r="A348">
            <v>100</v>
          </cell>
          <cell r="B348">
            <v>2804</v>
          </cell>
          <cell r="C348">
            <v>6700</v>
          </cell>
          <cell r="D348">
            <v>5205.915</v>
          </cell>
          <cell r="E348">
            <v>6774.75</v>
          </cell>
          <cell r="F348">
            <v>5302.79</v>
          </cell>
          <cell r="G348">
            <v>100</v>
          </cell>
          <cell r="H348">
            <v>1640.3</v>
          </cell>
          <cell r="I348">
            <v>2590.3000000000002</v>
          </cell>
          <cell r="J348">
            <v>2568.125</v>
          </cell>
          <cell r="K348">
            <v>2665.05</v>
          </cell>
          <cell r="L348">
            <v>2665</v>
          </cell>
        </row>
        <row r="349">
          <cell r="A349">
            <v>101</v>
          </cell>
          <cell r="B349">
            <v>2804</v>
          </cell>
          <cell r="C349">
            <v>6700</v>
          </cell>
          <cell r="D349">
            <v>5206.19625</v>
          </cell>
          <cell r="E349">
            <v>6775.4975000000004</v>
          </cell>
          <cell r="F349">
            <v>5304.04</v>
          </cell>
          <cell r="G349">
            <v>101</v>
          </cell>
          <cell r="H349">
            <v>1640.3</v>
          </cell>
          <cell r="I349">
            <v>2590.3000000000002</v>
          </cell>
          <cell r="J349">
            <v>2568.40625</v>
          </cell>
          <cell r="K349">
            <v>2665.7975000000001</v>
          </cell>
          <cell r="L349">
            <v>2666.25</v>
          </cell>
        </row>
        <row r="350">
          <cell r="A350">
            <v>102</v>
          </cell>
          <cell r="B350">
            <v>2804</v>
          </cell>
          <cell r="C350">
            <v>6700</v>
          </cell>
          <cell r="D350">
            <v>5206.4775</v>
          </cell>
          <cell r="E350">
            <v>6776.2449999999999</v>
          </cell>
          <cell r="F350">
            <v>5305.29</v>
          </cell>
          <cell r="G350">
            <v>102</v>
          </cell>
          <cell r="H350">
            <v>1640.3</v>
          </cell>
          <cell r="I350">
            <v>2590.3000000000002</v>
          </cell>
          <cell r="J350">
            <v>2568.6875</v>
          </cell>
          <cell r="K350">
            <v>2666.5450000000001</v>
          </cell>
          <cell r="L350">
            <v>2667.5</v>
          </cell>
        </row>
        <row r="351">
          <cell r="A351">
            <v>103</v>
          </cell>
          <cell r="B351">
            <v>2804</v>
          </cell>
          <cell r="C351">
            <v>6700</v>
          </cell>
          <cell r="D351">
            <v>5206.75875</v>
          </cell>
          <cell r="E351">
            <v>6776.9925000000003</v>
          </cell>
          <cell r="F351">
            <v>5306.54</v>
          </cell>
          <cell r="G351">
            <v>103</v>
          </cell>
          <cell r="H351">
            <v>1640.3</v>
          </cell>
          <cell r="I351">
            <v>2590.3000000000002</v>
          </cell>
          <cell r="J351">
            <v>2568.96875</v>
          </cell>
          <cell r="K351">
            <v>2667.2925</v>
          </cell>
          <cell r="L351">
            <v>2668.75</v>
          </cell>
        </row>
        <row r="352">
          <cell r="A352">
            <v>104</v>
          </cell>
          <cell r="B352">
            <v>2804</v>
          </cell>
          <cell r="C352">
            <v>6700</v>
          </cell>
          <cell r="D352">
            <v>5207.04</v>
          </cell>
          <cell r="E352">
            <v>6777.74</v>
          </cell>
          <cell r="F352">
            <v>5307.79</v>
          </cell>
          <cell r="G352">
            <v>104</v>
          </cell>
          <cell r="H352">
            <v>1640.3</v>
          </cell>
          <cell r="I352">
            <v>2590.3000000000002</v>
          </cell>
          <cell r="J352">
            <v>2569.25</v>
          </cell>
          <cell r="K352">
            <v>2668.04</v>
          </cell>
          <cell r="L352">
            <v>2670</v>
          </cell>
        </row>
        <row r="353">
          <cell r="A353">
            <v>105</v>
          </cell>
          <cell r="B353">
            <v>2804</v>
          </cell>
          <cell r="C353">
            <v>6700</v>
          </cell>
          <cell r="D353">
            <v>5207.32125</v>
          </cell>
          <cell r="E353">
            <v>6778.4875000000002</v>
          </cell>
          <cell r="F353">
            <v>5309.04</v>
          </cell>
          <cell r="G353">
            <v>105</v>
          </cell>
          <cell r="H353">
            <v>1640.3</v>
          </cell>
          <cell r="I353">
            <v>2590.3000000000002</v>
          </cell>
          <cell r="J353">
            <v>2569.53125</v>
          </cell>
          <cell r="K353">
            <v>2668.7875000000004</v>
          </cell>
          <cell r="L353">
            <v>2671.25</v>
          </cell>
        </row>
        <row r="354">
          <cell r="A354">
            <v>106</v>
          </cell>
          <cell r="B354">
            <v>2804</v>
          </cell>
          <cell r="C354">
            <v>6700</v>
          </cell>
          <cell r="D354">
            <v>5207.6025</v>
          </cell>
          <cell r="E354">
            <v>6779.2349999999997</v>
          </cell>
          <cell r="F354">
            <v>5310.29</v>
          </cell>
          <cell r="G354">
            <v>106</v>
          </cell>
          <cell r="H354">
            <v>1640.3</v>
          </cell>
          <cell r="I354">
            <v>2590.3000000000002</v>
          </cell>
          <cell r="J354">
            <v>2569.8125</v>
          </cell>
          <cell r="K354">
            <v>2669.5350000000003</v>
          </cell>
          <cell r="L354">
            <v>2672.5</v>
          </cell>
        </row>
        <row r="355">
          <cell r="A355">
            <v>107</v>
          </cell>
          <cell r="B355">
            <v>2804</v>
          </cell>
          <cell r="C355">
            <v>6700</v>
          </cell>
          <cell r="D355">
            <v>5207.88375</v>
          </cell>
          <cell r="E355">
            <v>6779.9825000000001</v>
          </cell>
          <cell r="F355">
            <v>5311.54</v>
          </cell>
          <cell r="G355">
            <v>107</v>
          </cell>
          <cell r="H355">
            <v>1640.3</v>
          </cell>
          <cell r="I355">
            <v>2590.3000000000002</v>
          </cell>
          <cell r="J355">
            <v>2570.09375</v>
          </cell>
          <cell r="K355">
            <v>2670.2825000000003</v>
          </cell>
          <cell r="L355">
            <v>2673.75</v>
          </cell>
        </row>
        <row r="356">
          <cell r="A356">
            <v>108</v>
          </cell>
          <cell r="B356">
            <v>2804</v>
          </cell>
          <cell r="C356">
            <v>6700</v>
          </cell>
          <cell r="D356">
            <v>5208.165</v>
          </cell>
          <cell r="E356">
            <v>6780.73</v>
          </cell>
          <cell r="F356">
            <v>5312.79</v>
          </cell>
          <cell r="G356">
            <v>108</v>
          </cell>
          <cell r="H356">
            <v>1640.3</v>
          </cell>
          <cell r="I356">
            <v>2590.3000000000002</v>
          </cell>
          <cell r="J356">
            <v>2570.375</v>
          </cell>
          <cell r="K356">
            <v>2671.03</v>
          </cell>
          <cell r="L356">
            <v>2675</v>
          </cell>
        </row>
        <row r="357">
          <cell r="A357">
            <v>109</v>
          </cell>
          <cell r="B357">
            <v>2804</v>
          </cell>
          <cell r="C357">
            <v>6700</v>
          </cell>
          <cell r="D357">
            <v>5208.44625</v>
          </cell>
          <cell r="E357">
            <v>6781.4775</v>
          </cell>
          <cell r="F357">
            <v>5314.04</v>
          </cell>
          <cell r="G357">
            <v>109</v>
          </cell>
          <cell r="H357">
            <v>1640.3</v>
          </cell>
          <cell r="I357">
            <v>2590.3000000000002</v>
          </cell>
          <cell r="J357">
            <v>2570.65625</v>
          </cell>
          <cell r="K357">
            <v>2671.7775000000001</v>
          </cell>
          <cell r="L357">
            <v>2676.25</v>
          </cell>
        </row>
        <row r="358">
          <cell r="A358">
            <v>110</v>
          </cell>
          <cell r="B358">
            <v>2804</v>
          </cell>
          <cell r="C358">
            <v>6700</v>
          </cell>
          <cell r="D358">
            <v>5208.7275</v>
          </cell>
          <cell r="E358">
            <v>6782.2250000000004</v>
          </cell>
          <cell r="F358">
            <v>5315.29</v>
          </cell>
          <cell r="G358">
            <v>110</v>
          </cell>
          <cell r="H358">
            <v>1640.3</v>
          </cell>
          <cell r="I358">
            <v>2590.3000000000002</v>
          </cell>
          <cell r="J358">
            <v>2570.9375</v>
          </cell>
          <cell r="K358">
            <v>2672.5250000000001</v>
          </cell>
          <cell r="L358">
            <v>2677.5</v>
          </cell>
        </row>
        <row r="359">
          <cell r="A359">
            <v>111</v>
          </cell>
          <cell r="B359">
            <v>2804</v>
          </cell>
          <cell r="C359">
            <v>6700</v>
          </cell>
          <cell r="D359">
            <v>5209.00875</v>
          </cell>
          <cell r="E359">
            <v>6782.9724999999999</v>
          </cell>
          <cell r="F359">
            <v>5316.54</v>
          </cell>
          <cell r="G359">
            <v>111</v>
          </cell>
          <cell r="H359">
            <v>1640.3</v>
          </cell>
          <cell r="I359">
            <v>2590.3000000000002</v>
          </cell>
          <cell r="J359">
            <v>2571.21875</v>
          </cell>
          <cell r="K359">
            <v>2673.2725</v>
          </cell>
          <cell r="L359">
            <v>2678.75</v>
          </cell>
        </row>
        <row r="360">
          <cell r="A360">
            <v>112</v>
          </cell>
          <cell r="B360">
            <v>2804</v>
          </cell>
          <cell r="C360">
            <v>6700</v>
          </cell>
          <cell r="D360">
            <v>5209.29</v>
          </cell>
          <cell r="E360">
            <v>6783.72</v>
          </cell>
          <cell r="F360">
            <v>5317.79</v>
          </cell>
          <cell r="G360">
            <v>112</v>
          </cell>
          <cell r="H360">
            <v>1640.3</v>
          </cell>
          <cell r="I360">
            <v>2590.3000000000002</v>
          </cell>
          <cell r="J360">
            <v>2571.5</v>
          </cell>
          <cell r="K360">
            <v>2674.02</v>
          </cell>
          <cell r="L360">
            <v>2680</v>
          </cell>
        </row>
        <row r="361">
          <cell r="A361">
            <v>113</v>
          </cell>
          <cell r="B361">
            <v>2804</v>
          </cell>
          <cell r="C361">
            <v>6700</v>
          </cell>
          <cell r="D361">
            <v>5209.57125</v>
          </cell>
          <cell r="E361">
            <v>6784.4674999999997</v>
          </cell>
          <cell r="F361">
            <v>5319.04</v>
          </cell>
          <cell r="G361">
            <v>113</v>
          </cell>
          <cell r="H361">
            <v>1640.3</v>
          </cell>
          <cell r="I361">
            <v>2590.3000000000002</v>
          </cell>
          <cell r="J361">
            <v>2571.78125</v>
          </cell>
          <cell r="K361">
            <v>2674.7675000000004</v>
          </cell>
          <cell r="L361">
            <v>2681.25</v>
          </cell>
        </row>
        <row r="362">
          <cell r="A362">
            <v>114</v>
          </cell>
          <cell r="B362">
            <v>2804</v>
          </cell>
          <cell r="C362">
            <v>6700</v>
          </cell>
          <cell r="D362">
            <v>5209.8525</v>
          </cell>
          <cell r="E362">
            <v>6785.2150000000001</v>
          </cell>
          <cell r="F362">
            <v>5320.29</v>
          </cell>
        </row>
        <row r="363">
          <cell r="A363">
            <v>115</v>
          </cell>
          <cell r="B363">
            <v>2804</v>
          </cell>
          <cell r="C363">
            <v>6700</v>
          </cell>
          <cell r="D363">
            <v>5210.13375</v>
          </cell>
          <cell r="E363">
            <v>6785.9624999999996</v>
          </cell>
          <cell r="F363">
            <v>5321.54</v>
          </cell>
        </row>
        <row r="364">
          <cell r="A364">
            <v>116</v>
          </cell>
          <cell r="B364">
            <v>2804</v>
          </cell>
          <cell r="C364">
            <v>6700</v>
          </cell>
          <cell r="D364">
            <v>5210.415</v>
          </cell>
          <cell r="E364">
            <v>6786.71</v>
          </cell>
          <cell r="F364">
            <v>5322.79</v>
          </cell>
        </row>
        <row r="365">
          <cell r="A365">
            <v>117</v>
          </cell>
          <cell r="B365">
            <v>2804</v>
          </cell>
          <cell r="C365">
            <v>6700</v>
          </cell>
          <cell r="D365">
            <v>5210.69625</v>
          </cell>
          <cell r="E365">
            <v>6787.4575000000004</v>
          </cell>
          <cell r="F365">
            <v>5324.04</v>
          </cell>
        </row>
        <row r="366">
          <cell r="A366">
            <v>118</v>
          </cell>
          <cell r="B366">
            <v>2804</v>
          </cell>
          <cell r="C366">
            <v>6700</v>
          </cell>
          <cell r="D366">
            <v>5210.9775</v>
          </cell>
          <cell r="E366">
            <v>6788.2049999999999</v>
          </cell>
          <cell r="F366">
            <v>5325.29</v>
          </cell>
        </row>
        <row r="367">
          <cell r="A367">
            <v>119</v>
          </cell>
          <cell r="B367">
            <v>2804</v>
          </cell>
          <cell r="C367">
            <v>6700</v>
          </cell>
          <cell r="D367">
            <v>5211.25875</v>
          </cell>
          <cell r="E367">
            <v>6788.9525000000003</v>
          </cell>
          <cell r="F367">
            <v>5326.54</v>
          </cell>
        </row>
        <row r="368">
          <cell r="A368">
            <v>120</v>
          </cell>
          <cell r="B368">
            <v>2804</v>
          </cell>
          <cell r="C368">
            <v>6700</v>
          </cell>
          <cell r="D368">
            <v>5211.54</v>
          </cell>
          <cell r="E368">
            <v>6789.7</v>
          </cell>
          <cell r="F368">
            <v>5327.79</v>
          </cell>
        </row>
        <row r="369">
          <cell r="A369">
            <v>121</v>
          </cell>
          <cell r="B369">
            <v>2804</v>
          </cell>
          <cell r="C369">
            <v>6700</v>
          </cell>
          <cell r="D369">
            <v>5211.82125</v>
          </cell>
          <cell r="E369">
            <v>6790.4475000000002</v>
          </cell>
          <cell r="F369">
            <v>5329.04</v>
          </cell>
        </row>
        <row r="370">
          <cell r="A370">
            <v>122</v>
          </cell>
          <cell r="B370">
            <v>2804</v>
          </cell>
          <cell r="C370">
            <v>6700</v>
          </cell>
          <cell r="D370">
            <v>5212.1025</v>
          </cell>
          <cell r="E370">
            <v>6791.1949999999997</v>
          </cell>
          <cell r="F370">
            <v>5330.29</v>
          </cell>
        </row>
        <row r="371">
          <cell r="A371">
            <v>123</v>
          </cell>
          <cell r="B371">
            <v>2804</v>
          </cell>
          <cell r="C371">
            <v>6700</v>
          </cell>
          <cell r="D371">
            <v>5212.38375</v>
          </cell>
          <cell r="E371">
            <v>6791.9425000000001</v>
          </cell>
          <cell r="F371">
            <v>5331.54</v>
          </cell>
        </row>
        <row r="372">
          <cell r="A372">
            <v>124</v>
          </cell>
          <cell r="B372">
            <v>2804</v>
          </cell>
          <cell r="C372">
            <v>6700</v>
          </cell>
          <cell r="D372">
            <v>5212.665</v>
          </cell>
          <cell r="E372">
            <v>6792.69</v>
          </cell>
          <cell r="F372">
            <v>5332.79</v>
          </cell>
        </row>
        <row r="373">
          <cell r="A373">
            <v>125</v>
          </cell>
          <cell r="B373">
            <v>2804</v>
          </cell>
          <cell r="C373">
            <v>6700</v>
          </cell>
          <cell r="D373">
            <v>5212.94625</v>
          </cell>
          <cell r="E373">
            <v>6793.4375</v>
          </cell>
          <cell r="F373">
            <v>5334.04</v>
          </cell>
        </row>
        <row r="374">
          <cell r="A374">
            <v>126</v>
          </cell>
          <cell r="B374">
            <v>2804</v>
          </cell>
          <cell r="C374">
            <v>6700</v>
          </cell>
          <cell r="D374">
            <v>5213.2275</v>
          </cell>
          <cell r="E374">
            <v>6794.1850000000004</v>
          </cell>
          <cell r="F374">
            <v>5335.29</v>
          </cell>
        </row>
        <row r="375">
          <cell r="A375">
            <v>127</v>
          </cell>
          <cell r="B375">
            <v>2804</v>
          </cell>
          <cell r="C375">
            <v>6700</v>
          </cell>
          <cell r="D375">
            <v>5213.50875</v>
          </cell>
          <cell r="E375">
            <v>6794.9324999999999</v>
          </cell>
          <cell r="F375">
            <v>5336.54</v>
          </cell>
        </row>
        <row r="376">
          <cell r="A376">
            <v>128</v>
          </cell>
          <cell r="B376">
            <v>2804</v>
          </cell>
          <cell r="C376">
            <v>6700</v>
          </cell>
          <cell r="D376">
            <v>5213.79</v>
          </cell>
          <cell r="E376">
            <v>6795.68</v>
          </cell>
          <cell r="F376">
            <v>5337.79</v>
          </cell>
        </row>
        <row r="377">
          <cell r="A377">
            <v>129</v>
          </cell>
          <cell r="B377">
            <v>2804</v>
          </cell>
          <cell r="C377">
            <v>6700</v>
          </cell>
          <cell r="D377">
            <v>5214.07125</v>
          </cell>
          <cell r="E377">
            <v>6796.4274999999998</v>
          </cell>
          <cell r="F377">
            <v>5339.04</v>
          </cell>
        </row>
        <row r="378">
          <cell r="A378">
            <v>130</v>
          </cell>
          <cell r="B378">
            <v>2804</v>
          </cell>
          <cell r="C378">
            <v>6700</v>
          </cell>
          <cell r="D378">
            <v>5214.3525</v>
          </cell>
          <cell r="E378">
            <v>6797.1750000000002</v>
          </cell>
          <cell r="F378">
            <v>5340.29</v>
          </cell>
        </row>
        <row r="379">
          <cell r="A379">
            <v>131</v>
          </cell>
          <cell r="B379">
            <v>2804</v>
          </cell>
          <cell r="C379">
            <v>6700</v>
          </cell>
          <cell r="D379">
            <v>5214.63375</v>
          </cell>
          <cell r="E379">
            <v>6797.9224999999997</v>
          </cell>
          <cell r="F379">
            <v>5341.54</v>
          </cell>
        </row>
        <row r="380">
          <cell r="A380">
            <v>132</v>
          </cell>
          <cell r="B380">
            <v>2804</v>
          </cell>
          <cell r="C380">
            <v>6700</v>
          </cell>
          <cell r="D380">
            <v>5214.915</v>
          </cell>
          <cell r="E380">
            <v>6798.67</v>
          </cell>
          <cell r="F380">
            <v>5342.79</v>
          </cell>
        </row>
        <row r="381">
          <cell r="A381">
            <v>133</v>
          </cell>
          <cell r="B381">
            <v>2804</v>
          </cell>
          <cell r="C381">
            <v>6700</v>
          </cell>
          <cell r="D381">
            <v>5215.19625</v>
          </cell>
          <cell r="E381">
            <v>6799.4174999999996</v>
          </cell>
          <cell r="F381">
            <v>5344.04</v>
          </cell>
        </row>
        <row r="382">
          <cell r="A382">
            <v>134</v>
          </cell>
          <cell r="B382">
            <v>2804</v>
          </cell>
          <cell r="C382">
            <v>6700</v>
          </cell>
          <cell r="D382">
            <v>5215.4775</v>
          </cell>
          <cell r="E382">
            <v>6800.165</v>
          </cell>
          <cell r="F382">
            <v>5345.29</v>
          </cell>
        </row>
        <row r="383">
          <cell r="A383">
            <v>135</v>
          </cell>
          <cell r="B383">
            <v>2804</v>
          </cell>
          <cell r="C383">
            <v>6700</v>
          </cell>
          <cell r="D383">
            <v>5215.75875</v>
          </cell>
          <cell r="E383">
            <v>6800.9125000000004</v>
          </cell>
          <cell r="F383">
            <v>5346.54</v>
          </cell>
        </row>
        <row r="384">
          <cell r="A384">
            <v>136</v>
          </cell>
          <cell r="B384">
            <v>2804</v>
          </cell>
          <cell r="C384">
            <v>6700</v>
          </cell>
          <cell r="D384">
            <v>5216.04</v>
          </cell>
          <cell r="E384">
            <v>6801.66</v>
          </cell>
          <cell r="F384">
            <v>5347.79</v>
          </cell>
        </row>
        <row r="385">
          <cell r="A385">
            <v>137</v>
          </cell>
          <cell r="B385">
            <v>2804</v>
          </cell>
          <cell r="C385">
            <v>6700</v>
          </cell>
          <cell r="D385">
            <v>5216.32125</v>
          </cell>
          <cell r="E385">
            <v>6802.4075000000003</v>
          </cell>
          <cell r="F385">
            <v>5349.04</v>
          </cell>
        </row>
        <row r="386">
          <cell r="A386">
            <v>138</v>
          </cell>
          <cell r="B386">
            <v>2804</v>
          </cell>
          <cell r="C386">
            <v>6700</v>
          </cell>
          <cell r="D386">
            <v>5216.6025</v>
          </cell>
          <cell r="E386">
            <v>6803.1549999999997</v>
          </cell>
          <cell r="F386">
            <v>5350.29</v>
          </cell>
        </row>
        <row r="387">
          <cell r="A387">
            <v>139</v>
          </cell>
          <cell r="B387">
            <v>2804</v>
          </cell>
          <cell r="C387">
            <v>6700</v>
          </cell>
          <cell r="D387">
            <v>5216.88375</v>
          </cell>
          <cell r="E387">
            <v>6803.9025000000001</v>
          </cell>
          <cell r="F387">
            <v>5351.54</v>
          </cell>
        </row>
        <row r="388">
          <cell r="A388">
            <v>140</v>
          </cell>
          <cell r="B388">
            <v>2804</v>
          </cell>
          <cell r="C388">
            <v>6700</v>
          </cell>
          <cell r="D388">
            <v>5217.165</v>
          </cell>
          <cell r="E388">
            <v>6804.65</v>
          </cell>
          <cell r="F388">
            <v>5352.79</v>
          </cell>
        </row>
        <row r="389">
          <cell r="A389">
            <v>141</v>
          </cell>
          <cell r="B389">
            <v>2804</v>
          </cell>
          <cell r="C389">
            <v>6700</v>
          </cell>
          <cell r="D389">
            <v>5217.44625</v>
          </cell>
          <cell r="E389">
            <v>6805.3975</v>
          </cell>
          <cell r="F389">
            <v>5354.04</v>
          </cell>
        </row>
        <row r="390">
          <cell r="A390">
            <v>142</v>
          </cell>
          <cell r="B390">
            <v>2804</v>
          </cell>
          <cell r="C390">
            <v>6700</v>
          </cell>
          <cell r="D390">
            <v>5217.7275</v>
          </cell>
          <cell r="E390">
            <v>6806.1450000000004</v>
          </cell>
          <cell r="F390">
            <v>5355.29</v>
          </cell>
        </row>
        <row r="391">
          <cell r="A391">
            <v>143</v>
          </cell>
          <cell r="B391">
            <v>2804</v>
          </cell>
          <cell r="C391">
            <v>6700</v>
          </cell>
          <cell r="D391">
            <v>5218.00875</v>
          </cell>
          <cell r="E391">
            <v>6806.8924999999999</v>
          </cell>
          <cell r="F391">
            <v>5356.54</v>
          </cell>
        </row>
        <row r="392">
          <cell r="A392">
            <v>144</v>
          </cell>
          <cell r="B392">
            <v>2804</v>
          </cell>
          <cell r="C392">
            <v>6700</v>
          </cell>
          <cell r="D392">
            <v>5218.29</v>
          </cell>
          <cell r="E392">
            <v>6807.64</v>
          </cell>
          <cell r="F392">
            <v>5357.79</v>
          </cell>
        </row>
        <row r="393">
          <cell r="A393">
            <v>145</v>
          </cell>
          <cell r="B393">
            <v>2804</v>
          </cell>
          <cell r="C393">
            <v>6700</v>
          </cell>
          <cell r="D393">
            <v>5218.57125</v>
          </cell>
          <cell r="E393">
            <v>6808.3874999999998</v>
          </cell>
          <cell r="F393">
            <v>5359.04</v>
          </cell>
        </row>
        <row r="394">
          <cell r="A394">
            <v>146</v>
          </cell>
          <cell r="B394">
            <v>2804</v>
          </cell>
          <cell r="C394">
            <v>6700</v>
          </cell>
          <cell r="D394">
            <v>5218.8525</v>
          </cell>
          <cell r="E394">
            <v>6809.1350000000002</v>
          </cell>
          <cell r="F394">
            <v>5360.29</v>
          </cell>
        </row>
        <row r="395">
          <cell r="A395">
            <v>147</v>
          </cell>
          <cell r="B395">
            <v>2804</v>
          </cell>
          <cell r="C395">
            <v>6700</v>
          </cell>
          <cell r="D395">
            <v>5219.13375</v>
          </cell>
          <cell r="E395">
            <v>6809.8824999999997</v>
          </cell>
          <cell r="F395">
            <v>5361.54</v>
          </cell>
        </row>
        <row r="396">
          <cell r="A396">
            <v>148</v>
          </cell>
          <cell r="B396">
            <v>2804</v>
          </cell>
          <cell r="C396">
            <v>6700</v>
          </cell>
          <cell r="D396">
            <v>5219.415</v>
          </cell>
          <cell r="E396">
            <v>6810.63</v>
          </cell>
          <cell r="F396">
            <v>5362.79</v>
          </cell>
        </row>
        <row r="397">
          <cell r="A397">
            <v>149</v>
          </cell>
          <cell r="B397">
            <v>2804</v>
          </cell>
          <cell r="C397">
            <v>6700</v>
          </cell>
          <cell r="D397">
            <v>5219.69625</v>
          </cell>
          <cell r="E397">
            <v>6811.3774999999996</v>
          </cell>
          <cell r="F397">
            <v>5364.04</v>
          </cell>
        </row>
        <row r="398">
          <cell r="A398">
            <v>150</v>
          </cell>
          <cell r="B398">
            <v>2804</v>
          </cell>
          <cell r="C398">
            <v>6700</v>
          </cell>
          <cell r="D398">
            <v>5219.9775</v>
          </cell>
          <cell r="E398">
            <v>6812.125</v>
          </cell>
          <cell r="F398">
            <v>5365.29</v>
          </cell>
        </row>
        <row r="399">
          <cell r="A399">
            <v>151</v>
          </cell>
          <cell r="B399">
            <v>2804</v>
          </cell>
          <cell r="C399">
            <v>6700</v>
          </cell>
          <cell r="D399">
            <v>5220.25875</v>
          </cell>
          <cell r="E399">
            <v>6812.8725000000004</v>
          </cell>
          <cell r="F399">
            <v>5366.54</v>
          </cell>
        </row>
        <row r="400">
          <cell r="A400">
            <v>152</v>
          </cell>
          <cell r="B400">
            <v>2804</v>
          </cell>
          <cell r="C400">
            <v>6700</v>
          </cell>
          <cell r="D400">
            <v>5220.54</v>
          </cell>
          <cell r="E400">
            <v>6813.62</v>
          </cell>
          <cell r="F400">
            <v>5367.79</v>
          </cell>
        </row>
        <row r="401">
          <cell r="A401">
            <v>153</v>
          </cell>
          <cell r="B401">
            <v>2804</v>
          </cell>
          <cell r="C401">
            <v>6700</v>
          </cell>
          <cell r="D401">
            <v>5220.82125</v>
          </cell>
          <cell r="E401">
            <v>6814.3675000000003</v>
          </cell>
          <cell r="F401">
            <v>5369.04</v>
          </cell>
        </row>
        <row r="402">
          <cell r="A402">
            <v>154</v>
          </cell>
          <cell r="B402">
            <v>2804</v>
          </cell>
          <cell r="C402">
            <v>6700</v>
          </cell>
          <cell r="D402">
            <v>5221.1025</v>
          </cell>
          <cell r="E402">
            <v>6815.1149999999998</v>
          </cell>
          <cell r="F402">
            <v>5370.29</v>
          </cell>
        </row>
        <row r="403">
          <cell r="A403">
            <v>155</v>
          </cell>
          <cell r="B403">
            <v>2804</v>
          </cell>
          <cell r="C403">
            <v>6700</v>
          </cell>
          <cell r="D403">
            <v>5221.38375</v>
          </cell>
          <cell r="E403">
            <v>6815.8625000000002</v>
          </cell>
          <cell r="F403">
            <v>5371.54</v>
          </cell>
        </row>
        <row r="404">
          <cell r="A404">
            <v>156</v>
          </cell>
          <cell r="B404">
            <v>2804</v>
          </cell>
          <cell r="C404">
            <v>6700</v>
          </cell>
          <cell r="D404">
            <v>5221.665</v>
          </cell>
          <cell r="E404">
            <v>6816.61</v>
          </cell>
          <cell r="F404">
            <v>5372.79</v>
          </cell>
        </row>
        <row r="405">
          <cell r="A405">
            <v>157</v>
          </cell>
          <cell r="B405">
            <v>2804</v>
          </cell>
          <cell r="C405">
            <v>6700</v>
          </cell>
          <cell r="D405">
            <v>5221.94625</v>
          </cell>
          <cell r="E405">
            <v>6817.3575000000001</v>
          </cell>
          <cell r="F405">
            <v>5374.04</v>
          </cell>
        </row>
        <row r="406">
          <cell r="A406">
            <v>158</v>
          </cell>
          <cell r="B406">
            <v>2804</v>
          </cell>
          <cell r="C406">
            <v>6700</v>
          </cell>
          <cell r="D406">
            <v>5222.2275</v>
          </cell>
          <cell r="E406">
            <v>6818.1049999999996</v>
          </cell>
          <cell r="F406">
            <v>5375.29</v>
          </cell>
        </row>
        <row r="407">
          <cell r="A407">
            <v>159</v>
          </cell>
          <cell r="B407">
            <v>2804</v>
          </cell>
          <cell r="C407">
            <v>6700</v>
          </cell>
          <cell r="D407">
            <v>5222.50875</v>
          </cell>
          <cell r="E407">
            <v>6818.8525</v>
          </cell>
          <cell r="F407">
            <v>5376.54</v>
          </cell>
        </row>
        <row r="408">
          <cell r="A408">
            <v>160</v>
          </cell>
          <cell r="B408">
            <v>2804</v>
          </cell>
          <cell r="C408">
            <v>6700</v>
          </cell>
          <cell r="D408">
            <v>5222.79</v>
          </cell>
          <cell r="E408">
            <v>6819.6</v>
          </cell>
          <cell r="F408">
            <v>5377.79</v>
          </cell>
        </row>
        <row r="409">
          <cell r="A409">
            <v>161</v>
          </cell>
          <cell r="B409">
            <v>2804</v>
          </cell>
          <cell r="C409">
            <v>6700</v>
          </cell>
          <cell r="D409">
            <v>5223.07125</v>
          </cell>
          <cell r="E409">
            <v>6820.3474999999999</v>
          </cell>
          <cell r="F409">
            <v>5379.04</v>
          </cell>
        </row>
        <row r="410">
          <cell r="A410">
            <v>162</v>
          </cell>
          <cell r="B410">
            <v>2804</v>
          </cell>
          <cell r="C410">
            <v>6700</v>
          </cell>
          <cell r="D410">
            <v>5223.3525</v>
          </cell>
          <cell r="E410">
            <v>6821.0950000000003</v>
          </cell>
          <cell r="F410">
            <v>5380.29</v>
          </cell>
        </row>
        <row r="411">
          <cell r="A411">
            <v>163</v>
          </cell>
          <cell r="B411">
            <v>2804</v>
          </cell>
          <cell r="C411">
            <v>6700</v>
          </cell>
          <cell r="D411">
            <v>5223.63375</v>
          </cell>
          <cell r="E411">
            <v>6821.8424999999997</v>
          </cell>
          <cell r="F411">
            <v>5381.54</v>
          </cell>
        </row>
        <row r="412">
          <cell r="A412">
            <v>164</v>
          </cell>
          <cell r="B412">
            <v>2804</v>
          </cell>
          <cell r="C412">
            <v>6700</v>
          </cell>
          <cell r="D412">
            <v>5223.915</v>
          </cell>
          <cell r="E412">
            <v>6822.59</v>
          </cell>
          <cell r="F412">
            <v>5382.79</v>
          </cell>
        </row>
        <row r="413">
          <cell r="A413">
            <v>165</v>
          </cell>
          <cell r="B413">
            <v>2804</v>
          </cell>
          <cell r="C413">
            <v>6700</v>
          </cell>
          <cell r="D413">
            <v>5224.19625</v>
          </cell>
          <cell r="E413">
            <v>6823.3374999999996</v>
          </cell>
          <cell r="F413">
            <v>5384.04</v>
          </cell>
        </row>
        <row r="414">
          <cell r="A414">
            <v>166</v>
          </cell>
          <cell r="B414">
            <v>2804</v>
          </cell>
          <cell r="C414">
            <v>6700</v>
          </cell>
          <cell r="D414">
            <v>5224.4775</v>
          </cell>
          <cell r="E414">
            <v>6824.085</v>
          </cell>
          <cell r="F414">
            <v>5385.29</v>
          </cell>
        </row>
        <row r="415">
          <cell r="A415">
            <v>167</v>
          </cell>
          <cell r="B415">
            <v>2804</v>
          </cell>
          <cell r="C415">
            <v>6700</v>
          </cell>
          <cell r="D415">
            <v>5224.75875</v>
          </cell>
          <cell r="E415">
            <v>6824.8325000000004</v>
          </cell>
          <cell r="F415">
            <v>5386.54</v>
          </cell>
        </row>
        <row r="416">
          <cell r="A416">
            <v>168</v>
          </cell>
          <cell r="B416">
            <v>2804</v>
          </cell>
          <cell r="C416">
            <v>6700</v>
          </cell>
          <cell r="D416">
            <v>5225.04</v>
          </cell>
          <cell r="E416">
            <v>6825.58</v>
          </cell>
          <cell r="F416">
            <v>5387.79</v>
          </cell>
        </row>
        <row r="417">
          <cell r="A417">
            <v>169</v>
          </cell>
          <cell r="B417">
            <v>2804</v>
          </cell>
          <cell r="C417">
            <v>6700</v>
          </cell>
          <cell r="D417">
            <v>5225.32125</v>
          </cell>
          <cell r="E417">
            <v>6826.3275000000003</v>
          </cell>
          <cell r="F417">
            <v>5389.04</v>
          </cell>
        </row>
        <row r="418">
          <cell r="A418">
            <v>170</v>
          </cell>
          <cell r="B418">
            <v>2804</v>
          </cell>
          <cell r="C418">
            <v>6700</v>
          </cell>
          <cell r="D418">
            <v>5225.6025</v>
          </cell>
          <cell r="E418">
            <v>6827.0749999999998</v>
          </cell>
          <cell r="F418">
            <v>5390.29</v>
          </cell>
        </row>
        <row r="419">
          <cell r="A419">
            <v>171</v>
          </cell>
          <cell r="B419">
            <v>2804</v>
          </cell>
          <cell r="C419">
            <v>6700</v>
          </cell>
          <cell r="D419">
            <v>5225.88375</v>
          </cell>
          <cell r="E419">
            <v>6827.8225000000002</v>
          </cell>
          <cell r="F419">
            <v>5391.54</v>
          </cell>
        </row>
        <row r="420">
          <cell r="A420">
            <v>172</v>
          </cell>
          <cell r="B420">
            <v>2804</v>
          </cell>
          <cell r="C420">
            <v>6700</v>
          </cell>
          <cell r="D420">
            <v>5226.165</v>
          </cell>
          <cell r="E420">
            <v>6828.57</v>
          </cell>
          <cell r="F420">
            <v>5392.79</v>
          </cell>
        </row>
        <row r="421">
          <cell r="A421">
            <v>173</v>
          </cell>
          <cell r="B421">
            <v>2804</v>
          </cell>
          <cell r="C421">
            <v>6700</v>
          </cell>
          <cell r="D421">
            <v>5226.44625</v>
          </cell>
          <cell r="E421">
            <v>6829.3175000000001</v>
          </cell>
          <cell r="F421">
            <v>5394.04</v>
          </cell>
        </row>
        <row r="422">
          <cell r="A422">
            <v>174</v>
          </cell>
          <cell r="B422">
            <v>2804</v>
          </cell>
          <cell r="C422">
            <v>6700</v>
          </cell>
          <cell r="D422">
            <v>5226.7275</v>
          </cell>
          <cell r="E422">
            <v>6830.0649999999996</v>
          </cell>
          <cell r="F422">
            <v>5395.29</v>
          </cell>
        </row>
        <row r="423">
          <cell r="A423">
            <v>175</v>
          </cell>
          <cell r="B423">
            <v>2804</v>
          </cell>
          <cell r="C423">
            <v>6700</v>
          </cell>
          <cell r="D423">
            <v>5227.00875</v>
          </cell>
          <cell r="E423">
            <v>6830.8125</v>
          </cell>
          <cell r="F423">
            <v>5396.54</v>
          </cell>
        </row>
        <row r="424">
          <cell r="A424">
            <v>176</v>
          </cell>
          <cell r="B424">
            <v>2804</v>
          </cell>
          <cell r="C424">
            <v>6700</v>
          </cell>
          <cell r="D424">
            <v>5227.29</v>
          </cell>
          <cell r="E424">
            <v>6831.56</v>
          </cell>
          <cell r="F424">
            <v>5397.79</v>
          </cell>
        </row>
        <row r="425">
          <cell r="A425">
            <v>177</v>
          </cell>
          <cell r="B425">
            <v>2804</v>
          </cell>
          <cell r="C425">
            <v>6700</v>
          </cell>
          <cell r="D425">
            <v>5227.57125</v>
          </cell>
          <cell r="E425">
            <v>6832.3074999999999</v>
          </cell>
          <cell r="F425">
            <v>5399.04</v>
          </cell>
        </row>
        <row r="426">
          <cell r="A426">
            <v>178</v>
          </cell>
          <cell r="B426">
            <v>2804</v>
          </cell>
          <cell r="C426">
            <v>6700</v>
          </cell>
          <cell r="D426">
            <v>5227.8525</v>
          </cell>
          <cell r="E426">
            <v>6833.0550000000003</v>
          </cell>
          <cell r="F426">
            <v>5400.29</v>
          </cell>
        </row>
        <row r="427">
          <cell r="A427">
            <v>179</v>
          </cell>
          <cell r="B427">
            <v>2804</v>
          </cell>
          <cell r="C427">
            <v>6700</v>
          </cell>
          <cell r="D427">
            <v>5228.13375</v>
          </cell>
          <cell r="E427">
            <v>6833.8024999999998</v>
          </cell>
          <cell r="F427">
            <v>5401.54</v>
          </cell>
        </row>
        <row r="428">
          <cell r="A428">
            <v>180</v>
          </cell>
          <cell r="B428">
            <v>2804</v>
          </cell>
          <cell r="C428">
            <v>6700</v>
          </cell>
          <cell r="D428">
            <v>5228.415</v>
          </cell>
          <cell r="E428">
            <v>6834.55</v>
          </cell>
          <cell r="F428">
            <v>5402.79</v>
          </cell>
        </row>
        <row r="429">
          <cell r="A429">
            <v>181</v>
          </cell>
          <cell r="B429">
            <v>2804</v>
          </cell>
          <cell r="C429">
            <v>6700</v>
          </cell>
          <cell r="D429">
            <v>5228.69625</v>
          </cell>
          <cell r="E429">
            <v>6835.2974999999997</v>
          </cell>
          <cell r="F429">
            <v>5404.04</v>
          </cell>
        </row>
        <row r="430">
          <cell r="A430">
            <v>182</v>
          </cell>
          <cell r="B430">
            <v>2804</v>
          </cell>
          <cell r="C430">
            <v>6700</v>
          </cell>
          <cell r="D430">
            <v>5228.9775</v>
          </cell>
          <cell r="E430">
            <v>6836.0450000000001</v>
          </cell>
          <cell r="F430">
            <v>5405.29</v>
          </cell>
        </row>
        <row r="431">
          <cell r="A431">
            <v>183</v>
          </cell>
          <cell r="B431">
            <v>2804</v>
          </cell>
          <cell r="C431">
            <v>6700</v>
          </cell>
          <cell r="D431">
            <v>5229.25875</v>
          </cell>
          <cell r="E431">
            <v>6836.7924999999996</v>
          </cell>
          <cell r="F431">
            <v>5406.54</v>
          </cell>
        </row>
        <row r="432">
          <cell r="A432">
            <v>184</v>
          </cell>
          <cell r="B432">
            <v>2804</v>
          </cell>
          <cell r="C432">
            <v>6700</v>
          </cell>
          <cell r="D432">
            <v>5229.54</v>
          </cell>
          <cell r="E432">
            <v>6837.54</v>
          </cell>
          <cell r="F432">
            <v>5407.79</v>
          </cell>
        </row>
        <row r="433">
          <cell r="A433">
            <v>185</v>
          </cell>
          <cell r="B433">
            <v>2804</v>
          </cell>
          <cell r="C433">
            <v>6700</v>
          </cell>
          <cell r="D433">
            <v>5229.82125</v>
          </cell>
          <cell r="E433">
            <v>6838.2875000000004</v>
          </cell>
          <cell r="F433">
            <v>5409.04</v>
          </cell>
        </row>
        <row r="434">
          <cell r="A434">
            <v>186</v>
          </cell>
          <cell r="B434">
            <v>2804</v>
          </cell>
          <cell r="C434">
            <v>6700</v>
          </cell>
          <cell r="D434">
            <v>5230.1025</v>
          </cell>
          <cell r="E434">
            <v>6839.0349999999999</v>
          </cell>
          <cell r="F434">
            <v>5410.29</v>
          </cell>
        </row>
        <row r="435">
          <cell r="A435">
            <v>187</v>
          </cell>
          <cell r="B435">
            <v>2804</v>
          </cell>
          <cell r="C435">
            <v>6700</v>
          </cell>
          <cell r="D435">
            <v>5230.38375</v>
          </cell>
          <cell r="E435">
            <v>6839.7825000000003</v>
          </cell>
          <cell r="F435">
            <v>5411.54</v>
          </cell>
        </row>
        <row r="436">
          <cell r="A436">
            <v>188</v>
          </cell>
          <cell r="B436">
            <v>2804</v>
          </cell>
          <cell r="C436">
            <v>6700</v>
          </cell>
          <cell r="D436">
            <v>5230.665</v>
          </cell>
          <cell r="E436">
            <v>6840.53</v>
          </cell>
          <cell r="F436">
            <v>5412.79</v>
          </cell>
        </row>
        <row r="437">
          <cell r="A437">
            <v>189</v>
          </cell>
          <cell r="B437">
            <v>2804</v>
          </cell>
          <cell r="C437">
            <v>6700</v>
          </cell>
          <cell r="D437">
            <v>5230.94625</v>
          </cell>
          <cell r="E437">
            <v>6841.2775000000001</v>
          </cell>
          <cell r="F437">
            <v>5414.04</v>
          </cell>
        </row>
        <row r="438">
          <cell r="A438">
            <v>190</v>
          </cell>
          <cell r="B438">
            <v>2804</v>
          </cell>
          <cell r="C438">
            <v>6700</v>
          </cell>
          <cell r="D438">
            <v>5231.2275</v>
          </cell>
          <cell r="E438">
            <v>6842.0249999999996</v>
          </cell>
          <cell r="F438">
            <v>5415.29</v>
          </cell>
        </row>
        <row r="439">
          <cell r="A439">
            <v>191</v>
          </cell>
          <cell r="B439">
            <v>2804</v>
          </cell>
          <cell r="C439">
            <v>6700</v>
          </cell>
          <cell r="D439">
            <v>5231.50875</v>
          </cell>
          <cell r="E439">
            <v>6842.7725</v>
          </cell>
          <cell r="F439">
            <v>5416.54</v>
          </cell>
        </row>
        <row r="440">
          <cell r="A440">
            <v>192</v>
          </cell>
          <cell r="B440">
            <v>2804</v>
          </cell>
          <cell r="C440">
            <v>6700</v>
          </cell>
          <cell r="D440">
            <v>5231.79</v>
          </cell>
          <cell r="E440">
            <v>6843.52</v>
          </cell>
          <cell r="F440">
            <v>5417.79</v>
          </cell>
        </row>
        <row r="441">
          <cell r="A441">
            <v>193</v>
          </cell>
          <cell r="B441">
            <v>2804</v>
          </cell>
          <cell r="C441">
            <v>6700</v>
          </cell>
          <cell r="D441">
            <v>5232.07125</v>
          </cell>
          <cell r="E441">
            <v>6844.2674999999999</v>
          </cell>
          <cell r="F441">
            <v>5419.04</v>
          </cell>
        </row>
        <row r="442">
          <cell r="A442">
            <v>194</v>
          </cell>
          <cell r="B442">
            <v>2804</v>
          </cell>
          <cell r="C442">
            <v>6700</v>
          </cell>
          <cell r="D442">
            <v>5232.3525</v>
          </cell>
          <cell r="E442">
            <v>6845.0150000000003</v>
          </cell>
          <cell r="F442">
            <v>5420.29</v>
          </cell>
        </row>
        <row r="443">
          <cell r="A443">
            <v>195</v>
          </cell>
          <cell r="B443">
            <v>2804</v>
          </cell>
          <cell r="C443">
            <v>6700</v>
          </cell>
          <cell r="D443">
            <v>5232.63375</v>
          </cell>
          <cell r="E443">
            <v>6845.7624999999998</v>
          </cell>
          <cell r="F443">
            <v>5421.54</v>
          </cell>
        </row>
        <row r="444">
          <cell r="A444">
            <v>196</v>
          </cell>
          <cell r="B444">
            <v>2804</v>
          </cell>
          <cell r="C444">
            <v>6700</v>
          </cell>
          <cell r="D444">
            <v>5232.915</v>
          </cell>
          <cell r="E444">
            <v>6846.51</v>
          </cell>
          <cell r="F444">
            <v>5422.79</v>
          </cell>
        </row>
        <row r="445">
          <cell r="A445">
            <v>197</v>
          </cell>
          <cell r="B445">
            <v>2804</v>
          </cell>
          <cell r="C445">
            <v>6700</v>
          </cell>
          <cell r="D445">
            <v>5233.19625</v>
          </cell>
          <cell r="E445">
            <v>6847.2574999999997</v>
          </cell>
          <cell r="F445">
            <v>5424.04</v>
          </cell>
        </row>
        <row r="446">
          <cell r="A446">
            <v>198</v>
          </cell>
          <cell r="B446">
            <v>2804</v>
          </cell>
          <cell r="C446">
            <v>6700</v>
          </cell>
          <cell r="D446">
            <v>5233.4775</v>
          </cell>
          <cell r="E446">
            <v>6848.0050000000001</v>
          </cell>
          <cell r="F446">
            <v>5425.29</v>
          </cell>
        </row>
        <row r="447">
          <cell r="A447">
            <v>199</v>
          </cell>
          <cell r="B447">
            <v>2804</v>
          </cell>
          <cell r="C447">
            <v>6700</v>
          </cell>
          <cell r="D447">
            <v>5233.75875</v>
          </cell>
          <cell r="E447">
            <v>6848.7524999999996</v>
          </cell>
          <cell r="F447">
            <v>5426.54</v>
          </cell>
        </row>
        <row r="448">
          <cell r="A448">
            <v>200</v>
          </cell>
          <cell r="B448">
            <v>2804</v>
          </cell>
          <cell r="C448">
            <v>6700</v>
          </cell>
          <cell r="D448">
            <v>5234.04</v>
          </cell>
          <cell r="E448">
            <v>6849.5</v>
          </cell>
          <cell r="F448">
            <v>5427.79</v>
          </cell>
        </row>
        <row r="449">
          <cell r="A449">
            <v>201</v>
          </cell>
          <cell r="B449">
            <v>2804</v>
          </cell>
          <cell r="C449">
            <v>6700</v>
          </cell>
          <cell r="D449">
            <v>5234.32125</v>
          </cell>
          <cell r="E449">
            <v>6850.2475000000004</v>
          </cell>
          <cell r="F449">
            <v>5429.04</v>
          </cell>
        </row>
        <row r="450">
          <cell r="A450">
            <v>202</v>
          </cell>
          <cell r="B450">
            <v>2804</v>
          </cell>
          <cell r="C450">
            <v>6700</v>
          </cell>
          <cell r="D450">
            <v>5234.6025</v>
          </cell>
          <cell r="E450">
            <v>6850.9949999999999</v>
          </cell>
          <cell r="F450">
            <v>5430.29</v>
          </cell>
        </row>
        <row r="451">
          <cell r="A451">
            <v>203</v>
          </cell>
          <cell r="B451">
            <v>2804</v>
          </cell>
          <cell r="C451">
            <v>6700</v>
          </cell>
          <cell r="D451">
            <v>5234.88375</v>
          </cell>
          <cell r="E451">
            <v>6851.7425000000003</v>
          </cell>
          <cell r="F451">
            <v>5431.54</v>
          </cell>
        </row>
        <row r="452">
          <cell r="A452">
            <v>204</v>
          </cell>
          <cell r="B452">
            <v>2804</v>
          </cell>
          <cell r="C452">
            <v>6700</v>
          </cell>
          <cell r="D452">
            <v>5235.165</v>
          </cell>
          <cell r="E452">
            <v>6852.49</v>
          </cell>
          <cell r="F452">
            <v>5432.79</v>
          </cell>
        </row>
        <row r="453">
          <cell r="A453">
            <v>205</v>
          </cell>
          <cell r="B453">
            <v>2804</v>
          </cell>
          <cell r="C453">
            <v>6700</v>
          </cell>
          <cell r="D453">
            <v>5235.44625</v>
          </cell>
          <cell r="E453">
            <v>6853.2375000000002</v>
          </cell>
          <cell r="F453">
            <v>5434.04</v>
          </cell>
        </row>
        <row r="454">
          <cell r="A454">
            <v>206</v>
          </cell>
          <cell r="B454">
            <v>2804</v>
          </cell>
          <cell r="C454">
            <v>6700</v>
          </cell>
          <cell r="D454">
            <v>5235.7275</v>
          </cell>
          <cell r="E454">
            <v>6853.9849999999997</v>
          </cell>
          <cell r="F454">
            <v>5435.29</v>
          </cell>
        </row>
        <row r="455">
          <cell r="A455">
            <v>207</v>
          </cell>
          <cell r="B455">
            <v>2804</v>
          </cell>
          <cell r="C455">
            <v>6700</v>
          </cell>
          <cell r="D455">
            <v>5236.00875</v>
          </cell>
          <cell r="E455">
            <v>6854.7325000000001</v>
          </cell>
          <cell r="F455">
            <v>5436.54</v>
          </cell>
        </row>
        <row r="456">
          <cell r="A456">
            <v>208</v>
          </cell>
          <cell r="B456">
            <v>2804</v>
          </cell>
          <cell r="C456">
            <v>6700</v>
          </cell>
          <cell r="D456">
            <v>5236.29</v>
          </cell>
          <cell r="E456">
            <v>6855.48</v>
          </cell>
          <cell r="F456">
            <v>5437.79</v>
          </cell>
        </row>
        <row r="457">
          <cell r="A457">
            <v>209</v>
          </cell>
          <cell r="B457">
            <v>2804</v>
          </cell>
          <cell r="C457">
            <v>6700</v>
          </cell>
          <cell r="D457">
            <v>5236.57125</v>
          </cell>
          <cell r="E457">
            <v>6856.2275</v>
          </cell>
          <cell r="F457">
            <v>5439.04</v>
          </cell>
        </row>
        <row r="458">
          <cell r="A458">
            <v>210</v>
          </cell>
          <cell r="B458">
            <v>2804</v>
          </cell>
          <cell r="C458">
            <v>6700</v>
          </cell>
          <cell r="D458">
            <v>5236.8525</v>
          </cell>
          <cell r="E458">
            <v>6856.9750000000004</v>
          </cell>
          <cell r="F458">
            <v>5440.29</v>
          </cell>
        </row>
        <row r="459">
          <cell r="A459">
            <v>211</v>
          </cell>
          <cell r="B459">
            <v>2804</v>
          </cell>
          <cell r="C459">
            <v>6700</v>
          </cell>
          <cell r="D459">
            <v>5237.13375</v>
          </cell>
          <cell r="E459">
            <v>6857.7224999999999</v>
          </cell>
          <cell r="F459">
            <v>5441.54</v>
          </cell>
        </row>
        <row r="460">
          <cell r="A460">
            <v>212</v>
          </cell>
          <cell r="B460">
            <v>2804</v>
          </cell>
          <cell r="C460">
            <v>6700</v>
          </cell>
          <cell r="D460">
            <v>5237.415</v>
          </cell>
          <cell r="E460">
            <v>6858.47</v>
          </cell>
          <cell r="F460">
            <v>5442.79</v>
          </cell>
        </row>
        <row r="461">
          <cell r="A461">
            <v>213</v>
          </cell>
          <cell r="B461">
            <v>2804</v>
          </cell>
          <cell r="C461">
            <v>6700</v>
          </cell>
          <cell r="D461">
            <v>5237.69625</v>
          </cell>
          <cell r="E461">
            <v>6859.2174999999997</v>
          </cell>
          <cell r="F461">
            <v>5444.04</v>
          </cell>
        </row>
        <row r="462">
          <cell r="A462">
            <v>214</v>
          </cell>
          <cell r="B462">
            <v>2804</v>
          </cell>
          <cell r="C462">
            <v>6700</v>
          </cell>
          <cell r="D462">
            <v>5237.9775</v>
          </cell>
          <cell r="E462">
            <v>6859.9650000000001</v>
          </cell>
          <cell r="F462">
            <v>5445.29</v>
          </cell>
        </row>
        <row r="463">
          <cell r="A463">
            <v>215</v>
          </cell>
          <cell r="B463">
            <v>2804</v>
          </cell>
          <cell r="C463">
            <v>6700</v>
          </cell>
          <cell r="D463">
            <v>5238.25875</v>
          </cell>
          <cell r="E463">
            <v>6860.7124999999996</v>
          </cell>
          <cell r="F463">
            <v>5446.54</v>
          </cell>
        </row>
        <row r="464">
          <cell r="A464">
            <v>216</v>
          </cell>
          <cell r="B464">
            <v>2804</v>
          </cell>
          <cell r="C464">
            <v>6700</v>
          </cell>
          <cell r="D464">
            <v>5238.54</v>
          </cell>
          <cell r="E464">
            <v>6861.46</v>
          </cell>
          <cell r="F464">
            <v>5447.79</v>
          </cell>
        </row>
        <row r="465">
          <cell r="A465">
            <v>217</v>
          </cell>
          <cell r="B465">
            <v>2804</v>
          </cell>
          <cell r="C465">
            <v>6700</v>
          </cell>
          <cell r="D465">
            <v>5238.82125</v>
          </cell>
          <cell r="E465">
            <v>6862.2075000000004</v>
          </cell>
          <cell r="F465">
            <v>5449.04</v>
          </cell>
        </row>
        <row r="466">
          <cell r="A466">
            <v>218</v>
          </cell>
          <cell r="B466">
            <v>2804</v>
          </cell>
          <cell r="C466">
            <v>6700</v>
          </cell>
          <cell r="D466">
            <v>5239.1025</v>
          </cell>
          <cell r="E466">
            <v>6862.9549999999999</v>
          </cell>
          <cell r="F466">
            <v>5450.29</v>
          </cell>
        </row>
        <row r="467">
          <cell r="A467">
            <v>219</v>
          </cell>
          <cell r="B467">
            <v>2804</v>
          </cell>
          <cell r="C467">
            <v>6700</v>
          </cell>
          <cell r="D467">
            <v>5239.38375</v>
          </cell>
          <cell r="E467">
            <v>6863.7025000000003</v>
          </cell>
          <cell r="F467">
            <v>5451.54</v>
          </cell>
        </row>
        <row r="468">
          <cell r="A468">
            <v>220</v>
          </cell>
          <cell r="B468">
            <v>2804</v>
          </cell>
          <cell r="C468">
            <v>6700</v>
          </cell>
          <cell r="D468">
            <v>5239.665</v>
          </cell>
          <cell r="E468">
            <v>6864.45</v>
          </cell>
          <cell r="F468">
            <v>5452.79</v>
          </cell>
        </row>
        <row r="469">
          <cell r="A469">
            <v>221</v>
          </cell>
          <cell r="B469">
            <v>2804</v>
          </cell>
          <cell r="C469">
            <v>6700</v>
          </cell>
          <cell r="D469">
            <v>5239.94625</v>
          </cell>
          <cell r="E469">
            <v>6865.1975000000002</v>
          </cell>
          <cell r="F469">
            <v>5454.04</v>
          </cell>
        </row>
        <row r="470">
          <cell r="A470">
            <v>222</v>
          </cell>
          <cell r="B470">
            <v>2804</v>
          </cell>
          <cell r="C470">
            <v>6700</v>
          </cell>
          <cell r="D470">
            <v>5240.2275</v>
          </cell>
          <cell r="E470">
            <v>6865.9449999999997</v>
          </cell>
          <cell r="F470">
            <v>5455.29</v>
          </cell>
        </row>
        <row r="471">
          <cell r="A471">
            <v>223</v>
          </cell>
          <cell r="B471">
            <v>2804</v>
          </cell>
          <cell r="C471">
            <v>6700</v>
          </cell>
          <cell r="D471">
            <v>5240.50875</v>
          </cell>
          <cell r="E471">
            <v>6866.6925000000001</v>
          </cell>
          <cell r="F471">
            <v>5456.54</v>
          </cell>
        </row>
        <row r="472">
          <cell r="A472">
            <v>224</v>
          </cell>
          <cell r="B472">
            <v>2804</v>
          </cell>
          <cell r="C472">
            <v>6700</v>
          </cell>
          <cell r="D472">
            <v>5240.79</v>
          </cell>
          <cell r="E472">
            <v>6867.44</v>
          </cell>
          <cell r="F472">
            <v>5457.79</v>
          </cell>
        </row>
        <row r="473">
          <cell r="A473">
            <v>225</v>
          </cell>
          <cell r="B473">
            <v>2804</v>
          </cell>
          <cell r="C473">
            <v>6700</v>
          </cell>
          <cell r="D473">
            <v>5241.07125</v>
          </cell>
          <cell r="E473">
            <v>6868.1875</v>
          </cell>
          <cell r="F473">
            <v>5459.04</v>
          </cell>
        </row>
        <row r="474">
          <cell r="A474">
            <v>226</v>
          </cell>
          <cell r="B474">
            <v>2804</v>
          </cell>
          <cell r="C474">
            <v>6700</v>
          </cell>
          <cell r="D474">
            <v>5241.3525</v>
          </cell>
          <cell r="E474">
            <v>6868.9350000000004</v>
          </cell>
          <cell r="F474">
            <v>5460.29</v>
          </cell>
        </row>
        <row r="475">
          <cell r="A475">
            <v>227</v>
          </cell>
          <cell r="B475">
            <v>2804</v>
          </cell>
          <cell r="C475">
            <v>6700</v>
          </cell>
          <cell r="D475">
            <v>5241.63375</v>
          </cell>
          <cell r="E475">
            <v>6869.6824999999999</v>
          </cell>
          <cell r="F475">
            <v>5461.54</v>
          </cell>
        </row>
        <row r="476">
          <cell r="A476">
            <v>228</v>
          </cell>
          <cell r="B476">
            <v>2804</v>
          </cell>
          <cell r="C476">
            <v>6700</v>
          </cell>
          <cell r="D476">
            <v>5241.915</v>
          </cell>
          <cell r="E476">
            <v>6870.43</v>
          </cell>
          <cell r="F476">
            <v>5462.79</v>
          </cell>
        </row>
        <row r="477">
          <cell r="A477">
            <v>229</v>
          </cell>
          <cell r="B477">
            <v>2804</v>
          </cell>
          <cell r="C477">
            <v>6700</v>
          </cell>
          <cell r="D477">
            <v>5242.19625</v>
          </cell>
          <cell r="E477">
            <v>6871.1774999999998</v>
          </cell>
          <cell r="F477">
            <v>5464.04</v>
          </cell>
        </row>
        <row r="478">
          <cell r="A478">
            <v>230</v>
          </cell>
          <cell r="B478">
            <v>2804</v>
          </cell>
          <cell r="C478">
            <v>6700</v>
          </cell>
          <cell r="D478">
            <v>5242.4775</v>
          </cell>
          <cell r="E478">
            <v>6871.9250000000002</v>
          </cell>
          <cell r="F478">
            <v>5465.29</v>
          </cell>
        </row>
        <row r="479">
          <cell r="A479">
            <v>231</v>
          </cell>
          <cell r="B479">
            <v>2804</v>
          </cell>
          <cell r="C479">
            <v>6700</v>
          </cell>
          <cell r="D479">
            <v>5242.75875</v>
          </cell>
          <cell r="E479">
            <v>6872.6724999999997</v>
          </cell>
          <cell r="F479">
            <v>5466.54</v>
          </cell>
        </row>
        <row r="480">
          <cell r="A480">
            <v>232</v>
          </cell>
          <cell r="B480">
            <v>2804</v>
          </cell>
          <cell r="C480">
            <v>6700</v>
          </cell>
          <cell r="D480">
            <v>5243.04</v>
          </cell>
          <cell r="E480">
            <v>6873.42</v>
          </cell>
          <cell r="F480">
            <v>5467.79</v>
          </cell>
        </row>
        <row r="481">
          <cell r="A481">
            <v>233</v>
          </cell>
          <cell r="B481">
            <v>2804</v>
          </cell>
          <cell r="C481">
            <v>6700</v>
          </cell>
          <cell r="D481">
            <v>5243.32125</v>
          </cell>
          <cell r="E481">
            <v>6874.1674999999996</v>
          </cell>
          <cell r="F481">
            <v>5469.04</v>
          </cell>
        </row>
        <row r="482">
          <cell r="A482">
            <v>234</v>
          </cell>
          <cell r="B482">
            <v>2804</v>
          </cell>
          <cell r="C482">
            <v>6700</v>
          </cell>
          <cell r="D482">
            <v>5243.6025</v>
          </cell>
          <cell r="E482">
            <v>6874.915</v>
          </cell>
          <cell r="F482">
            <v>5470.29</v>
          </cell>
        </row>
        <row r="483">
          <cell r="A483">
            <v>235</v>
          </cell>
          <cell r="B483">
            <v>2804</v>
          </cell>
          <cell r="C483">
            <v>6700</v>
          </cell>
          <cell r="D483">
            <v>5243.88375</v>
          </cell>
          <cell r="E483">
            <v>6875.6625000000004</v>
          </cell>
          <cell r="F483">
            <v>5471.54</v>
          </cell>
        </row>
        <row r="484">
          <cell r="A484">
            <v>236</v>
          </cell>
          <cell r="B484">
            <v>2804</v>
          </cell>
          <cell r="C484">
            <v>6700</v>
          </cell>
          <cell r="D484">
            <v>5244.165</v>
          </cell>
          <cell r="E484">
            <v>6876.41</v>
          </cell>
          <cell r="F484">
            <v>5472.79</v>
          </cell>
        </row>
        <row r="485">
          <cell r="A485">
            <v>237</v>
          </cell>
          <cell r="B485">
            <v>2804</v>
          </cell>
          <cell r="C485">
            <v>6700</v>
          </cell>
          <cell r="D485">
            <v>5244.44625</v>
          </cell>
          <cell r="E485">
            <v>6877.1575000000003</v>
          </cell>
          <cell r="F485">
            <v>5474.04</v>
          </cell>
        </row>
        <row r="486">
          <cell r="A486">
            <v>238</v>
          </cell>
          <cell r="B486">
            <v>2804</v>
          </cell>
          <cell r="C486">
            <v>6700</v>
          </cell>
          <cell r="D486">
            <v>5244.7275</v>
          </cell>
          <cell r="E486">
            <v>6877.9049999999997</v>
          </cell>
          <cell r="F486">
            <v>5475.29</v>
          </cell>
        </row>
        <row r="487">
          <cell r="A487">
            <v>239</v>
          </cell>
          <cell r="B487">
            <v>2804</v>
          </cell>
          <cell r="C487">
            <v>6700</v>
          </cell>
          <cell r="D487">
            <v>5245.00875</v>
          </cell>
          <cell r="E487">
            <v>6878.6525000000001</v>
          </cell>
          <cell r="F487">
            <v>5476.54</v>
          </cell>
        </row>
        <row r="488">
          <cell r="A488">
            <v>240</v>
          </cell>
          <cell r="B488">
            <v>2804</v>
          </cell>
          <cell r="C488">
            <v>6700</v>
          </cell>
          <cell r="D488">
            <v>5245.29</v>
          </cell>
          <cell r="E488">
            <v>6879.4</v>
          </cell>
          <cell r="F488">
            <v>5477.79</v>
          </cell>
        </row>
        <row r="489">
          <cell r="A489">
            <v>241</v>
          </cell>
          <cell r="B489">
            <v>2804</v>
          </cell>
          <cell r="C489">
            <v>6700</v>
          </cell>
          <cell r="D489">
            <v>5245.57125</v>
          </cell>
          <cell r="E489">
            <v>6880.1475</v>
          </cell>
          <cell r="F489">
            <v>5479.04</v>
          </cell>
        </row>
        <row r="490">
          <cell r="A490">
            <v>242</v>
          </cell>
          <cell r="B490">
            <v>2804</v>
          </cell>
          <cell r="C490">
            <v>6700</v>
          </cell>
          <cell r="D490">
            <v>5245.8525</v>
          </cell>
          <cell r="E490">
            <v>6880.8950000000004</v>
          </cell>
          <cell r="F490">
            <v>5480.29</v>
          </cell>
        </row>
        <row r="491">
          <cell r="A491">
            <v>243</v>
          </cell>
          <cell r="B491">
            <v>2804</v>
          </cell>
          <cell r="C491">
            <v>6700</v>
          </cell>
          <cell r="D491">
            <v>5246.13375</v>
          </cell>
          <cell r="E491">
            <v>6881.6424999999999</v>
          </cell>
          <cell r="F491">
            <v>5481.54</v>
          </cell>
        </row>
        <row r="492">
          <cell r="A492">
            <v>244</v>
          </cell>
          <cell r="B492">
            <v>2804</v>
          </cell>
          <cell r="C492">
            <v>6700</v>
          </cell>
          <cell r="D492">
            <v>5246.415</v>
          </cell>
          <cell r="E492">
            <v>6882.39</v>
          </cell>
          <cell r="F492">
            <v>5482.79</v>
          </cell>
        </row>
        <row r="493">
          <cell r="A493">
            <v>245</v>
          </cell>
          <cell r="B493">
            <v>2804</v>
          </cell>
          <cell r="C493">
            <v>6700</v>
          </cell>
          <cell r="D493">
            <v>5246.69625</v>
          </cell>
          <cell r="E493">
            <v>6883.1374999999998</v>
          </cell>
          <cell r="F493">
            <v>5484.04</v>
          </cell>
        </row>
        <row r="494">
          <cell r="A494">
            <v>246</v>
          </cell>
          <cell r="B494">
            <v>2804</v>
          </cell>
          <cell r="C494">
            <v>6700</v>
          </cell>
          <cell r="D494">
            <v>5246.9775</v>
          </cell>
          <cell r="E494">
            <v>6883.8850000000002</v>
          </cell>
          <cell r="F494">
            <v>5485.29</v>
          </cell>
        </row>
        <row r="495">
          <cell r="A495">
            <v>247</v>
          </cell>
          <cell r="B495">
            <v>2804</v>
          </cell>
          <cell r="C495">
            <v>6700</v>
          </cell>
          <cell r="D495">
            <v>5247.25875</v>
          </cell>
          <cell r="E495">
            <v>6884.6324999999997</v>
          </cell>
          <cell r="F495">
            <v>5486.54</v>
          </cell>
        </row>
        <row r="496">
          <cell r="A496">
            <v>248</v>
          </cell>
          <cell r="B496">
            <v>2804</v>
          </cell>
          <cell r="C496">
            <v>6700</v>
          </cell>
          <cell r="D496">
            <v>5247.54</v>
          </cell>
          <cell r="E496">
            <v>6885.38</v>
          </cell>
          <cell r="F496">
            <v>5487.79</v>
          </cell>
        </row>
        <row r="497">
          <cell r="A497">
            <v>249</v>
          </cell>
          <cell r="B497">
            <v>2804</v>
          </cell>
          <cell r="C497">
            <v>6700</v>
          </cell>
          <cell r="D497">
            <v>5247.82125</v>
          </cell>
          <cell r="E497">
            <v>6886.1274999999996</v>
          </cell>
          <cell r="F497">
            <v>5489.04</v>
          </cell>
        </row>
        <row r="498">
          <cell r="A498">
            <v>250</v>
          </cell>
          <cell r="B498">
            <v>2804</v>
          </cell>
          <cell r="C498">
            <v>6700</v>
          </cell>
          <cell r="D498">
            <v>5248.1025</v>
          </cell>
          <cell r="E498">
            <v>6886.875</v>
          </cell>
          <cell r="F498">
            <v>5490.29</v>
          </cell>
        </row>
        <row r="499">
          <cell r="A499">
            <v>251</v>
          </cell>
          <cell r="B499">
            <v>2804</v>
          </cell>
          <cell r="C499">
            <v>6700</v>
          </cell>
          <cell r="D499">
            <v>5248.38375</v>
          </cell>
          <cell r="E499">
            <v>6887.6225000000004</v>
          </cell>
          <cell r="F499">
            <v>5491.54</v>
          </cell>
        </row>
        <row r="500">
          <cell r="A500">
            <v>252</v>
          </cell>
          <cell r="B500">
            <v>2804</v>
          </cell>
          <cell r="C500">
            <v>6700</v>
          </cell>
          <cell r="D500">
            <v>5248.665</v>
          </cell>
          <cell r="E500">
            <v>6888.37</v>
          </cell>
          <cell r="F500">
            <v>5492.79</v>
          </cell>
        </row>
        <row r="501">
          <cell r="A501">
            <v>253</v>
          </cell>
          <cell r="B501">
            <v>2804</v>
          </cell>
          <cell r="C501">
            <v>6700</v>
          </cell>
          <cell r="D501">
            <v>5248.94625</v>
          </cell>
          <cell r="E501">
            <v>6889.1175000000003</v>
          </cell>
          <cell r="F501">
            <v>5494.04</v>
          </cell>
        </row>
        <row r="502">
          <cell r="A502">
            <v>254</v>
          </cell>
          <cell r="B502">
            <v>2804</v>
          </cell>
          <cell r="C502">
            <v>6700</v>
          </cell>
          <cell r="D502">
            <v>5249.2275</v>
          </cell>
          <cell r="E502">
            <v>6889.8649999999998</v>
          </cell>
          <cell r="F502">
            <v>5495.29</v>
          </cell>
        </row>
        <row r="503">
          <cell r="A503">
            <v>255</v>
          </cell>
          <cell r="B503">
            <v>2804</v>
          </cell>
          <cell r="C503">
            <v>6700</v>
          </cell>
          <cell r="D503">
            <v>5249.50875</v>
          </cell>
          <cell r="E503">
            <v>6890.6125000000002</v>
          </cell>
          <cell r="F503">
            <v>5496.54</v>
          </cell>
        </row>
        <row r="504">
          <cell r="A504">
            <v>256</v>
          </cell>
          <cell r="B504">
            <v>2804</v>
          </cell>
          <cell r="C504">
            <v>6700</v>
          </cell>
          <cell r="D504">
            <v>5249.79</v>
          </cell>
          <cell r="E504">
            <v>6891.36</v>
          </cell>
          <cell r="F504">
            <v>5497.79</v>
          </cell>
        </row>
        <row r="505">
          <cell r="A505">
            <v>257</v>
          </cell>
          <cell r="B505">
            <v>2804</v>
          </cell>
          <cell r="C505">
            <v>6700</v>
          </cell>
          <cell r="D505">
            <v>5250.07125</v>
          </cell>
          <cell r="E505">
            <v>6892.1075000000001</v>
          </cell>
          <cell r="F505">
            <v>5499.04</v>
          </cell>
        </row>
        <row r="506">
          <cell r="A506">
            <v>258</v>
          </cell>
          <cell r="B506">
            <v>2804</v>
          </cell>
          <cell r="C506">
            <v>6700</v>
          </cell>
          <cell r="D506">
            <v>5250.3525</v>
          </cell>
          <cell r="E506">
            <v>6892.8549999999996</v>
          </cell>
          <cell r="F506">
            <v>5500.29</v>
          </cell>
        </row>
        <row r="507">
          <cell r="A507">
            <v>259</v>
          </cell>
          <cell r="B507">
            <v>2804</v>
          </cell>
          <cell r="C507">
            <v>6700</v>
          </cell>
          <cell r="D507">
            <v>5250.63375</v>
          </cell>
          <cell r="E507">
            <v>6893.6025</v>
          </cell>
          <cell r="F507">
            <v>5501.54</v>
          </cell>
        </row>
        <row r="508">
          <cell r="A508">
            <v>260</v>
          </cell>
          <cell r="B508">
            <v>2804</v>
          </cell>
          <cell r="C508">
            <v>6700</v>
          </cell>
          <cell r="D508">
            <v>5250.915</v>
          </cell>
          <cell r="E508">
            <v>6894.35</v>
          </cell>
          <cell r="F508">
            <v>5502.79</v>
          </cell>
        </row>
        <row r="509">
          <cell r="A509">
            <v>261</v>
          </cell>
          <cell r="B509">
            <v>2804</v>
          </cell>
          <cell r="C509">
            <v>6700</v>
          </cell>
          <cell r="D509">
            <v>5251.19625</v>
          </cell>
          <cell r="E509">
            <v>6895.0974999999999</v>
          </cell>
          <cell r="F509">
            <v>5504.04</v>
          </cell>
        </row>
        <row r="510">
          <cell r="A510">
            <v>262</v>
          </cell>
          <cell r="B510">
            <v>2804</v>
          </cell>
          <cell r="C510">
            <v>6700</v>
          </cell>
          <cell r="D510">
            <v>5251.4775</v>
          </cell>
          <cell r="E510">
            <v>6895.8450000000003</v>
          </cell>
          <cell r="F510">
            <v>5505.29</v>
          </cell>
        </row>
        <row r="511">
          <cell r="A511">
            <v>263</v>
          </cell>
          <cell r="B511">
            <v>2804</v>
          </cell>
          <cell r="C511">
            <v>6700</v>
          </cell>
          <cell r="D511">
            <v>5251.75875</v>
          </cell>
          <cell r="E511">
            <v>6896.5924999999997</v>
          </cell>
          <cell r="F511">
            <v>5506.54</v>
          </cell>
        </row>
        <row r="512">
          <cell r="A512">
            <v>264</v>
          </cell>
          <cell r="B512">
            <v>2804</v>
          </cell>
          <cell r="C512">
            <v>6700</v>
          </cell>
          <cell r="D512">
            <v>5252.04</v>
          </cell>
          <cell r="E512">
            <v>6897.34</v>
          </cell>
          <cell r="F512">
            <v>5507.79</v>
          </cell>
        </row>
        <row r="513">
          <cell r="A513">
            <v>265</v>
          </cell>
          <cell r="B513">
            <v>2804</v>
          </cell>
          <cell r="C513">
            <v>6700</v>
          </cell>
          <cell r="D513">
            <v>5252.32125</v>
          </cell>
          <cell r="E513">
            <v>6898.0874999999996</v>
          </cell>
          <cell r="F513">
            <v>5509.04</v>
          </cell>
        </row>
        <row r="514">
          <cell r="A514">
            <v>266</v>
          </cell>
          <cell r="B514">
            <v>2804</v>
          </cell>
          <cell r="C514">
            <v>6700</v>
          </cell>
          <cell r="D514">
            <v>5252.6025</v>
          </cell>
          <cell r="E514">
            <v>6898.835</v>
          </cell>
          <cell r="F514">
            <v>5510.29</v>
          </cell>
        </row>
        <row r="515">
          <cell r="A515">
            <v>267</v>
          </cell>
          <cell r="B515">
            <v>2804</v>
          </cell>
          <cell r="C515">
            <v>6700</v>
          </cell>
          <cell r="D515">
            <v>5252.88375</v>
          </cell>
          <cell r="E515">
            <v>6899.5825000000004</v>
          </cell>
          <cell r="F515">
            <v>5511.54</v>
          </cell>
        </row>
        <row r="516">
          <cell r="A516">
            <v>268</v>
          </cell>
          <cell r="B516">
            <v>2804</v>
          </cell>
          <cell r="C516">
            <v>6700</v>
          </cell>
          <cell r="D516">
            <v>5253.165</v>
          </cell>
          <cell r="E516">
            <v>6900.33</v>
          </cell>
          <cell r="F516">
            <v>5512.79</v>
          </cell>
        </row>
        <row r="517">
          <cell r="A517">
            <v>269</v>
          </cell>
          <cell r="B517">
            <v>2804</v>
          </cell>
          <cell r="C517">
            <v>6700</v>
          </cell>
          <cell r="D517">
            <v>5253.44625</v>
          </cell>
          <cell r="E517">
            <v>6901.0775000000003</v>
          </cell>
          <cell r="F517">
            <v>5514.04</v>
          </cell>
        </row>
        <row r="518">
          <cell r="A518">
            <v>270</v>
          </cell>
          <cell r="B518">
            <v>2804</v>
          </cell>
          <cell r="C518">
            <v>6700</v>
          </cell>
          <cell r="D518">
            <v>5253.7275</v>
          </cell>
          <cell r="E518">
            <v>6901.8249999999998</v>
          </cell>
          <cell r="F518">
            <v>5515.29</v>
          </cell>
        </row>
        <row r="519">
          <cell r="A519">
            <v>271</v>
          </cell>
          <cell r="B519">
            <v>2804</v>
          </cell>
          <cell r="C519">
            <v>6700</v>
          </cell>
          <cell r="D519">
            <v>5254.00875</v>
          </cell>
          <cell r="E519">
            <v>6902.5725000000002</v>
          </cell>
          <cell r="F519">
            <v>5516.54</v>
          </cell>
        </row>
        <row r="520">
          <cell r="A520">
            <v>272</v>
          </cell>
          <cell r="B520">
            <v>2804</v>
          </cell>
          <cell r="C520">
            <v>6700</v>
          </cell>
          <cell r="D520">
            <v>5254.29</v>
          </cell>
          <cell r="E520">
            <v>6903.32</v>
          </cell>
          <cell r="F520">
            <v>5517.79</v>
          </cell>
        </row>
        <row r="521">
          <cell r="A521">
            <v>273</v>
          </cell>
          <cell r="B521">
            <v>2804</v>
          </cell>
          <cell r="C521">
            <v>6700</v>
          </cell>
          <cell r="D521">
            <v>5254.57125</v>
          </cell>
          <cell r="E521">
            <v>6904.0675000000001</v>
          </cell>
          <cell r="F521">
            <v>5519.04</v>
          </cell>
        </row>
        <row r="522">
          <cell r="A522">
            <v>274</v>
          </cell>
          <cell r="B522">
            <v>2804</v>
          </cell>
          <cell r="C522">
            <v>6700</v>
          </cell>
          <cell r="D522">
            <v>5254.8525</v>
          </cell>
          <cell r="E522">
            <v>6904.8149999999996</v>
          </cell>
          <cell r="F522">
            <v>5520.29</v>
          </cell>
        </row>
        <row r="523">
          <cell r="A523">
            <v>275</v>
          </cell>
          <cell r="B523">
            <v>2804</v>
          </cell>
          <cell r="C523">
            <v>6700</v>
          </cell>
          <cell r="D523">
            <v>5255.13375</v>
          </cell>
          <cell r="E523">
            <v>6905.5625</v>
          </cell>
          <cell r="F523">
            <v>5521.54</v>
          </cell>
        </row>
        <row r="524">
          <cell r="A524">
            <v>276</v>
          </cell>
          <cell r="B524">
            <v>2804</v>
          </cell>
          <cell r="C524">
            <v>6700</v>
          </cell>
          <cell r="D524">
            <v>5255.415</v>
          </cell>
          <cell r="E524">
            <v>6906.31</v>
          </cell>
          <cell r="F524">
            <v>5522.79</v>
          </cell>
        </row>
        <row r="525">
          <cell r="A525">
            <v>277</v>
          </cell>
          <cell r="B525">
            <v>2804</v>
          </cell>
          <cell r="C525">
            <v>6700</v>
          </cell>
          <cell r="D525">
            <v>5255.69625</v>
          </cell>
          <cell r="E525">
            <v>6907.0574999999999</v>
          </cell>
          <cell r="F525">
            <v>5524.04</v>
          </cell>
        </row>
        <row r="526">
          <cell r="A526">
            <v>278</v>
          </cell>
          <cell r="B526">
            <v>2804</v>
          </cell>
          <cell r="C526">
            <v>6700</v>
          </cell>
          <cell r="D526">
            <v>5255.9775</v>
          </cell>
          <cell r="E526">
            <v>6907.8050000000003</v>
          </cell>
          <cell r="F526">
            <v>5525.29</v>
          </cell>
        </row>
        <row r="527">
          <cell r="A527">
            <v>279</v>
          </cell>
          <cell r="B527">
            <v>2804</v>
          </cell>
          <cell r="C527">
            <v>6700</v>
          </cell>
          <cell r="D527">
            <v>5256.25875</v>
          </cell>
          <cell r="E527">
            <v>6908.5524999999998</v>
          </cell>
          <cell r="F527">
            <v>5526.54</v>
          </cell>
        </row>
        <row r="528">
          <cell r="A528">
            <v>280</v>
          </cell>
          <cell r="B528">
            <v>2804</v>
          </cell>
          <cell r="C528">
            <v>6700</v>
          </cell>
          <cell r="D528">
            <v>5256.54</v>
          </cell>
          <cell r="E528">
            <v>6909.3</v>
          </cell>
          <cell r="F528">
            <v>5527.79</v>
          </cell>
        </row>
        <row r="529">
          <cell r="A529">
            <v>281</v>
          </cell>
          <cell r="B529">
            <v>2804</v>
          </cell>
          <cell r="C529">
            <v>6700</v>
          </cell>
          <cell r="D529">
            <v>5256.82125</v>
          </cell>
          <cell r="E529">
            <v>6910.0474999999997</v>
          </cell>
          <cell r="F529">
            <v>5529.04</v>
          </cell>
        </row>
        <row r="530">
          <cell r="A530">
            <v>282</v>
          </cell>
          <cell r="B530">
            <v>2804</v>
          </cell>
          <cell r="C530">
            <v>6700</v>
          </cell>
          <cell r="D530">
            <v>5257.1025</v>
          </cell>
          <cell r="E530">
            <v>6910.7950000000001</v>
          </cell>
          <cell r="F530">
            <v>5530.29</v>
          </cell>
        </row>
        <row r="531">
          <cell r="A531">
            <v>283</v>
          </cell>
          <cell r="B531">
            <v>2804</v>
          </cell>
          <cell r="C531">
            <v>6700</v>
          </cell>
          <cell r="D531">
            <v>5257.38375</v>
          </cell>
          <cell r="E531">
            <v>6911.5424999999996</v>
          </cell>
          <cell r="F531">
            <v>5531.54</v>
          </cell>
        </row>
        <row r="532">
          <cell r="A532">
            <v>284</v>
          </cell>
          <cell r="B532">
            <v>2804</v>
          </cell>
          <cell r="C532">
            <v>6700</v>
          </cell>
          <cell r="D532">
            <v>5257.665</v>
          </cell>
          <cell r="E532">
            <v>6912.29</v>
          </cell>
          <cell r="F532">
            <v>5532.79</v>
          </cell>
        </row>
        <row r="533">
          <cell r="A533">
            <v>285</v>
          </cell>
          <cell r="B533">
            <v>2804</v>
          </cell>
          <cell r="C533">
            <v>6700</v>
          </cell>
          <cell r="D533">
            <v>5257.94625</v>
          </cell>
          <cell r="E533">
            <v>6913.0375000000004</v>
          </cell>
          <cell r="F533">
            <v>5534.04</v>
          </cell>
        </row>
        <row r="534">
          <cell r="A534">
            <v>286</v>
          </cell>
          <cell r="B534">
            <v>2804</v>
          </cell>
          <cell r="C534">
            <v>6700</v>
          </cell>
          <cell r="D534">
            <v>5258.2275</v>
          </cell>
          <cell r="E534">
            <v>6913.7849999999999</v>
          </cell>
          <cell r="F534">
            <v>5535.29</v>
          </cell>
        </row>
        <row r="535">
          <cell r="A535">
            <v>287</v>
          </cell>
          <cell r="B535">
            <v>2804</v>
          </cell>
          <cell r="C535">
            <v>6700</v>
          </cell>
          <cell r="D535">
            <v>5258.50875</v>
          </cell>
          <cell r="E535">
            <v>6914.5325000000003</v>
          </cell>
          <cell r="F535">
            <v>5536.54</v>
          </cell>
        </row>
        <row r="536">
          <cell r="A536">
            <v>288</v>
          </cell>
          <cell r="B536">
            <v>2804</v>
          </cell>
          <cell r="C536">
            <v>6700</v>
          </cell>
          <cell r="D536">
            <v>5258.79</v>
          </cell>
          <cell r="E536">
            <v>6915.28</v>
          </cell>
          <cell r="F536">
            <v>5537.79</v>
          </cell>
        </row>
        <row r="537">
          <cell r="A537">
            <v>289</v>
          </cell>
          <cell r="B537">
            <v>2804</v>
          </cell>
          <cell r="C537">
            <v>6700</v>
          </cell>
          <cell r="D537">
            <v>5259.07125</v>
          </cell>
          <cell r="E537">
            <v>6916.0275000000001</v>
          </cell>
          <cell r="F537">
            <v>5539.04</v>
          </cell>
        </row>
        <row r="538">
          <cell r="A538">
            <v>290</v>
          </cell>
          <cell r="B538">
            <v>2804</v>
          </cell>
          <cell r="C538">
            <v>6700</v>
          </cell>
          <cell r="D538">
            <v>5259.3525</v>
          </cell>
          <cell r="E538">
            <v>6916.7749999999996</v>
          </cell>
          <cell r="F538">
            <v>5540.29</v>
          </cell>
        </row>
        <row r="539">
          <cell r="A539">
            <v>291</v>
          </cell>
          <cell r="B539">
            <v>2804</v>
          </cell>
          <cell r="C539">
            <v>6700</v>
          </cell>
          <cell r="D539">
            <v>5259.63375</v>
          </cell>
          <cell r="E539">
            <v>6917.5225</v>
          </cell>
          <cell r="F539">
            <v>5541.54</v>
          </cell>
        </row>
        <row r="540">
          <cell r="A540">
            <v>292</v>
          </cell>
          <cell r="B540">
            <v>2804</v>
          </cell>
          <cell r="C540">
            <v>6700</v>
          </cell>
          <cell r="D540">
            <v>5259.915</v>
          </cell>
          <cell r="E540">
            <v>6918.27</v>
          </cell>
          <cell r="F540">
            <v>5542.79</v>
          </cell>
        </row>
        <row r="541">
          <cell r="A541">
            <v>293</v>
          </cell>
          <cell r="B541">
            <v>2804</v>
          </cell>
          <cell r="C541">
            <v>6700</v>
          </cell>
          <cell r="D541">
            <v>5260.19625</v>
          </cell>
          <cell r="E541">
            <v>6919.0174999999999</v>
          </cell>
          <cell r="F541">
            <v>5544.04</v>
          </cell>
        </row>
        <row r="542">
          <cell r="A542">
            <v>294</v>
          </cell>
          <cell r="B542">
            <v>2804</v>
          </cell>
          <cell r="C542">
            <v>6700</v>
          </cell>
          <cell r="D542">
            <v>5260.4775</v>
          </cell>
          <cell r="E542">
            <v>6919.7650000000003</v>
          </cell>
          <cell r="F542">
            <v>5545.29</v>
          </cell>
        </row>
        <row r="543">
          <cell r="A543">
            <v>295</v>
          </cell>
          <cell r="B543">
            <v>2804</v>
          </cell>
          <cell r="C543">
            <v>6700</v>
          </cell>
          <cell r="D543">
            <v>5260.75875</v>
          </cell>
          <cell r="E543">
            <v>6920.5124999999998</v>
          </cell>
          <cell r="F543">
            <v>5546.54</v>
          </cell>
        </row>
        <row r="544">
          <cell r="A544">
            <v>296</v>
          </cell>
          <cell r="B544">
            <v>2804</v>
          </cell>
          <cell r="C544">
            <v>6700</v>
          </cell>
          <cell r="D544">
            <v>5261.04</v>
          </cell>
          <cell r="E544">
            <v>6921.26</v>
          </cell>
          <cell r="F544">
            <v>5547.79</v>
          </cell>
        </row>
        <row r="545">
          <cell r="A545">
            <v>297</v>
          </cell>
          <cell r="B545">
            <v>2804</v>
          </cell>
          <cell r="C545">
            <v>6700</v>
          </cell>
          <cell r="D545">
            <v>5261.32125</v>
          </cell>
          <cell r="E545">
            <v>6922.0074999999997</v>
          </cell>
          <cell r="F545">
            <v>5549.04</v>
          </cell>
        </row>
        <row r="546">
          <cell r="A546">
            <v>298</v>
          </cell>
          <cell r="B546">
            <v>2804</v>
          </cell>
          <cell r="C546">
            <v>6700</v>
          </cell>
          <cell r="D546">
            <v>5261.6025</v>
          </cell>
          <cell r="E546">
            <v>6922.7550000000001</v>
          </cell>
          <cell r="F546">
            <v>5550.29</v>
          </cell>
        </row>
        <row r="547">
          <cell r="A547">
            <v>299</v>
          </cell>
          <cell r="B547">
            <v>2804</v>
          </cell>
          <cell r="C547">
            <v>6700</v>
          </cell>
          <cell r="D547">
            <v>5261.88375</v>
          </cell>
          <cell r="E547">
            <v>6923.5024999999996</v>
          </cell>
          <cell r="F547">
            <v>5551.54</v>
          </cell>
        </row>
        <row r="548">
          <cell r="A548">
            <v>300</v>
          </cell>
          <cell r="B548">
            <v>2804</v>
          </cell>
          <cell r="C548">
            <v>6700</v>
          </cell>
          <cell r="D548">
            <v>5262.165</v>
          </cell>
          <cell r="E548">
            <v>6924.25</v>
          </cell>
          <cell r="F548">
            <v>5552.79</v>
          </cell>
        </row>
        <row r="549">
          <cell r="A549">
            <v>301</v>
          </cell>
          <cell r="B549">
            <v>2804</v>
          </cell>
          <cell r="C549">
            <v>6700</v>
          </cell>
          <cell r="D549">
            <v>5262.44625</v>
          </cell>
          <cell r="E549">
            <v>6924.9975000000004</v>
          </cell>
          <cell r="F549">
            <v>5554.04</v>
          </cell>
        </row>
        <row r="550">
          <cell r="A550">
            <v>302</v>
          </cell>
          <cell r="B550">
            <v>2804</v>
          </cell>
          <cell r="C550">
            <v>6700</v>
          </cell>
          <cell r="D550">
            <v>5262.7275</v>
          </cell>
          <cell r="E550">
            <v>6925.7449999999999</v>
          </cell>
          <cell r="F550">
            <v>5555.29</v>
          </cell>
        </row>
        <row r="551">
          <cell r="A551">
            <v>303</v>
          </cell>
          <cell r="B551">
            <v>2804</v>
          </cell>
          <cell r="C551">
            <v>6700</v>
          </cell>
          <cell r="D551">
            <v>5263.00875</v>
          </cell>
          <cell r="E551">
            <v>6926.4925000000003</v>
          </cell>
          <cell r="F551">
            <v>5556.54</v>
          </cell>
        </row>
        <row r="552">
          <cell r="A552">
            <v>304</v>
          </cell>
          <cell r="B552">
            <v>2804</v>
          </cell>
          <cell r="C552">
            <v>6700</v>
          </cell>
          <cell r="D552">
            <v>5263.29</v>
          </cell>
          <cell r="E552">
            <v>6927.24</v>
          </cell>
          <cell r="F552">
            <v>5557.79</v>
          </cell>
        </row>
        <row r="553">
          <cell r="A553">
            <v>305</v>
          </cell>
          <cell r="B553">
            <v>2804</v>
          </cell>
          <cell r="C553">
            <v>6700</v>
          </cell>
          <cell r="D553">
            <v>5263.57125</v>
          </cell>
          <cell r="E553">
            <v>6927.9875000000002</v>
          </cell>
          <cell r="F553">
            <v>5559.04</v>
          </cell>
        </row>
        <row r="554">
          <cell r="A554">
            <v>306</v>
          </cell>
          <cell r="B554">
            <v>2804</v>
          </cell>
          <cell r="C554">
            <v>6700</v>
          </cell>
          <cell r="D554">
            <v>5263.8525</v>
          </cell>
          <cell r="E554">
            <v>6928.7349999999997</v>
          </cell>
          <cell r="F554">
            <v>5560.29</v>
          </cell>
        </row>
        <row r="555">
          <cell r="A555">
            <v>307</v>
          </cell>
          <cell r="B555">
            <v>2804</v>
          </cell>
          <cell r="C555">
            <v>6700</v>
          </cell>
          <cell r="D555">
            <v>5264.13375</v>
          </cell>
          <cell r="E555">
            <v>6929.4825000000001</v>
          </cell>
          <cell r="F555">
            <v>5561.54</v>
          </cell>
        </row>
        <row r="556">
          <cell r="A556">
            <v>308</v>
          </cell>
          <cell r="B556">
            <v>2804</v>
          </cell>
          <cell r="C556">
            <v>6700</v>
          </cell>
          <cell r="D556">
            <v>5264.415</v>
          </cell>
          <cell r="E556">
            <v>6930.23</v>
          </cell>
          <cell r="F556">
            <v>5562.79</v>
          </cell>
        </row>
        <row r="557">
          <cell r="A557">
            <v>309</v>
          </cell>
          <cell r="B557">
            <v>2804</v>
          </cell>
          <cell r="C557">
            <v>6700</v>
          </cell>
          <cell r="D557">
            <v>5264.69625</v>
          </cell>
          <cell r="E557">
            <v>6930.9775</v>
          </cell>
          <cell r="F557">
            <v>5564.04</v>
          </cell>
        </row>
        <row r="558">
          <cell r="A558">
            <v>310</v>
          </cell>
          <cell r="B558">
            <v>2804</v>
          </cell>
          <cell r="C558">
            <v>6700</v>
          </cell>
          <cell r="D558">
            <v>5264.9775</v>
          </cell>
          <cell r="E558">
            <v>6931.7250000000004</v>
          </cell>
          <cell r="F558">
            <v>5565.29</v>
          </cell>
        </row>
        <row r="559">
          <cell r="A559">
            <v>311</v>
          </cell>
          <cell r="B559">
            <v>2804</v>
          </cell>
          <cell r="C559">
            <v>6700</v>
          </cell>
          <cell r="D559">
            <v>5265.25875</v>
          </cell>
          <cell r="E559">
            <v>6932.4724999999999</v>
          </cell>
          <cell r="F559">
            <v>5566.54</v>
          </cell>
        </row>
        <row r="560">
          <cell r="A560">
            <v>312</v>
          </cell>
          <cell r="B560">
            <v>2804</v>
          </cell>
          <cell r="C560">
            <v>6700</v>
          </cell>
          <cell r="D560">
            <v>5265.54</v>
          </cell>
          <cell r="E560">
            <v>6933.22</v>
          </cell>
          <cell r="F560">
            <v>5567.79</v>
          </cell>
        </row>
        <row r="561">
          <cell r="A561">
            <v>313</v>
          </cell>
          <cell r="B561">
            <v>2804</v>
          </cell>
          <cell r="C561">
            <v>6700</v>
          </cell>
          <cell r="D561">
            <v>5265.82125</v>
          </cell>
          <cell r="E561">
            <v>6933.9674999999997</v>
          </cell>
          <cell r="F561">
            <v>5569.04</v>
          </cell>
        </row>
        <row r="562">
          <cell r="A562">
            <v>314</v>
          </cell>
          <cell r="B562">
            <v>2804</v>
          </cell>
          <cell r="C562">
            <v>6700</v>
          </cell>
          <cell r="D562">
            <v>5266.1025</v>
          </cell>
          <cell r="E562">
            <v>6934.7150000000001</v>
          </cell>
          <cell r="F562">
            <v>5570.29</v>
          </cell>
        </row>
        <row r="563">
          <cell r="A563">
            <v>315</v>
          </cell>
          <cell r="B563">
            <v>2804</v>
          </cell>
          <cell r="C563">
            <v>6700</v>
          </cell>
          <cell r="D563">
            <v>5266.38375</v>
          </cell>
          <cell r="E563">
            <v>6935.4624999999996</v>
          </cell>
          <cell r="F563">
            <v>5571.54</v>
          </cell>
        </row>
        <row r="564">
          <cell r="A564">
            <v>316</v>
          </cell>
          <cell r="B564">
            <v>2804</v>
          </cell>
          <cell r="C564">
            <v>6700</v>
          </cell>
          <cell r="D564">
            <v>5266.665</v>
          </cell>
          <cell r="E564">
            <v>6936.21</v>
          </cell>
          <cell r="F564">
            <v>5572.79</v>
          </cell>
        </row>
        <row r="565">
          <cell r="A565">
            <v>317</v>
          </cell>
          <cell r="B565">
            <v>2804</v>
          </cell>
          <cell r="C565">
            <v>6700</v>
          </cell>
          <cell r="D565">
            <v>5266.94625</v>
          </cell>
          <cell r="E565">
            <v>6936.9575000000004</v>
          </cell>
          <cell r="F565">
            <v>5574.04</v>
          </cell>
        </row>
        <row r="566">
          <cell r="A566">
            <v>318</v>
          </cell>
          <cell r="B566">
            <v>2804</v>
          </cell>
          <cell r="C566">
            <v>6700</v>
          </cell>
          <cell r="D566">
            <v>5267.2275</v>
          </cell>
          <cell r="E566">
            <v>6937.7049999999999</v>
          </cell>
          <cell r="F566">
            <v>5575.29</v>
          </cell>
        </row>
        <row r="567">
          <cell r="A567">
            <v>319</v>
          </cell>
          <cell r="B567">
            <v>2804</v>
          </cell>
          <cell r="C567">
            <v>6700</v>
          </cell>
          <cell r="D567">
            <v>5267.50875</v>
          </cell>
          <cell r="E567">
            <v>6938.4525000000003</v>
          </cell>
          <cell r="F567">
            <v>5576.54</v>
          </cell>
        </row>
        <row r="568">
          <cell r="A568">
            <v>320</v>
          </cell>
          <cell r="B568">
            <v>2804</v>
          </cell>
          <cell r="C568">
            <v>6700</v>
          </cell>
          <cell r="D568">
            <v>5267.79</v>
          </cell>
          <cell r="E568">
            <v>6939.2</v>
          </cell>
          <cell r="F568">
            <v>5577.79</v>
          </cell>
        </row>
        <row r="569">
          <cell r="A569">
            <v>321</v>
          </cell>
          <cell r="B569">
            <v>2804</v>
          </cell>
          <cell r="C569">
            <v>6700</v>
          </cell>
          <cell r="D569">
            <v>5268.07125</v>
          </cell>
          <cell r="E569">
            <v>6939.9475000000002</v>
          </cell>
          <cell r="F569">
            <v>5579.04</v>
          </cell>
        </row>
        <row r="570">
          <cell r="A570">
            <v>322</v>
          </cell>
          <cell r="B570">
            <v>2804</v>
          </cell>
          <cell r="C570">
            <v>6700</v>
          </cell>
          <cell r="D570">
            <v>5268.3525</v>
          </cell>
          <cell r="E570">
            <v>6940.6949999999997</v>
          </cell>
          <cell r="F570">
            <v>5580.29</v>
          </cell>
        </row>
        <row r="571">
          <cell r="A571">
            <v>323</v>
          </cell>
          <cell r="B571">
            <v>2804</v>
          </cell>
          <cell r="C571">
            <v>6700</v>
          </cell>
          <cell r="D571">
            <v>5268.63375</v>
          </cell>
          <cell r="E571">
            <v>6941.4425000000001</v>
          </cell>
          <cell r="F571">
            <v>5581.54</v>
          </cell>
        </row>
        <row r="572">
          <cell r="A572">
            <v>324</v>
          </cell>
          <cell r="B572">
            <v>2804</v>
          </cell>
          <cell r="C572">
            <v>6700</v>
          </cell>
          <cell r="D572">
            <v>5268.915</v>
          </cell>
          <cell r="E572">
            <v>6942.19</v>
          </cell>
          <cell r="F572">
            <v>5582.79</v>
          </cell>
        </row>
        <row r="573">
          <cell r="A573">
            <v>325</v>
          </cell>
          <cell r="B573">
            <v>2804</v>
          </cell>
          <cell r="C573">
            <v>6700</v>
          </cell>
          <cell r="D573">
            <v>5269.19625</v>
          </cell>
          <cell r="E573">
            <v>6942.9375</v>
          </cell>
          <cell r="F573">
            <v>5584.04</v>
          </cell>
        </row>
        <row r="574">
          <cell r="A574">
            <v>326</v>
          </cell>
          <cell r="B574">
            <v>2804</v>
          </cell>
          <cell r="C574">
            <v>6700</v>
          </cell>
          <cell r="D574">
            <v>5269.4775</v>
          </cell>
          <cell r="E574">
            <v>6943.6850000000004</v>
          </cell>
          <cell r="F574">
            <v>5585.29</v>
          </cell>
        </row>
        <row r="575">
          <cell r="A575">
            <v>327</v>
          </cell>
          <cell r="B575">
            <v>2804</v>
          </cell>
          <cell r="C575">
            <v>6700</v>
          </cell>
          <cell r="D575">
            <v>5269.75875</v>
          </cell>
          <cell r="E575">
            <v>6944.4324999999999</v>
          </cell>
          <cell r="F575">
            <v>5586.54</v>
          </cell>
        </row>
        <row r="576">
          <cell r="A576">
            <v>328</v>
          </cell>
          <cell r="B576">
            <v>2804</v>
          </cell>
          <cell r="C576">
            <v>6700</v>
          </cell>
          <cell r="D576">
            <v>5270.04</v>
          </cell>
          <cell r="E576">
            <v>6945.18</v>
          </cell>
          <cell r="F576">
            <v>5587.79</v>
          </cell>
        </row>
        <row r="577">
          <cell r="A577">
            <v>329</v>
          </cell>
          <cell r="B577">
            <v>2804</v>
          </cell>
          <cell r="C577">
            <v>6700</v>
          </cell>
          <cell r="D577">
            <v>5270.32125</v>
          </cell>
          <cell r="E577">
            <v>6945.9274999999998</v>
          </cell>
          <cell r="F577">
            <v>5589.04</v>
          </cell>
        </row>
        <row r="578">
          <cell r="A578">
            <v>330</v>
          </cell>
          <cell r="B578">
            <v>2804</v>
          </cell>
          <cell r="C578">
            <v>6700</v>
          </cell>
          <cell r="D578">
            <v>5270.6025</v>
          </cell>
          <cell r="E578">
            <v>6946.6750000000002</v>
          </cell>
          <cell r="F578">
            <v>5590.29</v>
          </cell>
        </row>
        <row r="579">
          <cell r="A579">
            <v>331</v>
          </cell>
          <cell r="B579">
            <v>2804</v>
          </cell>
          <cell r="C579">
            <v>6700</v>
          </cell>
          <cell r="D579">
            <v>5270.88375</v>
          </cell>
          <cell r="E579">
            <v>6947.4224999999997</v>
          </cell>
          <cell r="F579">
            <v>5591.54</v>
          </cell>
        </row>
        <row r="580">
          <cell r="A580">
            <v>332</v>
          </cell>
          <cell r="B580">
            <v>2804</v>
          </cell>
          <cell r="C580">
            <v>6700</v>
          </cell>
          <cell r="D580">
            <v>5271.165</v>
          </cell>
          <cell r="E580">
            <v>6948.17</v>
          </cell>
          <cell r="F580">
            <v>5592.79</v>
          </cell>
        </row>
        <row r="581">
          <cell r="A581">
            <v>333</v>
          </cell>
          <cell r="B581">
            <v>2804</v>
          </cell>
          <cell r="C581">
            <v>6700</v>
          </cell>
          <cell r="D581">
            <v>5271.44625</v>
          </cell>
          <cell r="E581">
            <v>6948.9174999999996</v>
          </cell>
          <cell r="F581">
            <v>5594.04</v>
          </cell>
        </row>
        <row r="582">
          <cell r="A582">
            <v>334</v>
          </cell>
          <cell r="B582">
            <v>2804</v>
          </cell>
          <cell r="C582">
            <v>6700</v>
          </cell>
          <cell r="D582">
            <v>5271.7275</v>
          </cell>
          <cell r="E582">
            <v>6949.665</v>
          </cell>
          <cell r="F582">
            <v>5595.29</v>
          </cell>
        </row>
        <row r="583">
          <cell r="A583">
            <v>335</v>
          </cell>
          <cell r="B583">
            <v>2804</v>
          </cell>
          <cell r="C583">
            <v>6700</v>
          </cell>
          <cell r="D583">
            <v>5272.00875</v>
          </cell>
          <cell r="E583">
            <v>6950.4125000000004</v>
          </cell>
          <cell r="F583">
            <v>5596.54</v>
          </cell>
        </row>
        <row r="584">
          <cell r="A584">
            <v>336</v>
          </cell>
          <cell r="B584">
            <v>2804</v>
          </cell>
          <cell r="C584">
            <v>6700</v>
          </cell>
          <cell r="D584">
            <v>5272.29</v>
          </cell>
          <cell r="E584">
            <v>6951.16</v>
          </cell>
          <cell r="F584">
            <v>5597.79</v>
          </cell>
        </row>
        <row r="585">
          <cell r="A585">
            <v>337</v>
          </cell>
          <cell r="B585">
            <v>2804</v>
          </cell>
          <cell r="C585">
            <v>6700</v>
          </cell>
          <cell r="D585">
            <v>5272.57125</v>
          </cell>
          <cell r="E585">
            <v>6951.9075000000003</v>
          </cell>
          <cell r="F585">
            <v>5599.04</v>
          </cell>
        </row>
        <row r="586">
          <cell r="A586">
            <v>338</v>
          </cell>
          <cell r="B586">
            <v>2804</v>
          </cell>
          <cell r="C586">
            <v>6700</v>
          </cell>
          <cell r="D586">
            <v>5272.8525</v>
          </cell>
          <cell r="E586">
            <v>6952.6549999999997</v>
          </cell>
          <cell r="F586">
            <v>5600.29</v>
          </cell>
        </row>
        <row r="587">
          <cell r="A587">
            <v>339</v>
          </cell>
          <cell r="B587">
            <v>2804</v>
          </cell>
          <cell r="C587">
            <v>6700</v>
          </cell>
          <cell r="D587">
            <v>5273.13375</v>
          </cell>
          <cell r="E587">
            <v>6953.4025000000001</v>
          </cell>
          <cell r="F587">
            <v>5601.54</v>
          </cell>
        </row>
        <row r="588">
          <cell r="A588">
            <v>340</v>
          </cell>
          <cell r="B588">
            <v>2804</v>
          </cell>
          <cell r="C588">
            <v>6700</v>
          </cell>
          <cell r="D588">
            <v>5273.415</v>
          </cell>
          <cell r="E588">
            <v>6954.15</v>
          </cell>
          <cell r="F588">
            <v>5602.79</v>
          </cell>
        </row>
        <row r="589">
          <cell r="A589">
            <v>341</v>
          </cell>
          <cell r="B589">
            <v>2804</v>
          </cell>
          <cell r="C589">
            <v>6700</v>
          </cell>
          <cell r="D589">
            <v>5273.69625</v>
          </cell>
          <cell r="E589">
            <v>6954.8975</v>
          </cell>
          <cell r="F589">
            <v>5604.04</v>
          </cell>
        </row>
        <row r="590">
          <cell r="A590">
            <v>342</v>
          </cell>
          <cell r="B590">
            <v>2804</v>
          </cell>
          <cell r="C590">
            <v>6700</v>
          </cell>
          <cell r="D590">
            <v>5273.9775</v>
          </cell>
          <cell r="E590">
            <v>6955.6450000000004</v>
          </cell>
          <cell r="F590">
            <v>5605.29</v>
          </cell>
        </row>
        <row r="591">
          <cell r="A591">
            <v>343</v>
          </cell>
          <cell r="B591">
            <v>2804</v>
          </cell>
          <cell r="C591">
            <v>6700</v>
          </cell>
          <cell r="D591">
            <v>5274.25875</v>
          </cell>
          <cell r="E591">
            <v>6956.3924999999999</v>
          </cell>
          <cell r="F591">
            <v>5606.54</v>
          </cell>
        </row>
        <row r="592">
          <cell r="A592">
            <v>344</v>
          </cell>
          <cell r="B592">
            <v>2804</v>
          </cell>
          <cell r="C592">
            <v>6700</v>
          </cell>
          <cell r="D592">
            <v>5274.54</v>
          </cell>
          <cell r="E592">
            <v>6957.14</v>
          </cell>
          <cell r="F592">
            <v>5607.79</v>
          </cell>
        </row>
        <row r="593">
          <cell r="A593">
            <v>345</v>
          </cell>
          <cell r="B593">
            <v>2804</v>
          </cell>
          <cell r="C593">
            <v>6700</v>
          </cell>
          <cell r="D593">
            <v>5274.82125</v>
          </cell>
          <cell r="E593">
            <v>6957.8874999999998</v>
          </cell>
          <cell r="F593">
            <v>5609.04</v>
          </cell>
        </row>
        <row r="594">
          <cell r="A594">
            <v>346</v>
          </cell>
          <cell r="B594">
            <v>2804</v>
          </cell>
          <cell r="C594">
            <v>6700</v>
          </cell>
          <cell r="D594">
            <v>5275.1025</v>
          </cell>
          <cell r="E594">
            <v>6958.6350000000002</v>
          </cell>
          <cell r="F594">
            <v>5610.29</v>
          </cell>
        </row>
        <row r="595">
          <cell r="A595">
            <v>347</v>
          </cell>
          <cell r="B595">
            <v>2804</v>
          </cell>
          <cell r="C595">
            <v>6700</v>
          </cell>
          <cell r="D595">
            <v>5275.38375</v>
          </cell>
          <cell r="E595">
            <v>6959.3824999999997</v>
          </cell>
          <cell r="F595">
            <v>5611.54</v>
          </cell>
        </row>
        <row r="596">
          <cell r="A596">
            <v>348</v>
          </cell>
          <cell r="B596">
            <v>2804</v>
          </cell>
          <cell r="C596">
            <v>6700</v>
          </cell>
          <cell r="D596">
            <v>5275.665</v>
          </cell>
          <cell r="E596">
            <v>6960.13</v>
          </cell>
          <cell r="F596">
            <v>5612.79</v>
          </cell>
        </row>
        <row r="597">
          <cell r="A597">
            <v>349</v>
          </cell>
          <cell r="B597">
            <v>2804</v>
          </cell>
          <cell r="C597">
            <v>6700</v>
          </cell>
          <cell r="D597">
            <v>5275.94625</v>
          </cell>
          <cell r="E597">
            <v>6960.8774999999996</v>
          </cell>
          <cell r="F597">
            <v>5614.04</v>
          </cell>
        </row>
        <row r="598">
          <cell r="A598">
            <v>350</v>
          </cell>
          <cell r="B598">
            <v>2804</v>
          </cell>
          <cell r="C598">
            <v>6700</v>
          </cell>
          <cell r="D598">
            <v>5276.2275</v>
          </cell>
          <cell r="E598">
            <v>6961.625</v>
          </cell>
          <cell r="F598">
            <v>5615.29</v>
          </cell>
        </row>
        <row r="599">
          <cell r="A599">
            <v>351</v>
          </cell>
          <cell r="B599">
            <v>2804</v>
          </cell>
          <cell r="C599">
            <v>6700</v>
          </cell>
          <cell r="D599">
            <v>5276.50875</v>
          </cell>
          <cell r="E599">
            <v>6962.3725000000004</v>
          </cell>
          <cell r="F599">
            <v>5616.54</v>
          </cell>
        </row>
        <row r="600">
          <cell r="A600">
            <v>352</v>
          </cell>
          <cell r="B600">
            <v>2804</v>
          </cell>
          <cell r="C600">
            <v>6700</v>
          </cell>
          <cell r="D600">
            <v>5276.79</v>
          </cell>
          <cell r="E600">
            <v>6963.12</v>
          </cell>
          <cell r="F600">
            <v>5617.79</v>
          </cell>
        </row>
        <row r="601">
          <cell r="A601">
            <v>353</v>
          </cell>
          <cell r="B601">
            <v>2804</v>
          </cell>
          <cell r="C601">
            <v>6700</v>
          </cell>
          <cell r="D601">
            <v>5277.07125</v>
          </cell>
          <cell r="E601">
            <v>6963.8675000000003</v>
          </cell>
          <cell r="F601">
            <v>5619.04</v>
          </cell>
        </row>
        <row r="602">
          <cell r="A602">
            <v>354</v>
          </cell>
          <cell r="B602">
            <v>2804</v>
          </cell>
          <cell r="C602">
            <v>6700</v>
          </cell>
          <cell r="D602">
            <v>5277.3525</v>
          </cell>
          <cell r="E602">
            <v>6964.6149999999998</v>
          </cell>
          <cell r="F602">
            <v>5620.29</v>
          </cell>
        </row>
        <row r="603">
          <cell r="A603">
            <v>355</v>
          </cell>
          <cell r="B603">
            <v>2804</v>
          </cell>
          <cell r="C603">
            <v>6700</v>
          </cell>
          <cell r="D603">
            <v>5277.63375</v>
          </cell>
          <cell r="E603">
            <v>6965.3625000000002</v>
          </cell>
          <cell r="F603">
            <v>5621.54</v>
          </cell>
        </row>
        <row r="604">
          <cell r="A604">
            <v>356</v>
          </cell>
          <cell r="B604">
            <v>2804</v>
          </cell>
          <cell r="C604">
            <v>6700</v>
          </cell>
          <cell r="D604">
            <v>5277.915</v>
          </cell>
          <cell r="E604">
            <v>6966.11</v>
          </cell>
          <cell r="F604">
            <v>5622.79</v>
          </cell>
        </row>
        <row r="605">
          <cell r="A605">
            <v>357</v>
          </cell>
          <cell r="B605">
            <v>2804</v>
          </cell>
          <cell r="C605">
            <v>6700</v>
          </cell>
          <cell r="D605">
            <v>5278.19625</v>
          </cell>
          <cell r="E605">
            <v>6966.8575000000001</v>
          </cell>
          <cell r="F605">
            <v>5624.04</v>
          </cell>
        </row>
        <row r="606">
          <cell r="A606">
            <v>358</v>
          </cell>
          <cell r="B606">
            <v>2804</v>
          </cell>
          <cell r="C606">
            <v>6700</v>
          </cell>
          <cell r="D606">
            <v>5278.4775</v>
          </cell>
          <cell r="E606">
            <v>6967.6049999999996</v>
          </cell>
          <cell r="F606">
            <v>5625.29</v>
          </cell>
        </row>
        <row r="607">
          <cell r="A607">
            <v>359</v>
          </cell>
          <cell r="B607">
            <v>2804</v>
          </cell>
          <cell r="C607">
            <v>6700</v>
          </cell>
          <cell r="D607">
            <v>5278.75875</v>
          </cell>
          <cell r="E607">
            <v>6968.3525</v>
          </cell>
          <cell r="F607">
            <v>5626.54</v>
          </cell>
        </row>
        <row r="608">
          <cell r="A608">
            <v>360</v>
          </cell>
          <cell r="B608">
            <v>2804</v>
          </cell>
          <cell r="C608">
            <v>6700</v>
          </cell>
          <cell r="D608">
            <v>5279.04</v>
          </cell>
          <cell r="E608">
            <v>6969.1</v>
          </cell>
          <cell r="F608">
            <v>5627.79</v>
          </cell>
        </row>
        <row r="609">
          <cell r="A609">
            <v>361</v>
          </cell>
          <cell r="B609">
            <v>2804</v>
          </cell>
          <cell r="C609">
            <v>6700</v>
          </cell>
          <cell r="D609">
            <v>5279.32125</v>
          </cell>
          <cell r="E609">
            <v>6969.8474999999999</v>
          </cell>
          <cell r="F609">
            <v>5629.04</v>
          </cell>
        </row>
        <row r="610">
          <cell r="A610">
            <v>362</v>
          </cell>
          <cell r="B610">
            <v>2804</v>
          </cell>
          <cell r="C610">
            <v>6700</v>
          </cell>
          <cell r="D610">
            <v>5279.6025</v>
          </cell>
          <cell r="E610">
            <v>6970.5950000000003</v>
          </cell>
          <cell r="F610">
            <v>5630.29</v>
          </cell>
        </row>
        <row r="611">
          <cell r="A611">
            <v>363</v>
          </cell>
          <cell r="B611">
            <v>2804</v>
          </cell>
          <cell r="C611">
            <v>6700</v>
          </cell>
          <cell r="D611">
            <v>5279.88375</v>
          </cell>
          <cell r="E611">
            <v>6971.3424999999997</v>
          </cell>
          <cell r="F611">
            <v>5631.54</v>
          </cell>
        </row>
        <row r="612">
          <cell r="A612">
            <v>364</v>
          </cell>
          <cell r="B612">
            <v>2804</v>
          </cell>
          <cell r="C612">
            <v>6700</v>
          </cell>
          <cell r="D612">
            <v>5280.165</v>
          </cell>
          <cell r="E612">
            <v>6972.09</v>
          </cell>
          <cell r="F612">
            <v>5632.79</v>
          </cell>
        </row>
        <row r="613">
          <cell r="A613">
            <v>365</v>
          </cell>
          <cell r="B613">
            <v>2804</v>
          </cell>
          <cell r="C613">
            <v>6700</v>
          </cell>
          <cell r="D613">
            <v>5280.44625</v>
          </cell>
          <cell r="E613">
            <v>6972.8374999999996</v>
          </cell>
          <cell r="F613">
            <v>5634.04</v>
          </cell>
        </row>
        <row r="614">
          <cell r="A614">
            <v>366</v>
          </cell>
          <cell r="B614">
            <v>2804</v>
          </cell>
          <cell r="C614">
            <v>6700</v>
          </cell>
          <cell r="D614">
            <v>5280.7275</v>
          </cell>
          <cell r="E614">
            <v>6973.585</v>
          </cell>
          <cell r="F614">
            <v>5635.29</v>
          </cell>
        </row>
        <row r="615">
          <cell r="A615">
            <v>367</v>
          </cell>
          <cell r="B615">
            <v>2804</v>
          </cell>
          <cell r="C615">
            <v>6700</v>
          </cell>
          <cell r="D615">
            <v>5281.00875</v>
          </cell>
          <cell r="E615">
            <v>6974.3325000000004</v>
          </cell>
          <cell r="F615">
            <v>5636.54</v>
          </cell>
        </row>
        <row r="616">
          <cell r="A616">
            <v>368</v>
          </cell>
          <cell r="B616">
            <v>2804</v>
          </cell>
          <cell r="C616">
            <v>6700</v>
          </cell>
          <cell r="D616">
            <v>5281.29</v>
          </cell>
          <cell r="E616">
            <v>6975.08</v>
          </cell>
          <cell r="F616">
            <v>5637.79</v>
          </cell>
        </row>
        <row r="617">
          <cell r="A617">
            <v>369</v>
          </cell>
          <cell r="B617">
            <v>2804</v>
          </cell>
          <cell r="C617">
            <v>6700</v>
          </cell>
          <cell r="D617">
            <v>5281.57125</v>
          </cell>
          <cell r="E617">
            <v>6975.8275000000003</v>
          </cell>
          <cell r="F617">
            <v>5639.04</v>
          </cell>
        </row>
        <row r="618">
          <cell r="A618">
            <v>370</v>
          </cell>
          <cell r="B618">
            <v>2804</v>
          </cell>
          <cell r="C618">
            <v>6700</v>
          </cell>
          <cell r="D618">
            <v>5281.8525</v>
          </cell>
          <cell r="E618">
            <v>6976.5749999999998</v>
          </cell>
          <cell r="F618">
            <v>5640.29</v>
          </cell>
        </row>
        <row r="619">
          <cell r="A619">
            <v>371</v>
          </cell>
          <cell r="B619">
            <v>2804</v>
          </cell>
          <cell r="C619">
            <v>6700</v>
          </cell>
          <cell r="D619">
            <v>5282.13375</v>
          </cell>
          <cell r="E619">
            <v>6977.3225000000002</v>
          </cell>
          <cell r="F619">
            <v>5641.54</v>
          </cell>
        </row>
        <row r="620">
          <cell r="A620">
            <v>372</v>
          </cell>
          <cell r="B620">
            <v>2804</v>
          </cell>
          <cell r="C620">
            <v>6700</v>
          </cell>
          <cell r="D620">
            <v>5282.415</v>
          </cell>
          <cell r="E620">
            <v>6978.07</v>
          </cell>
          <cell r="F620">
            <v>5642.79</v>
          </cell>
        </row>
        <row r="621">
          <cell r="A621">
            <v>373</v>
          </cell>
          <cell r="B621">
            <v>2804</v>
          </cell>
          <cell r="C621">
            <v>6700</v>
          </cell>
          <cell r="D621">
            <v>5282.69625</v>
          </cell>
          <cell r="E621">
            <v>6978.8175000000001</v>
          </cell>
          <cell r="F621">
            <v>5644.04</v>
          </cell>
        </row>
        <row r="622">
          <cell r="A622">
            <v>374</v>
          </cell>
          <cell r="B622">
            <v>2804</v>
          </cell>
          <cell r="C622">
            <v>6700</v>
          </cell>
          <cell r="D622">
            <v>5282.9775</v>
          </cell>
          <cell r="E622">
            <v>6979.5649999999996</v>
          </cell>
          <cell r="F622">
            <v>5645.29</v>
          </cell>
        </row>
        <row r="623">
          <cell r="A623">
            <v>375</v>
          </cell>
          <cell r="B623">
            <v>2804</v>
          </cell>
          <cell r="C623">
            <v>6700</v>
          </cell>
          <cell r="D623">
            <v>5283.25875</v>
          </cell>
          <cell r="E623">
            <v>6980.3125</v>
          </cell>
          <cell r="F623">
            <v>5646.54</v>
          </cell>
        </row>
        <row r="624">
          <cell r="A624">
            <v>376</v>
          </cell>
          <cell r="B624">
            <v>2804</v>
          </cell>
          <cell r="C624">
            <v>6700</v>
          </cell>
          <cell r="D624">
            <v>5283.54</v>
          </cell>
          <cell r="E624">
            <v>6981.06</v>
          </cell>
          <cell r="F624">
            <v>5647.79</v>
          </cell>
        </row>
        <row r="625">
          <cell r="A625">
            <v>377</v>
          </cell>
          <cell r="B625">
            <v>2804</v>
          </cell>
          <cell r="C625">
            <v>6700</v>
          </cell>
          <cell r="D625">
            <v>5283.82125</v>
          </cell>
          <cell r="E625">
            <v>6981.8074999999999</v>
          </cell>
          <cell r="F625">
            <v>5649.04</v>
          </cell>
        </row>
        <row r="626">
          <cell r="A626">
            <v>378</v>
          </cell>
          <cell r="B626">
            <v>2804</v>
          </cell>
          <cell r="C626">
            <v>6700</v>
          </cell>
          <cell r="D626">
            <v>5284.1025</v>
          </cell>
          <cell r="E626">
            <v>6982.5550000000003</v>
          </cell>
          <cell r="F626">
            <v>5650.29</v>
          </cell>
        </row>
        <row r="627">
          <cell r="A627">
            <v>379</v>
          </cell>
          <cell r="B627">
            <v>2804</v>
          </cell>
          <cell r="C627">
            <v>6700</v>
          </cell>
          <cell r="D627">
            <v>5284.38375</v>
          </cell>
          <cell r="E627">
            <v>6983.3024999999998</v>
          </cell>
          <cell r="F627">
            <v>5651.54</v>
          </cell>
        </row>
        <row r="628">
          <cell r="A628">
            <v>380</v>
          </cell>
          <cell r="B628">
            <v>2804</v>
          </cell>
          <cell r="C628">
            <v>6700</v>
          </cell>
          <cell r="D628">
            <v>5284.665</v>
          </cell>
          <cell r="E628">
            <v>6984.05</v>
          </cell>
          <cell r="F628">
            <v>5652.79</v>
          </cell>
        </row>
        <row r="629">
          <cell r="A629">
            <v>381</v>
          </cell>
          <cell r="B629">
            <v>2804</v>
          </cell>
          <cell r="C629">
            <v>6700</v>
          </cell>
          <cell r="D629">
            <v>5284.94625</v>
          </cell>
          <cell r="E629">
            <v>6984.7974999999997</v>
          </cell>
          <cell r="F629">
            <v>5654.04</v>
          </cell>
        </row>
        <row r="630">
          <cell r="A630">
            <v>382</v>
          </cell>
          <cell r="B630">
            <v>2804</v>
          </cell>
          <cell r="C630">
            <v>6700</v>
          </cell>
          <cell r="D630">
            <v>5285.2275</v>
          </cell>
          <cell r="E630">
            <v>6985.5450000000001</v>
          </cell>
          <cell r="F630">
            <v>5655.29</v>
          </cell>
        </row>
        <row r="631">
          <cell r="A631">
            <v>383</v>
          </cell>
          <cell r="B631">
            <v>2804</v>
          </cell>
          <cell r="C631">
            <v>6700</v>
          </cell>
          <cell r="D631">
            <v>5285.50875</v>
          </cell>
          <cell r="E631">
            <v>6986.2924999999996</v>
          </cell>
          <cell r="F631">
            <v>5656.54</v>
          </cell>
        </row>
        <row r="632">
          <cell r="A632">
            <v>384</v>
          </cell>
          <cell r="B632">
            <v>2804</v>
          </cell>
          <cell r="C632">
            <v>6700</v>
          </cell>
          <cell r="D632">
            <v>5285.79</v>
          </cell>
          <cell r="E632">
            <v>6987.04</v>
          </cell>
          <cell r="F632">
            <v>5657.79</v>
          </cell>
        </row>
        <row r="633">
          <cell r="A633">
            <v>385</v>
          </cell>
          <cell r="B633">
            <v>2804</v>
          </cell>
          <cell r="C633">
            <v>6700</v>
          </cell>
          <cell r="D633">
            <v>5286.07125</v>
          </cell>
          <cell r="E633">
            <v>6987.7875000000004</v>
          </cell>
          <cell r="F633">
            <v>5659.04</v>
          </cell>
        </row>
        <row r="634">
          <cell r="A634">
            <v>386</v>
          </cell>
          <cell r="B634">
            <v>2804</v>
          </cell>
          <cell r="C634">
            <v>6700</v>
          </cell>
          <cell r="D634">
            <v>5286.3525</v>
          </cell>
          <cell r="E634">
            <v>6988.5349999999999</v>
          </cell>
          <cell r="F634">
            <v>5660.29</v>
          </cell>
        </row>
        <row r="635">
          <cell r="A635">
            <v>387</v>
          </cell>
          <cell r="B635">
            <v>2804</v>
          </cell>
          <cell r="C635">
            <v>6700</v>
          </cell>
          <cell r="D635">
            <v>5286.63375</v>
          </cell>
          <cell r="E635">
            <v>6989.2825000000003</v>
          </cell>
          <cell r="F635">
            <v>5661.54</v>
          </cell>
        </row>
        <row r="636">
          <cell r="A636">
            <v>388</v>
          </cell>
          <cell r="B636">
            <v>2804</v>
          </cell>
          <cell r="C636">
            <v>6700</v>
          </cell>
          <cell r="D636">
            <v>5286.915</v>
          </cell>
          <cell r="E636">
            <v>6990.03</v>
          </cell>
          <cell r="F636">
            <v>5662.79</v>
          </cell>
        </row>
        <row r="637">
          <cell r="A637">
            <v>389</v>
          </cell>
          <cell r="B637">
            <v>2804</v>
          </cell>
          <cell r="C637">
            <v>6700</v>
          </cell>
          <cell r="D637">
            <v>5287.19625</v>
          </cell>
          <cell r="E637">
            <v>6990.7775000000001</v>
          </cell>
          <cell r="F637">
            <v>5664.04</v>
          </cell>
        </row>
        <row r="638">
          <cell r="A638">
            <v>390</v>
          </cell>
          <cell r="B638">
            <v>2804</v>
          </cell>
          <cell r="C638">
            <v>6700</v>
          </cell>
          <cell r="D638">
            <v>5287.4775</v>
          </cell>
          <cell r="E638">
            <v>6991.5249999999996</v>
          </cell>
          <cell r="F638">
            <v>5665.29</v>
          </cell>
        </row>
        <row r="639">
          <cell r="A639">
            <v>391</v>
          </cell>
          <cell r="B639">
            <v>2804</v>
          </cell>
          <cell r="C639">
            <v>6700</v>
          </cell>
          <cell r="D639">
            <v>5287.75875</v>
          </cell>
          <cell r="E639">
            <v>6992.2725</v>
          </cell>
          <cell r="F639">
            <v>5666.54</v>
          </cell>
        </row>
        <row r="640">
          <cell r="A640">
            <v>392</v>
          </cell>
          <cell r="B640">
            <v>2804</v>
          </cell>
          <cell r="C640">
            <v>6700</v>
          </cell>
          <cell r="D640">
            <v>5288.04</v>
          </cell>
          <cell r="E640">
            <v>6993.02</v>
          </cell>
          <cell r="F640">
            <v>5667.79</v>
          </cell>
        </row>
        <row r="641">
          <cell r="A641">
            <v>393</v>
          </cell>
          <cell r="B641">
            <v>2804</v>
          </cell>
          <cell r="C641">
            <v>6700</v>
          </cell>
          <cell r="D641">
            <v>5288.32125</v>
          </cell>
          <cell r="E641">
            <v>6993.7674999999999</v>
          </cell>
          <cell r="F641">
            <v>5669.04</v>
          </cell>
        </row>
        <row r="642">
          <cell r="A642">
            <v>394</v>
          </cell>
          <cell r="B642">
            <v>2804</v>
          </cell>
          <cell r="C642">
            <v>6700</v>
          </cell>
          <cell r="D642">
            <v>5288.6025</v>
          </cell>
          <cell r="E642">
            <v>6994.5150000000003</v>
          </cell>
          <cell r="F642">
            <v>5670.29</v>
          </cell>
        </row>
        <row r="643">
          <cell r="A643">
            <v>395</v>
          </cell>
          <cell r="B643">
            <v>2804</v>
          </cell>
          <cell r="C643">
            <v>6700</v>
          </cell>
          <cell r="D643">
            <v>5288.88375</v>
          </cell>
          <cell r="E643">
            <v>6995.2624999999998</v>
          </cell>
          <cell r="F643">
            <v>5671.54</v>
          </cell>
        </row>
        <row r="644">
          <cell r="A644">
            <v>396</v>
          </cell>
          <cell r="B644">
            <v>2804</v>
          </cell>
          <cell r="C644">
            <v>6700</v>
          </cell>
          <cell r="D644">
            <v>5289.165</v>
          </cell>
          <cell r="E644">
            <v>6996.01</v>
          </cell>
          <cell r="F644">
            <v>5672.79</v>
          </cell>
        </row>
        <row r="645">
          <cell r="A645">
            <v>397</v>
          </cell>
          <cell r="B645">
            <v>2804</v>
          </cell>
          <cell r="C645">
            <v>6700</v>
          </cell>
          <cell r="D645">
            <v>5289.44625</v>
          </cell>
          <cell r="E645">
            <v>6996.7574999999997</v>
          </cell>
          <cell r="F645">
            <v>5674.04</v>
          </cell>
        </row>
        <row r="646">
          <cell r="A646">
            <v>398</v>
          </cell>
          <cell r="B646">
            <v>2804</v>
          </cell>
          <cell r="C646">
            <v>6700</v>
          </cell>
          <cell r="D646">
            <v>5289.7275</v>
          </cell>
          <cell r="E646">
            <v>6997.5050000000001</v>
          </cell>
          <cell r="F646">
            <v>5675.29</v>
          </cell>
        </row>
        <row r="647">
          <cell r="A647">
            <v>399</v>
          </cell>
          <cell r="B647">
            <v>2804</v>
          </cell>
          <cell r="C647">
            <v>6700</v>
          </cell>
          <cell r="D647">
            <v>5290.00875</v>
          </cell>
          <cell r="E647">
            <v>6998.2524999999996</v>
          </cell>
          <cell r="F647">
            <v>5676.54</v>
          </cell>
        </row>
        <row r="648">
          <cell r="A648">
            <v>400</v>
          </cell>
          <cell r="B648">
            <v>2804</v>
          </cell>
          <cell r="C648">
            <v>6700</v>
          </cell>
          <cell r="D648">
            <v>5290.29</v>
          </cell>
          <cell r="E648">
            <v>6999</v>
          </cell>
          <cell r="F648">
            <v>5677.79</v>
          </cell>
        </row>
        <row r="649">
          <cell r="A649">
            <v>401</v>
          </cell>
          <cell r="B649">
            <v>2924</v>
          </cell>
          <cell r="C649">
            <v>7059</v>
          </cell>
          <cell r="D649">
            <v>5509.0112500000005</v>
          </cell>
          <cell r="E649">
            <v>7358.7475000000004</v>
          </cell>
          <cell r="F649">
            <v>5897.4800000000005</v>
          </cell>
        </row>
        <row r="650">
          <cell r="A650">
            <v>402</v>
          </cell>
          <cell r="B650">
            <v>2924</v>
          </cell>
          <cell r="C650">
            <v>7059</v>
          </cell>
          <cell r="D650">
            <v>5509.2925000000005</v>
          </cell>
          <cell r="E650">
            <v>7359.4949999999999</v>
          </cell>
          <cell r="F650">
            <v>5898.7300000000005</v>
          </cell>
        </row>
        <row r="651">
          <cell r="A651">
            <v>403</v>
          </cell>
          <cell r="B651">
            <v>2924</v>
          </cell>
          <cell r="C651">
            <v>7059</v>
          </cell>
          <cell r="D651">
            <v>5509.5737500000005</v>
          </cell>
          <cell r="E651">
            <v>7360.2425000000003</v>
          </cell>
          <cell r="F651">
            <v>5899.9800000000005</v>
          </cell>
        </row>
        <row r="652">
          <cell r="A652">
            <v>404</v>
          </cell>
          <cell r="B652">
            <v>2924</v>
          </cell>
          <cell r="C652">
            <v>7059</v>
          </cell>
          <cell r="D652">
            <v>5509.8550000000005</v>
          </cell>
          <cell r="E652">
            <v>7360.99</v>
          </cell>
          <cell r="F652">
            <v>5901.2300000000005</v>
          </cell>
        </row>
        <row r="653">
          <cell r="A653">
            <v>405</v>
          </cell>
          <cell r="B653">
            <v>2924</v>
          </cell>
          <cell r="C653">
            <v>7059</v>
          </cell>
          <cell r="D653">
            <v>5510.1362500000005</v>
          </cell>
          <cell r="E653">
            <v>7361.7375000000002</v>
          </cell>
          <cell r="F653">
            <v>5902.4800000000005</v>
          </cell>
        </row>
        <row r="654">
          <cell r="A654">
            <v>406</v>
          </cell>
          <cell r="B654">
            <v>2924</v>
          </cell>
          <cell r="C654">
            <v>7059</v>
          </cell>
          <cell r="D654">
            <v>5510.4175000000005</v>
          </cell>
          <cell r="E654">
            <v>7362.4849999999997</v>
          </cell>
          <cell r="F654">
            <v>5903.7300000000005</v>
          </cell>
        </row>
        <row r="655">
          <cell r="A655">
            <v>407</v>
          </cell>
          <cell r="B655">
            <v>2924</v>
          </cell>
          <cell r="C655">
            <v>7059</v>
          </cell>
          <cell r="D655">
            <v>5510.6987500000005</v>
          </cell>
          <cell r="E655">
            <v>7363.2325000000001</v>
          </cell>
          <cell r="F655">
            <v>5904.9800000000005</v>
          </cell>
        </row>
        <row r="656">
          <cell r="A656">
            <v>408</v>
          </cell>
          <cell r="B656">
            <v>2924</v>
          </cell>
          <cell r="C656">
            <v>7059</v>
          </cell>
          <cell r="D656">
            <v>5510.9800000000005</v>
          </cell>
          <cell r="E656">
            <v>7363.98</v>
          </cell>
          <cell r="F656">
            <v>5906.2300000000005</v>
          </cell>
        </row>
        <row r="657">
          <cell r="A657">
            <v>409</v>
          </cell>
          <cell r="B657">
            <v>2924</v>
          </cell>
          <cell r="C657">
            <v>7059</v>
          </cell>
          <cell r="D657">
            <v>5511.2612500000005</v>
          </cell>
          <cell r="E657">
            <v>7364.7275</v>
          </cell>
          <cell r="F657">
            <v>5907.4800000000005</v>
          </cell>
        </row>
        <row r="658">
          <cell r="A658">
            <v>410</v>
          </cell>
          <cell r="B658">
            <v>2924</v>
          </cell>
          <cell r="C658">
            <v>7059</v>
          </cell>
          <cell r="D658">
            <v>5511.5425000000005</v>
          </cell>
          <cell r="E658">
            <v>7365.4750000000004</v>
          </cell>
          <cell r="F658">
            <v>5908.7300000000005</v>
          </cell>
        </row>
        <row r="659">
          <cell r="A659">
            <v>411</v>
          </cell>
          <cell r="B659">
            <v>2924</v>
          </cell>
          <cell r="C659">
            <v>7059</v>
          </cell>
          <cell r="D659">
            <v>5511.8237500000005</v>
          </cell>
          <cell r="E659">
            <v>7366.2224999999999</v>
          </cell>
          <cell r="F659">
            <v>5909.9800000000005</v>
          </cell>
        </row>
        <row r="660">
          <cell r="A660">
            <v>412</v>
          </cell>
          <cell r="B660">
            <v>2924</v>
          </cell>
          <cell r="C660">
            <v>7059</v>
          </cell>
          <cell r="D660">
            <v>5512.1050000000005</v>
          </cell>
          <cell r="E660">
            <v>7366.97</v>
          </cell>
          <cell r="F660">
            <v>5911.2300000000005</v>
          </cell>
        </row>
        <row r="661">
          <cell r="A661">
            <v>413</v>
          </cell>
          <cell r="B661">
            <v>2924</v>
          </cell>
          <cell r="C661">
            <v>7059</v>
          </cell>
          <cell r="D661">
            <v>5512.3862500000005</v>
          </cell>
          <cell r="E661">
            <v>7367.7174999999997</v>
          </cell>
          <cell r="F661">
            <v>5912.4800000000005</v>
          </cell>
        </row>
        <row r="662">
          <cell r="A662">
            <v>414</v>
          </cell>
          <cell r="B662">
            <v>2924</v>
          </cell>
          <cell r="C662">
            <v>7059</v>
          </cell>
          <cell r="D662">
            <v>5512.6675000000005</v>
          </cell>
          <cell r="E662">
            <v>7368.4650000000001</v>
          </cell>
          <cell r="F662">
            <v>5913.7300000000005</v>
          </cell>
        </row>
        <row r="663">
          <cell r="A663">
            <v>415</v>
          </cell>
          <cell r="B663">
            <v>2924</v>
          </cell>
          <cell r="C663">
            <v>7059</v>
          </cell>
          <cell r="D663">
            <v>5512.9487500000005</v>
          </cell>
          <cell r="E663">
            <v>7369.2124999999996</v>
          </cell>
          <cell r="F663">
            <v>5914.9800000000005</v>
          </cell>
        </row>
        <row r="664">
          <cell r="A664">
            <v>416</v>
          </cell>
          <cell r="B664">
            <v>2924</v>
          </cell>
          <cell r="C664">
            <v>7059</v>
          </cell>
          <cell r="D664">
            <v>5513.2300000000005</v>
          </cell>
          <cell r="E664">
            <v>7369.96</v>
          </cell>
          <cell r="F664">
            <v>5916.2300000000005</v>
          </cell>
        </row>
        <row r="665">
          <cell r="A665">
            <v>417</v>
          </cell>
          <cell r="B665">
            <v>2924</v>
          </cell>
          <cell r="C665">
            <v>7059</v>
          </cell>
          <cell r="D665">
            <v>5513.5112500000005</v>
          </cell>
          <cell r="E665">
            <v>7370.7075000000004</v>
          </cell>
          <cell r="F665">
            <v>5917.4800000000005</v>
          </cell>
        </row>
        <row r="666">
          <cell r="A666">
            <v>418</v>
          </cell>
          <cell r="B666">
            <v>2924</v>
          </cell>
          <cell r="C666">
            <v>7059</v>
          </cell>
          <cell r="D666">
            <v>5513.7925000000005</v>
          </cell>
          <cell r="E666">
            <v>7371.4549999999999</v>
          </cell>
          <cell r="F666">
            <v>5918.7300000000005</v>
          </cell>
        </row>
        <row r="667">
          <cell r="A667">
            <v>419</v>
          </cell>
          <cell r="B667">
            <v>2924</v>
          </cell>
          <cell r="C667">
            <v>7059</v>
          </cell>
          <cell r="D667">
            <v>5514.0737500000005</v>
          </cell>
          <cell r="E667">
            <v>7372.2025000000003</v>
          </cell>
          <cell r="F667">
            <v>5919.9800000000005</v>
          </cell>
        </row>
        <row r="668">
          <cell r="A668">
            <v>420</v>
          </cell>
          <cell r="B668">
            <v>2924</v>
          </cell>
          <cell r="C668">
            <v>7059</v>
          </cell>
          <cell r="D668">
            <v>5514.3550000000005</v>
          </cell>
          <cell r="E668">
            <v>7372.95</v>
          </cell>
          <cell r="F668">
            <v>5921.2300000000005</v>
          </cell>
        </row>
        <row r="669">
          <cell r="A669">
            <v>421</v>
          </cell>
          <cell r="B669">
            <v>2924</v>
          </cell>
          <cell r="C669">
            <v>7059</v>
          </cell>
          <cell r="D669">
            <v>5514.6362500000005</v>
          </cell>
          <cell r="E669">
            <v>7373.6975000000002</v>
          </cell>
          <cell r="F669">
            <v>5922.4800000000005</v>
          </cell>
        </row>
        <row r="670">
          <cell r="A670">
            <v>422</v>
          </cell>
          <cell r="B670">
            <v>2924</v>
          </cell>
          <cell r="C670">
            <v>7059</v>
          </cell>
          <cell r="D670">
            <v>5514.9175000000005</v>
          </cell>
          <cell r="E670">
            <v>7374.4449999999997</v>
          </cell>
          <cell r="F670">
            <v>5923.7300000000005</v>
          </cell>
        </row>
        <row r="671">
          <cell r="A671">
            <v>423</v>
          </cell>
          <cell r="B671">
            <v>2924</v>
          </cell>
          <cell r="C671">
            <v>7059</v>
          </cell>
          <cell r="D671">
            <v>5515.1987500000005</v>
          </cell>
          <cell r="E671">
            <v>7375.1925000000001</v>
          </cell>
          <cell r="F671">
            <v>5924.9800000000005</v>
          </cell>
        </row>
        <row r="672">
          <cell r="A672">
            <v>424</v>
          </cell>
          <cell r="B672">
            <v>2924</v>
          </cell>
          <cell r="C672">
            <v>7059</v>
          </cell>
          <cell r="D672">
            <v>5515.4800000000005</v>
          </cell>
          <cell r="E672">
            <v>7375.94</v>
          </cell>
          <cell r="F672">
            <v>5926.2300000000005</v>
          </cell>
        </row>
        <row r="673">
          <cell r="A673">
            <v>425</v>
          </cell>
          <cell r="B673">
            <v>2924</v>
          </cell>
          <cell r="C673">
            <v>7059</v>
          </cell>
          <cell r="D673">
            <v>5515.7612500000005</v>
          </cell>
          <cell r="E673">
            <v>7376.6875</v>
          </cell>
          <cell r="F673">
            <v>5927.4800000000005</v>
          </cell>
        </row>
        <row r="674">
          <cell r="A674">
            <v>426</v>
          </cell>
          <cell r="B674">
            <v>2924</v>
          </cell>
          <cell r="C674">
            <v>7059</v>
          </cell>
          <cell r="D674">
            <v>5516.0425000000005</v>
          </cell>
          <cell r="E674">
            <v>7377.4350000000004</v>
          </cell>
          <cell r="F674">
            <v>5928.7300000000005</v>
          </cell>
        </row>
        <row r="675">
          <cell r="A675">
            <v>427</v>
          </cell>
          <cell r="B675">
            <v>2924</v>
          </cell>
          <cell r="C675">
            <v>7059</v>
          </cell>
          <cell r="D675">
            <v>5516.3237500000005</v>
          </cell>
          <cell r="E675">
            <v>7378.1824999999999</v>
          </cell>
          <cell r="F675">
            <v>5929.9800000000005</v>
          </cell>
        </row>
        <row r="676">
          <cell r="A676">
            <v>428</v>
          </cell>
          <cell r="B676">
            <v>2924</v>
          </cell>
          <cell r="C676">
            <v>7059</v>
          </cell>
          <cell r="D676">
            <v>5516.6050000000005</v>
          </cell>
          <cell r="E676">
            <v>7378.93</v>
          </cell>
          <cell r="F676">
            <v>5931.2300000000005</v>
          </cell>
        </row>
        <row r="677">
          <cell r="A677">
            <v>429</v>
          </cell>
          <cell r="B677">
            <v>2924</v>
          </cell>
          <cell r="C677">
            <v>7059</v>
          </cell>
          <cell r="D677">
            <v>5516.8862500000005</v>
          </cell>
          <cell r="E677">
            <v>7379.6774999999998</v>
          </cell>
          <cell r="F677">
            <v>5932.4800000000005</v>
          </cell>
        </row>
        <row r="678">
          <cell r="A678">
            <v>430</v>
          </cell>
          <cell r="B678">
            <v>2924</v>
          </cell>
          <cell r="C678">
            <v>7059</v>
          </cell>
          <cell r="D678">
            <v>5517.1675000000005</v>
          </cell>
          <cell r="E678">
            <v>7380.4250000000002</v>
          </cell>
          <cell r="F678">
            <v>5933.7300000000005</v>
          </cell>
        </row>
        <row r="679">
          <cell r="A679">
            <v>431</v>
          </cell>
          <cell r="B679">
            <v>2924</v>
          </cell>
          <cell r="C679">
            <v>7059</v>
          </cell>
          <cell r="D679">
            <v>5517.4487500000005</v>
          </cell>
          <cell r="E679">
            <v>7381.1724999999997</v>
          </cell>
          <cell r="F679">
            <v>5934.9800000000005</v>
          </cell>
        </row>
        <row r="680">
          <cell r="A680">
            <v>432</v>
          </cell>
          <cell r="B680">
            <v>2924</v>
          </cell>
          <cell r="C680">
            <v>7059</v>
          </cell>
          <cell r="D680">
            <v>5517.7300000000005</v>
          </cell>
          <cell r="E680">
            <v>7381.92</v>
          </cell>
          <cell r="F680">
            <v>5936.2300000000005</v>
          </cell>
        </row>
        <row r="681">
          <cell r="A681">
            <v>433</v>
          </cell>
          <cell r="B681">
            <v>2924</v>
          </cell>
          <cell r="C681">
            <v>7059</v>
          </cell>
          <cell r="D681">
            <v>5518.0112500000005</v>
          </cell>
          <cell r="E681">
            <v>7382.6674999999996</v>
          </cell>
          <cell r="F681">
            <v>5937.4800000000005</v>
          </cell>
        </row>
        <row r="682">
          <cell r="A682">
            <v>434</v>
          </cell>
          <cell r="B682">
            <v>2924</v>
          </cell>
          <cell r="C682">
            <v>7059</v>
          </cell>
          <cell r="D682">
            <v>5518.2925000000005</v>
          </cell>
          <cell r="E682">
            <v>7383.415</v>
          </cell>
          <cell r="F682">
            <v>5938.7300000000005</v>
          </cell>
        </row>
        <row r="683">
          <cell r="A683">
            <v>435</v>
          </cell>
          <cell r="B683">
            <v>2924</v>
          </cell>
          <cell r="C683">
            <v>7059</v>
          </cell>
          <cell r="D683">
            <v>5518.5737500000005</v>
          </cell>
          <cell r="E683">
            <v>7384.1625000000004</v>
          </cell>
          <cell r="F683">
            <v>5939.9800000000005</v>
          </cell>
        </row>
        <row r="684">
          <cell r="A684">
            <v>436</v>
          </cell>
          <cell r="B684">
            <v>2924</v>
          </cell>
          <cell r="C684">
            <v>7059</v>
          </cell>
          <cell r="D684">
            <v>5518.8550000000005</v>
          </cell>
          <cell r="E684">
            <v>7384.91</v>
          </cell>
          <cell r="F684">
            <v>5941.2300000000005</v>
          </cell>
        </row>
        <row r="685">
          <cell r="A685">
            <v>437</v>
          </cell>
          <cell r="B685">
            <v>2924</v>
          </cell>
          <cell r="C685">
            <v>7059</v>
          </cell>
          <cell r="D685">
            <v>5519.1362500000005</v>
          </cell>
          <cell r="E685">
            <v>7385.6575000000003</v>
          </cell>
          <cell r="F685">
            <v>5942.4800000000005</v>
          </cell>
        </row>
        <row r="686">
          <cell r="A686">
            <v>438</v>
          </cell>
          <cell r="B686">
            <v>2924</v>
          </cell>
          <cell r="C686">
            <v>7059</v>
          </cell>
          <cell r="D686">
            <v>5519.4175000000005</v>
          </cell>
          <cell r="E686">
            <v>7386.4049999999997</v>
          </cell>
          <cell r="F686">
            <v>5943.7300000000005</v>
          </cell>
        </row>
        <row r="687">
          <cell r="A687">
            <v>439</v>
          </cell>
          <cell r="B687">
            <v>2924</v>
          </cell>
          <cell r="C687">
            <v>7059</v>
          </cell>
          <cell r="D687">
            <v>5519.6987500000005</v>
          </cell>
          <cell r="E687">
            <v>7387.1525000000001</v>
          </cell>
          <cell r="F687">
            <v>5944.9800000000005</v>
          </cell>
        </row>
        <row r="688">
          <cell r="A688">
            <v>440</v>
          </cell>
          <cell r="B688">
            <v>2924</v>
          </cell>
          <cell r="C688">
            <v>7059</v>
          </cell>
          <cell r="D688">
            <v>5519.9800000000005</v>
          </cell>
          <cell r="E688">
            <v>7387.9</v>
          </cell>
          <cell r="F688">
            <v>5946.2300000000005</v>
          </cell>
        </row>
        <row r="689">
          <cell r="A689">
            <v>441</v>
          </cell>
          <cell r="B689">
            <v>3024</v>
          </cell>
          <cell r="C689">
            <v>7424</v>
          </cell>
          <cell r="D689">
            <v>5520.2612500000005</v>
          </cell>
          <cell r="E689">
            <v>7753.6475</v>
          </cell>
          <cell r="F689">
            <v>5947.4800000000005</v>
          </cell>
        </row>
        <row r="690">
          <cell r="A690">
            <v>442</v>
          </cell>
          <cell r="B690">
            <v>3024</v>
          </cell>
          <cell r="C690">
            <v>7424</v>
          </cell>
          <cell r="D690">
            <v>5520.5425000000005</v>
          </cell>
          <cell r="E690">
            <v>7754.3950000000004</v>
          </cell>
          <cell r="F690">
            <v>5948.7300000000005</v>
          </cell>
        </row>
        <row r="691">
          <cell r="A691">
            <v>443</v>
          </cell>
          <cell r="B691">
            <v>3024</v>
          </cell>
          <cell r="C691">
            <v>7424</v>
          </cell>
          <cell r="D691">
            <v>5520.8237500000005</v>
          </cell>
          <cell r="E691">
            <v>7755.1424999999999</v>
          </cell>
          <cell r="F691">
            <v>5949.9800000000005</v>
          </cell>
        </row>
        <row r="692">
          <cell r="A692">
            <v>444</v>
          </cell>
          <cell r="B692">
            <v>3024</v>
          </cell>
          <cell r="C692">
            <v>7424</v>
          </cell>
          <cell r="D692">
            <v>5521.1050000000005</v>
          </cell>
          <cell r="E692">
            <v>7755.89</v>
          </cell>
          <cell r="F692">
            <v>5951.2300000000005</v>
          </cell>
        </row>
        <row r="693">
          <cell r="A693">
            <v>445</v>
          </cell>
          <cell r="B693">
            <v>3024</v>
          </cell>
          <cell r="C693">
            <v>7424</v>
          </cell>
          <cell r="D693">
            <v>5521.3862500000005</v>
          </cell>
          <cell r="E693">
            <v>7756.6374999999998</v>
          </cell>
          <cell r="F693">
            <v>5952.4800000000005</v>
          </cell>
        </row>
        <row r="694">
          <cell r="A694">
            <v>446</v>
          </cell>
          <cell r="B694">
            <v>3024</v>
          </cell>
          <cell r="C694">
            <v>7424</v>
          </cell>
          <cell r="D694">
            <v>5521.6675000000005</v>
          </cell>
          <cell r="E694">
            <v>7757.3850000000002</v>
          </cell>
          <cell r="F694">
            <v>5953.7300000000005</v>
          </cell>
        </row>
        <row r="695">
          <cell r="A695">
            <v>447</v>
          </cell>
          <cell r="B695">
            <v>3024</v>
          </cell>
          <cell r="C695">
            <v>7424</v>
          </cell>
          <cell r="D695">
            <v>5521.9487500000005</v>
          </cell>
          <cell r="E695">
            <v>7758.1324999999997</v>
          </cell>
          <cell r="F695">
            <v>5954.9800000000005</v>
          </cell>
        </row>
        <row r="696">
          <cell r="A696">
            <v>448</v>
          </cell>
          <cell r="B696">
            <v>3024</v>
          </cell>
          <cell r="C696">
            <v>7424</v>
          </cell>
          <cell r="D696">
            <v>5522.2300000000005</v>
          </cell>
          <cell r="E696">
            <v>7758.88</v>
          </cell>
          <cell r="F696">
            <v>5956.2300000000005</v>
          </cell>
        </row>
        <row r="697">
          <cell r="A697">
            <v>449</v>
          </cell>
          <cell r="B697">
            <v>3024</v>
          </cell>
          <cell r="C697">
            <v>7424</v>
          </cell>
          <cell r="D697">
            <v>5522.5112500000005</v>
          </cell>
          <cell r="E697">
            <v>7759.6274999999996</v>
          </cell>
          <cell r="F697">
            <v>5957.4800000000005</v>
          </cell>
        </row>
        <row r="698">
          <cell r="A698">
            <v>450</v>
          </cell>
          <cell r="B698">
            <v>3024</v>
          </cell>
          <cell r="C698">
            <v>7424</v>
          </cell>
          <cell r="D698">
            <v>5522.7925000000005</v>
          </cell>
          <cell r="E698">
            <v>7760.375</v>
          </cell>
          <cell r="F698">
            <v>5958.7300000000005</v>
          </cell>
        </row>
        <row r="699">
          <cell r="A699">
            <v>451</v>
          </cell>
          <cell r="B699">
            <v>3024</v>
          </cell>
          <cell r="C699">
            <v>7424</v>
          </cell>
          <cell r="D699">
            <v>5523.0737500000005</v>
          </cell>
          <cell r="E699">
            <v>7761.1225000000004</v>
          </cell>
          <cell r="F699">
            <v>5959.9800000000005</v>
          </cell>
        </row>
        <row r="700">
          <cell r="A700">
            <v>452</v>
          </cell>
          <cell r="B700">
            <v>3024</v>
          </cell>
          <cell r="C700">
            <v>7424</v>
          </cell>
          <cell r="D700">
            <v>5523.3550000000005</v>
          </cell>
          <cell r="E700">
            <v>7761.87</v>
          </cell>
          <cell r="F700">
            <v>5961.2300000000005</v>
          </cell>
        </row>
        <row r="701">
          <cell r="A701">
            <v>453</v>
          </cell>
          <cell r="B701">
            <v>3024</v>
          </cell>
          <cell r="C701">
            <v>7424</v>
          </cell>
          <cell r="D701">
            <v>5523.6362500000005</v>
          </cell>
          <cell r="E701">
            <v>7762.6175000000003</v>
          </cell>
          <cell r="F701">
            <v>5962.4800000000005</v>
          </cell>
        </row>
        <row r="702">
          <cell r="A702">
            <v>454</v>
          </cell>
          <cell r="B702">
            <v>3024</v>
          </cell>
          <cell r="C702">
            <v>7424</v>
          </cell>
          <cell r="D702">
            <v>5523.9175000000005</v>
          </cell>
          <cell r="E702">
            <v>7763.3649999999998</v>
          </cell>
          <cell r="F702">
            <v>5963.7300000000005</v>
          </cell>
        </row>
        <row r="703">
          <cell r="A703">
            <v>455</v>
          </cell>
          <cell r="B703">
            <v>3024</v>
          </cell>
          <cell r="C703">
            <v>7424</v>
          </cell>
          <cell r="D703">
            <v>5524.1987500000005</v>
          </cell>
          <cell r="E703">
            <v>7764.1125000000002</v>
          </cell>
          <cell r="F703">
            <v>5964.9800000000005</v>
          </cell>
        </row>
        <row r="704">
          <cell r="A704">
            <v>456</v>
          </cell>
          <cell r="B704">
            <v>3024</v>
          </cell>
          <cell r="C704">
            <v>7424</v>
          </cell>
          <cell r="D704">
            <v>5524.4800000000005</v>
          </cell>
          <cell r="E704">
            <v>7764.86</v>
          </cell>
          <cell r="F704">
            <v>5966.2300000000005</v>
          </cell>
        </row>
        <row r="705">
          <cell r="A705">
            <v>457</v>
          </cell>
          <cell r="B705">
            <v>3024</v>
          </cell>
          <cell r="C705">
            <v>7424</v>
          </cell>
          <cell r="D705">
            <v>5524.7612500000005</v>
          </cell>
          <cell r="E705">
            <v>7765.6075000000001</v>
          </cell>
          <cell r="F705">
            <v>5967.4800000000005</v>
          </cell>
        </row>
        <row r="706">
          <cell r="A706">
            <v>458</v>
          </cell>
          <cell r="B706">
            <v>3024</v>
          </cell>
          <cell r="C706">
            <v>7424</v>
          </cell>
          <cell r="D706">
            <v>5525.0425000000005</v>
          </cell>
          <cell r="E706">
            <v>7766.3549999999996</v>
          </cell>
          <cell r="F706">
            <v>5968.7300000000005</v>
          </cell>
        </row>
        <row r="707">
          <cell r="A707">
            <v>459</v>
          </cell>
          <cell r="B707">
            <v>3024</v>
          </cell>
          <cell r="C707">
            <v>7424</v>
          </cell>
          <cell r="D707">
            <v>5525.3237500000005</v>
          </cell>
          <cell r="E707">
            <v>7767.1025</v>
          </cell>
          <cell r="F707">
            <v>5969.9800000000005</v>
          </cell>
        </row>
        <row r="708">
          <cell r="A708">
            <v>460</v>
          </cell>
          <cell r="B708">
            <v>3024</v>
          </cell>
          <cell r="C708">
            <v>7424</v>
          </cell>
          <cell r="D708">
            <v>5525.6050000000005</v>
          </cell>
          <cell r="E708">
            <v>7767.85</v>
          </cell>
          <cell r="F708">
            <v>5971.2300000000005</v>
          </cell>
        </row>
        <row r="709">
          <cell r="A709">
            <v>461</v>
          </cell>
          <cell r="B709">
            <v>3024</v>
          </cell>
          <cell r="C709">
            <v>7424</v>
          </cell>
          <cell r="D709">
            <v>5525.8862500000005</v>
          </cell>
          <cell r="E709">
            <v>7768.5974999999999</v>
          </cell>
          <cell r="F709">
            <v>5972.4800000000005</v>
          </cell>
        </row>
        <row r="710">
          <cell r="A710">
            <v>462</v>
          </cell>
          <cell r="B710">
            <v>3024</v>
          </cell>
          <cell r="C710">
            <v>7424</v>
          </cell>
          <cell r="D710">
            <v>5526.1675000000005</v>
          </cell>
          <cell r="E710">
            <v>7769.3450000000003</v>
          </cell>
          <cell r="F710">
            <v>5973.7300000000005</v>
          </cell>
        </row>
        <row r="711">
          <cell r="A711">
            <v>463</v>
          </cell>
          <cell r="B711">
            <v>3024</v>
          </cell>
          <cell r="C711">
            <v>7424</v>
          </cell>
          <cell r="D711">
            <v>5526.4487500000005</v>
          </cell>
          <cell r="E711">
            <v>7770.0924999999997</v>
          </cell>
          <cell r="F711">
            <v>5974.9800000000005</v>
          </cell>
        </row>
        <row r="712">
          <cell r="A712">
            <v>464</v>
          </cell>
          <cell r="B712">
            <v>3024</v>
          </cell>
          <cell r="C712">
            <v>7424</v>
          </cell>
          <cell r="D712">
            <v>5526.7300000000005</v>
          </cell>
          <cell r="E712">
            <v>7770.84</v>
          </cell>
          <cell r="F712">
            <v>5976.2300000000005</v>
          </cell>
        </row>
        <row r="713">
          <cell r="A713">
            <v>465</v>
          </cell>
          <cell r="B713">
            <v>3024</v>
          </cell>
          <cell r="C713">
            <v>7424</v>
          </cell>
          <cell r="D713">
            <v>5527.0112500000005</v>
          </cell>
          <cell r="E713">
            <v>7771.5874999999996</v>
          </cell>
          <cell r="F713">
            <v>5977.4800000000005</v>
          </cell>
        </row>
        <row r="714">
          <cell r="A714">
            <v>466</v>
          </cell>
          <cell r="B714">
            <v>3024</v>
          </cell>
          <cell r="C714">
            <v>7424</v>
          </cell>
          <cell r="D714">
            <v>5527.2925000000005</v>
          </cell>
          <cell r="E714">
            <v>7772.335</v>
          </cell>
          <cell r="F714">
            <v>5978.7300000000005</v>
          </cell>
        </row>
        <row r="715">
          <cell r="A715">
            <v>467</v>
          </cell>
          <cell r="B715">
            <v>3024</v>
          </cell>
          <cell r="C715">
            <v>7424</v>
          </cell>
          <cell r="D715">
            <v>5527.5737500000005</v>
          </cell>
          <cell r="E715">
            <v>7773.0825000000004</v>
          </cell>
          <cell r="F715">
            <v>5979.9800000000005</v>
          </cell>
        </row>
        <row r="716">
          <cell r="A716">
            <v>468</v>
          </cell>
          <cell r="B716">
            <v>3024</v>
          </cell>
          <cell r="C716">
            <v>7424</v>
          </cell>
          <cell r="D716">
            <v>5527.8550000000005</v>
          </cell>
          <cell r="E716">
            <v>7773.83</v>
          </cell>
          <cell r="F716">
            <v>5981.2300000000005</v>
          </cell>
        </row>
        <row r="717">
          <cell r="A717">
            <v>469</v>
          </cell>
          <cell r="B717">
            <v>3024</v>
          </cell>
          <cell r="C717">
            <v>7424</v>
          </cell>
          <cell r="D717">
            <v>5528.1362500000005</v>
          </cell>
          <cell r="E717">
            <v>7774.5775000000003</v>
          </cell>
          <cell r="F717">
            <v>5982.4800000000005</v>
          </cell>
        </row>
        <row r="718">
          <cell r="A718">
            <v>470</v>
          </cell>
          <cell r="B718">
            <v>3024</v>
          </cell>
          <cell r="C718">
            <v>7424</v>
          </cell>
          <cell r="D718">
            <v>5528.4175000000005</v>
          </cell>
          <cell r="E718">
            <v>7775.3249999999998</v>
          </cell>
          <cell r="F718">
            <v>5983.7300000000005</v>
          </cell>
        </row>
        <row r="719">
          <cell r="A719">
            <v>471</v>
          </cell>
          <cell r="B719">
            <v>3024</v>
          </cell>
          <cell r="C719">
            <v>7424</v>
          </cell>
          <cell r="D719">
            <v>5528.6987500000005</v>
          </cell>
          <cell r="E719">
            <v>7776.0725000000002</v>
          </cell>
          <cell r="F719">
            <v>5984.9800000000005</v>
          </cell>
        </row>
        <row r="720">
          <cell r="A720">
            <v>472</v>
          </cell>
          <cell r="B720">
            <v>3024</v>
          </cell>
          <cell r="C720">
            <v>7424</v>
          </cell>
          <cell r="D720">
            <v>5528.9800000000005</v>
          </cell>
          <cell r="E720">
            <v>7776.82</v>
          </cell>
          <cell r="F720">
            <v>5986.2300000000005</v>
          </cell>
        </row>
        <row r="721">
          <cell r="A721">
            <v>473</v>
          </cell>
          <cell r="B721">
            <v>3024</v>
          </cell>
          <cell r="C721">
            <v>7424</v>
          </cell>
          <cell r="D721">
            <v>5599.4922500000002</v>
          </cell>
          <cell r="E721">
            <v>7777.5675000000001</v>
          </cell>
          <cell r="F721">
            <v>6057.7110000000002</v>
          </cell>
        </row>
        <row r="722">
          <cell r="A722">
            <v>474</v>
          </cell>
          <cell r="B722">
            <v>3024</v>
          </cell>
          <cell r="C722">
            <v>7424</v>
          </cell>
          <cell r="D722">
            <v>5611.3305</v>
          </cell>
          <cell r="E722">
            <v>7778.3149999999996</v>
          </cell>
          <cell r="F722">
            <v>6070.518</v>
          </cell>
        </row>
        <row r="723">
          <cell r="A723">
            <v>475</v>
          </cell>
          <cell r="B723">
            <v>3024</v>
          </cell>
          <cell r="C723">
            <v>7424</v>
          </cell>
          <cell r="D723">
            <v>5623.1687499999998</v>
          </cell>
          <cell r="E723">
            <v>7779.0625</v>
          </cell>
          <cell r="F723">
            <v>6083.3249999999998</v>
          </cell>
        </row>
        <row r="724">
          <cell r="A724">
            <v>476</v>
          </cell>
          <cell r="B724">
            <v>3024</v>
          </cell>
          <cell r="C724">
            <v>7424</v>
          </cell>
          <cell r="D724">
            <v>5635.0070000000005</v>
          </cell>
          <cell r="E724">
            <v>7779.8099999999995</v>
          </cell>
          <cell r="F724">
            <v>6096.1320000000005</v>
          </cell>
        </row>
        <row r="725">
          <cell r="A725">
            <v>477</v>
          </cell>
          <cell r="B725">
            <v>3024</v>
          </cell>
          <cell r="C725">
            <v>7424</v>
          </cell>
          <cell r="D725">
            <v>5646.8452500000003</v>
          </cell>
          <cell r="E725">
            <v>7780.5574999999999</v>
          </cell>
          <cell r="F725">
            <v>6108.9390000000003</v>
          </cell>
        </row>
        <row r="726">
          <cell r="A726">
            <v>478</v>
          </cell>
          <cell r="B726">
            <v>3024</v>
          </cell>
          <cell r="C726">
            <v>7424</v>
          </cell>
          <cell r="D726">
            <v>5658.6835000000001</v>
          </cell>
          <cell r="E726">
            <v>7781.3050000000003</v>
          </cell>
          <cell r="F726">
            <v>6121.7460000000001</v>
          </cell>
        </row>
        <row r="727">
          <cell r="A727">
            <v>479</v>
          </cell>
          <cell r="B727">
            <v>3024</v>
          </cell>
          <cell r="C727">
            <v>7424</v>
          </cell>
          <cell r="D727">
            <v>5670.5217499999999</v>
          </cell>
          <cell r="E727">
            <v>7782.0524999999998</v>
          </cell>
          <cell r="F727">
            <v>6134.5529999999999</v>
          </cell>
        </row>
        <row r="728">
          <cell r="A728">
            <v>480</v>
          </cell>
          <cell r="B728">
            <v>3024</v>
          </cell>
          <cell r="C728">
            <v>7424</v>
          </cell>
          <cell r="D728">
            <v>5682.3600000000006</v>
          </cell>
          <cell r="E728">
            <v>7782.8</v>
          </cell>
          <cell r="F728">
            <v>6147.3600000000006</v>
          </cell>
        </row>
        <row r="729">
          <cell r="A729">
            <v>481</v>
          </cell>
          <cell r="B729">
            <v>3124</v>
          </cell>
          <cell r="C729">
            <v>7789</v>
          </cell>
          <cell r="D729">
            <v>5694.1982500000004</v>
          </cell>
          <cell r="E729">
            <v>8148.5474999999997</v>
          </cell>
          <cell r="F729">
            <v>6160.1670000000004</v>
          </cell>
        </row>
        <row r="730">
          <cell r="A730">
            <v>482</v>
          </cell>
          <cell r="B730">
            <v>3124</v>
          </cell>
          <cell r="C730">
            <v>7789</v>
          </cell>
          <cell r="D730">
            <v>5706.0365000000002</v>
          </cell>
          <cell r="E730">
            <v>8149.2950000000001</v>
          </cell>
          <cell r="F730">
            <v>6172.9740000000002</v>
          </cell>
        </row>
        <row r="731">
          <cell r="A731">
            <v>483</v>
          </cell>
          <cell r="B731">
            <v>3124</v>
          </cell>
          <cell r="C731">
            <v>7789</v>
          </cell>
          <cell r="D731">
            <v>5717.8747499999999</v>
          </cell>
          <cell r="E731">
            <v>8150.0424999999996</v>
          </cell>
          <cell r="F731">
            <v>6185.7809999999999</v>
          </cell>
        </row>
        <row r="732">
          <cell r="A732">
            <v>484</v>
          </cell>
          <cell r="B732">
            <v>3124</v>
          </cell>
          <cell r="C732">
            <v>7789</v>
          </cell>
          <cell r="D732">
            <v>5729.7129999999997</v>
          </cell>
          <cell r="E732">
            <v>8150.79</v>
          </cell>
          <cell r="F732">
            <v>6198.5879999999997</v>
          </cell>
        </row>
        <row r="733">
          <cell r="A733">
            <v>485</v>
          </cell>
          <cell r="B733">
            <v>3124</v>
          </cell>
          <cell r="C733">
            <v>7789</v>
          </cell>
          <cell r="D733">
            <v>5741.5512500000004</v>
          </cell>
          <cell r="E733">
            <v>8151.5375000000004</v>
          </cell>
          <cell r="F733">
            <v>6211.3950000000004</v>
          </cell>
        </row>
        <row r="734">
          <cell r="A734">
            <v>486</v>
          </cell>
          <cell r="B734">
            <v>3124</v>
          </cell>
          <cell r="C734">
            <v>7789</v>
          </cell>
          <cell r="D734">
            <v>5753.3895000000002</v>
          </cell>
          <cell r="E734">
            <v>8152.2849999999999</v>
          </cell>
          <cell r="F734">
            <v>6224.2020000000002</v>
          </cell>
        </row>
        <row r="735">
          <cell r="A735">
            <v>487</v>
          </cell>
          <cell r="B735">
            <v>3124</v>
          </cell>
          <cell r="C735">
            <v>7789</v>
          </cell>
          <cell r="D735">
            <v>5765.22775</v>
          </cell>
          <cell r="E735">
            <v>8153.0325000000003</v>
          </cell>
          <cell r="F735">
            <v>6237.009</v>
          </cell>
        </row>
        <row r="736">
          <cell r="A736">
            <v>488</v>
          </cell>
          <cell r="B736">
            <v>3124</v>
          </cell>
          <cell r="C736">
            <v>7789</v>
          </cell>
          <cell r="D736">
            <v>5777.0659999999998</v>
          </cell>
          <cell r="E736">
            <v>8153.78</v>
          </cell>
          <cell r="F736">
            <v>6249.8159999999998</v>
          </cell>
        </row>
        <row r="737">
          <cell r="A737">
            <v>489</v>
          </cell>
          <cell r="B737">
            <v>3124</v>
          </cell>
          <cell r="C737">
            <v>7789</v>
          </cell>
          <cell r="D737">
            <v>5788.9042500000005</v>
          </cell>
          <cell r="E737">
            <v>8154.5275000000001</v>
          </cell>
          <cell r="F737">
            <v>6262.6230000000005</v>
          </cell>
        </row>
        <row r="738">
          <cell r="A738">
            <v>490</v>
          </cell>
          <cell r="B738">
            <v>3124</v>
          </cell>
          <cell r="C738">
            <v>7789</v>
          </cell>
          <cell r="D738">
            <v>5800.7425000000003</v>
          </cell>
          <cell r="E738">
            <v>8155.2749999999996</v>
          </cell>
          <cell r="F738">
            <v>6275.43</v>
          </cell>
        </row>
        <row r="739">
          <cell r="A739">
            <v>491</v>
          </cell>
          <cell r="B739">
            <v>3124</v>
          </cell>
          <cell r="C739">
            <v>7789</v>
          </cell>
          <cell r="D739">
            <v>5812.5807500000001</v>
          </cell>
          <cell r="E739">
            <v>8156.0225</v>
          </cell>
          <cell r="F739">
            <v>6288.2370000000001</v>
          </cell>
        </row>
        <row r="740">
          <cell r="A740">
            <v>492</v>
          </cell>
          <cell r="B740">
            <v>3124</v>
          </cell>
          <cell r="C740">
            <v>7789</v>
          </cell>
          <cell r="D740">
            <v>5824.4189999999999</v>
          </cell>
          <cell r="E740">
            <v>8156.77</v>
          </cell>
          <cell r="F740">
            <v>6301.0439999999999</v>
          </cell>
        </row>
        <row r="741">
          <cell r="A741">
            <v>493</v>
          </cell>
          <cell r="B741">
            <v>3124</v>
          </cell>
          <cell r="C741">
            <v>7789</v>
          </cell>
          <cell r="D741">
            <v>5836.2572500000006</v>
          </cell>
          <cell r="E741">
            <v>8157.5174999999999</v>
          </cell>
          <cell r="F741">
            <v>6313.8510000000006</v>
          </cell>
        </row>
        <row r="742">
          <cell r="A742">
            <v>494</v>
          </cell>
          <cell r="B742">
            <v>3124</v>
          </cell>
          <cell r="C742">
            <v>7789</v>
          </cell>
          <cell r="D742">
            <v>5848.0955000000004</v>
          </cell>
          <cell r="E742">
            <v>8158.2650000000003</v>
          </cell>
          <cell r="F742">
            <v>6326.6580000000004</v>
          </cell>
        </row>
        <row r="743">
          <cell r="A743">
            <v>495</v>
          </cell>
          <cell r="B743">
            <v>3124</v>
          </cell>
          <cell r="C743">
            <v>7789</v>
          </cell>
          <cell r="D743">
            <v>5859.9337500000001</v>
          </cell>
          <cell r="E743">
            <v>8159.0124999999998</v>
          </cell>
          <cell r="F743">
            <v>6339.4650000000001</v>
          </cell>
        </row>
        <row r="744">
          <cell r="A744">
            <v>496</v>
          </cell>
          <cell r="B744">
            <v>3124</v>
          </cell>
          <cell r="C744">
            <v>7789</v>
          </cell>
          <cell r="D744">
            <v>5871.7719999999999</v>
          </cell>
          <cell r="E744">
            <v>8159.76</v>
          </cell>
          <cell r="F744">
            <v>6352.2719999999999</v>
          </cell>
        </row>
        <row r="745">
          <cell r="A745">
            <v>497</v>
          </cell>
          <cell r="B745">
            <v>3124</v>
          </cell>
          <cell r="C745">
            <v>7789</v>
          </cell>
          <cell r="D745">
            <v>5883.6102500000006</v>
          </cell>
          <cell r="E745">
            <v>8160.5074999999997</v>
          </cell>
          <cell r="F745">
            <v>6365.0790000000006</v>
          </cell>
        </row>
        <row r="746">
          <cell r="A746">
            <v>498</v>
          </cell>
          <cell r="B746">
            <v>3124</v>
          </cell>
          <cell r="C746">
            <v>7789</v>
          </cell>
          <cell r="D746">
            <v>5895.4485000000004</v>
          </cell>
          <cell r="E746">
            <v>8161.2550000000001</v>
          </cell>
          <cell r="F746">
            <v>6377.8860000000004</v>
          </cell>
        </row>
        <row r="747">
          <cell r="A747">
            <v>499</v>
          </cell>
          <cell r="B747">
            <v>3124</v>
          </cell>
          <cell r="C747">
            <v>7789</v>
          </cell>
          <cell r="D747">
            <v>5907.2867500000002</v>
          </cell>
          <cell r="E747">
            <v>8162.0024999999996</v>
          </cell>
          <cell r="F747">
            <v>6390.6930000000002</v>
          </cell>
        </row>
        <row r="748">
          <cell r="A748">
            <v>500</v>
          </cell>
          <cell r="B748">
            <v>3124</v>
          </cell>
          <cell r="C748">
            <v>7789</v>
          </cell>
          <cell r="D748">
            <v>5919.125</v>
          </cell>
          <cell r="E748">
            <v>8162.75</v>
          </cell>
          <cell r="F748">
            <v>6403.5</v>
          </cell>
        </row>
        <row r="749">
          <cell r="A749">
            <v>501</v>
          </cell>
          <cell r="B749">
            <v>3124</v>
          </cell>
          <cell r="C749">
            <v>7789</v>
          </cell>
          <cell r="D749">
            <v>5930.9632499999998</v>
          </cell>
          <cell r="E749">
            <v>8163.4974999999995</v>
          </cell>
          <cell r="F749">
            <v>6416.3069999999998</v>
          </cell>
        </row>
        <row r="750">
          <cell r="A750">
            <v>502</v>
          </cell>
          <cell r="B750">
            <v>3124</v>
          </cell>
          <cell r="C750">
            <v>7789</v>
          </cell>
          <cell r="D750">
            <v>5942.8015000000005</v>
          </cell>
          <cell r="E750">
            <v>8164.2449999999999</v>
          </cell>
          <cell r="F750">
            <v>6429.1140000000005</v>
          </cell>
        </row>
        <row r="751">
          <cell r="A751">
            <v>503</v>
          </cell>
          <cell r="B751">
            <v>3124</v>
          </cell>
          <cell r="C751">
            <v>7789</v>
          </cell>
          <cell r="D751">
            <v>5954.6397500000003</v>
          </cell>
          <cell r="E751">
            <v>8164.9925000000003</v>
          </cell>
          <cell r="F751">
            <v>6441.9210000000003</v>
          </cell>
        </row>
        <row r="752">
          <cell r="A752">
            <v>504</v>
          </cell>
          <cell r="B752">
            <v>3124</v>
          </cell>
          <cell r="C752">
            <v>7789</v>
          </cell>
          <cell r="D752">
            <v>5966.4780000000001</v>
          </cell>
          <cell r="E752">
            <v>8165.74</v>
          </cell>
          <cell r="F752">
            <v>6454.7280000000001</v>
          </cell>
        </row>
        <row r="753">
          <cell r="A753">
            <v>505</v>
          </cell>
          <cell r="B753">
            <v>3124</v>
          </cell>
          <cell r="C753">
            <v>7789</v>
          </cell>
          <cell r="D753">
            <v>5978.3162499999999</v>
          </cell>
          <cell r="E753">
            <v>8166.4875000000002</v>
          </cell>
          <cell r="F753">
            <v>6467.5349999999999</v>
          </cell>
        </row>
        <row r="754">
          <cell r="A754">
            <v>506</v>
          </cell>
          <cell r="B754">
            <v>3124</v>
          </cell>
          <cell r="C754">
            <v>7789</v>
          </cell>
          <cell r="D754">
            <v>5990.1545000000006</v>
          </cell>
          <cell r="E754">
            <v>8167.2349999999997</v>
          </cell>
          <cell r="F754">
            <v>6480.3420000000006</v>
          </cell>
        </row>
        <row r="755">
          <cell r="A755">
            <v>507</v>
          </cell>
          <cell r="B755">
            <v>3124</v>
          </cell>
          <cell r="C755">
            <v>7789</v>
          </cell>
          <cell r="D755">
            <v>6001.9927500000003</v>
          </cell>
          <cell r="E755">
            <v>8167.9825000000001</v>
          </cell>
          <cell r="F755">
            <v>6493.1490000000003</v>
          </cell>
        </row>
        <row r="756">
          <cell r="A756">
            <v>508</v>
          </cell>
          <cell r="B756">
            <v>3124</v>
          </cell>
          <cell r="C756">
            <v>7789</v>
          </cell>
          <cell r="D756">
            <v>6013.8310000000001</v>
          </cell>
          <cell r="E756">
            <v>8168.73</v>
          </cell>
          <cell r="F756">
            <v>6505.9560000000001</v>
          </cell>
        </row>
        <row r="757">
          <cell r="A757">
            <v>509</v>
          </cell>
          <cell r="B757">
            <v>3124</v>
          </cell>
          <cell r="C757">
            <v>7789</v>
          </cell>
          <cell r="D757">
            <v>6025.6692499999999</v>
          </cell>
          <cell r="E757">
            <v>8169.4775</v>
          </cell>
          <cell r="F757">
            <v>6518.7629999999999</v>
          </cell>
        </row>
        <row r="758">
          <cell r="A758">
            <v>510</v>
          </cell>
          <cell r="B758">
            <v>3124</v>
          </cell>
          <cell r="C758">
            <v>7789</v>
          </cell>
          <cell r="D758">
            <v>6037.5075000000006</v>
          </cell>
          <cell r="E758">
            <v>8170.2250000000004</v>
          </cell>
          <cell r="F758">
            <v>6531.5700000000006</v>
          </cell>
        </row>
        <row r="759">
          <cell r="A759">
            <v>511</v>
          </cell>
          <cell r="B759">
            <v>3124</v>
          </cell>
          <cell r="C759">
            <v>7789</v>
          </cell>
          <cell r="D759">
            <v>6049.3457500000004</v>
          </cell>
          <cell r="E759">
            <v>8170.9724999999999</v>
          </cell>
          <cell r="F759">
            <v>6544.3770000000004</v>
          </cell>
        </row>
        <row r="760">
          <cell r="A760">
            <v>512</v>
          </cell>
          <cell r="B760">
            <v>3124</v>
          </cell>
          <cell r="C760">
            <v>7789</v>
          </cell>
          <cell r="D760">
            <v>6061.1840000000002</v>
          </cell>
          <cell r="E760">
            <v>8171.72</v>
          </cell>
          <cell r="F760">
            <v>6557.1840000000002</v>
          </cell>
        </row>
        <row r="761">
          <cell r="A761">
            <v>513</v>
          </cell>
          <cell r="B761">
            <v>3124</v>
          </cell>
          <cell r="C761">
            <v>7789</v>
          </cell>
          <cell r="D761">
            <v>6073.02225</v>
          </cell>
          <cell r="E761">
            <v>8172.4674999999997</v>
          </cell>
          <cell r="F761">
            <v>6569.991</v>
          </cell>
        </row>
        <row r="762">
          <cell r="A762">
            <v>514</v>
          </cell>
          <cell r="B762">
            <v>3124</v>
          </cell>
          <cell r="C762">
            <v>7789</v>
          </cell>
          <cell r="D762">
            <v>6084.8604999999998</v>
          </cell>
          <cell r="E762">
            <v>8173.2150000000001</v>
          </cell>
          <cell r="F762">
            <v>6582.7979999999998</v>
          </cell>
        </row>
        <row r="763">
          <cell r="A763">
            <v>515</v>
          </cell>
          <cell r="B763">
            <v>3124</v>
          </cell>
          <cell r="C763">
            <v>7789</v>
          </cell>
          <cell r="D763">
            <v>6096.6987500000005</v>
          </cell>
          <cell r="E763">
            <v>8173.9624999999996</v>
          </cell>
          <cell r="F763">
            <v>6595.6050000000005</v>
          </cell>
        </row>
        <row r="764">
          <cell r="A764">
            <v>516</v>
          </cell>
          <cell r="B764">
            <v>3124</v>
          </cell>
          <cell r="C764">
            <v>7789</v>
          </cell>
          <cell r="D764">
            <v>6108.5370000000003</v>
          </cell>
          <cell r="E764">
            <v>8174.71</v>
          </cell>
          <cell r="F764">
            <v>6608.4120000000003</v>
          </cell>
        </row>
        <row r="765">
          <cell r="A765">
            <v>517</v>
          </cell>
          <cell r="B765">
            <v>3124</v>
          </cell>
          <cell r="C765">
            <v>7789</v>
          </cell>
          <cell r="D765">
            <v>6120.3752500000001</v>
          </cell>
          <cell r="E765">
            <v>8175.4575000000004</v>
          </cell>
          <cell r="F765">
            <v>6621.2190000000001</v>
          </cell>
        </row>
        <row r="766">
          <cell r="A766">
            <v>518</v>
          </cell>
          <cell r="B766">
            <v>3124</v>
          </cell>
          <cell r="C766">
            <v>7789</v>
          </cell>
          <cell r="D766">
            <v>6132.2134999999998</v>
          </cell>
          <cell r="E766">
            <v>8176.2049999999999</v>
          </cell>
          <cell r="F766">
            <v>6634.0259999999998</v>
          </cell>
        </row>
        <row r="767">
          <cell r="A767">
            <v>519</v>
          </cell>
          <cell r="B767">
            <v>3124</v>
          </cell>
          <cell r="C767">
            <v>7789</v>
          </cell>
          <cell r="D767">
            <v>6144.0517500000005</v>
          </cell>
          <cell r="E767">
            <v>8176.9525000000003</v>
          </cell>
          <cell r="F767">
            <v>6646.8330000000005</v>
          </cell>
        </row>
        <row r="768">
          <cell r="A768">
            <v>520</v>
          </cell>
          <cell r="B768">
            <v>3124</v>
          </cell>
          <cell r="C768">
            <v>7789</v>
          </cell>
          <cell r="D768">
            <v>6155.89</v>
          </cell>
          <cell r="E768">
            <v>8177.7</v>
          </cell>
          <cell r="F768">
            <v>6659.64</v>
          </cell>
        </row>
        <row r="769">
          <cell r="A769">
            <v>521</v>
          </cell>
          <cell r="B769">
            <v>3224</v>
          </cell>
          <cell r="C769">
            <v>8163</v>
          </cell>
          <cell r="D769">
            <v>6167.7282500000001</v>
          </cell>
          <cell r="E769">
            <v>8552.4475000000002</v>
          </cell>
          <cell r="F769">
            <v>6672.4470000000001</v>
          </cell>
        </row>
        <row r="770">
          <cell r="A770">
            <v>522</v>
          </cell>
          <cell r="B770">
            <v>3224</v>
          </cell>
          <cell r="C770">
            <v>8163</v>
          </cell>
          <cell r="D770">
            <v>6179.5664999999999</v>
          </cell>
          <cell r="E770">
            <v>8553.1949999999997</v>
          </cell>
          <cell r="F770">
            <v>6685.2539999999999</v>
          </cell>
        </row>
        <row r="771">
          <cell r="A771">
            <v>523</v>
          </cell>
          <cell r="B771">
            <v>3224</v>
          </cell>
          <cell r="C771">
            <v>8163</v>
          </cell>
          <cell r="D771">
            <v>6191.4047500000006</v>
          </cell>
          <cell r="E771">
            <v>8553.9424999999992</v>
          </cell>
          <cell r="F771">
            <v>6698.0610000000006</v>
          </cell>
        </row>
        <row r="772">
          <cell r="A772">
            <v>524</v>
          </cell>
          <cell r="B772">
            <v>3224</v>
          </cell>
          <cell r="C772">
            <v>8163</v>
          </cell>
          <cell r="D772">
            <v>6203.2430000000004</v>
          </cell>
          <cell r="E772">
            <v>8554.69</v>
          </cell>
          <cell r="F772">
            <v>6710.8680000000004</v>
          </cell>
        </row>
        <row r="773">
          <cell r="A773">
            <v>525</v>
          </cell>
          <cell r="B773">
            <v>3224</v>
          </cell>
          <cell r="C773">
            <v>8163</v>
          </cell>
          <cell r="D773">
            <v>6215.0812500000002</v>
          </cell>
          <cell r="E773">
            <v>8555.4375</v>
          </cell>
          <cell r="F773">
            <v>6723.6750000000002</v>
          </cell>
        </row>
        <row r="774">
          <cell r="A774">
            <v>526</v>
          </cell>
          <cell r="B774">
            <v>3224</v>
          </cell>
          <cell r="C774">
            <v>8163</v>
          </cell>
          <cell r="D774">
            <v>6226.9195</v>
          </cell>
          <cell r="E774">
            <v>8556.1849999999995</v>
          </cell>
          <cell r="F774">
            <v>6736.482</v>
          </cell>
        </row>
        <row r="775">
          <cell r="A775">
            <v>527</v>
          </cell>
          <cell r="B775">
            <v>3224</v>
          </cell>
          <cell r="C775">
            <v>8163</v>
          </cell>
          <cell r="D775">
            <v>6238.7577499999998</v>
          </cell>
          <cell r="E775">
            <v>8556.9325000000008</v>
          </cell>
          <cell r="F775">
            <v>6749.2889999999998</v>
          </cell>
        </row>
        <row r="776">
          <cell r="A776">
            <v>528</v>
          </cell>
          <cell r="B776">
            <v>3224</v>
          </cell>
          <cell r="C776">
            <v>8163</v>
          </cell>
          <cell r="D776">
            <v>6250.5960000000005</v>
          </cell>
          <cell r="E776">
            <v>8557.68</v>
          </cell>
          <cell r="F776">
            <v>6762.0960000000005</v>
          </cell>
        </row>
        <row r="777">
          <cell r="A777">
            <v>529</v>
          </cell>
          <cell r="B777">
            <v>3224</v>
          </cell>
          <cell r="C777">
            <v>8163</v>
          </cell>
          <cell r="D777">
            <v>6262.4342500000002</v>
          </cell>
          <cell r="E777">
            <v>8558.4274999999998</v>
          </cell>
          <cell r="F777">
            <v>6774.9030000000002</v>
          </cell>
        </row>
        <row r="778">
          <cell r="A778">
            <v>530</v>
          </cell>
          <cell r="B778">
            <v>3224</v>
          </cell>
          <cell r="C778">
            <v>8163</v>
          </cell>
          <cell r="D778">
            <v>6274.2725</v>
          </cell>
          <cell r="E778">
            <v>8559.1749999999993</v>
          </cell>
          <cell r="F778">
            <v>6787.71</v>
          </cell>
        </row>
        <row r="779">
          <cell r="A779">
            <v>531</v>
          </cell>
          <cell r="B779">
            <v>3224</v>
          </cell>
          <cell r="C779">
            <v>8163</v>
          </cell>
          <cell r="D779">
            <v>6286.1107499999998</v>
          </cell>
          <cell r="E779">
            <v>8559.9225000000006</v>
          </cell>
          <cell r="F779">
            <v>6800.5169999999998</v>
          </cell>
        </row>
        <row r="780">
          <cell r="A780">
            <v>532</v>
          </cell>
          <cell r="B780">
            <v>3224</v>
          </cell>
          <cell r="C780">
            <v>8163</v>
          </cell>
          <cell r="D780">
            <v>6297.9490000000005</v>
          </cell>
          <cell r="E780">
            <v>8560.67</v>
          </cell>
          <cell r="F780">
            <v>6813.3240000000005</v>
          </cell>
        </row>
        <row r="781">
          <cell r="A781">
            <v>533</v>
          </cell>
          <cell r="B781">
            <v>3224</v>
          </cell>
          <cell r="C781">
            <v>8163</v>
          </cell>
          <cell r="D781">
            <v>6309.7872500000003</v>
          </cell>
          <cell r="E781">
            <v>8561.4174999999996</v>
          </cell>
          <cell r="F781">
            <v>6826.1310000000003</v>
          </cell>
        </row>
        <row r="782">
          <cell r="A782">
            <v>534</v>
          </cell>
          <cell r="B782">
            <v>3224</v>
          </cell>
          <cell r="C782">
            <v>8163</v>
          </cell>
          <cell r="D782">
            <v>6321.6255000000001</v>
          </cell>
          <cell r="E782">
            <v>8562.1650000000009</v>
          </cell>
          <cell r="F782">
            <v>6838.9380000000001</v>
          </cell>
        </row>
        <row r="783">
          <cell r="A783">
            <v>535</v>
          </cell>
          <cell r="B783">
            <v>3224</v>
          </cell>
          <cell r="C783">
            <v>8163</v>
          </cell>
          <cell r="D783">
            <v>6333.4637499999999</v>
          </cell>
          <cell r="E783">
            <v>8562.9125000000004</v>
          </cell>
          <cell r="F783">
            <v>6851.7449999999999</v>
          </cell>
        </row>
        <row r="784">
          <cell r="A784">
            <v>536</v>
          </cell>
          <cell r="B784">
            <v>3224</v>
          </cell>
          <cell r="C784">
            <v>8163</v>
          </cell>
          <cell r="D784">
            <v>6345.3020000000006</v>
          </cell>
          <cell r="E784">
            <v>8563.66</v>
          </cell>
          <cell r="F784">
            <v>6864.5520000000006</v>
          </cell>
        </row>
        <row r="785">
          <cell r="A785">
            <v>537</v>
          </cell>
          <cell r="B785">
            <v>3224</v>
          </cell>
          <cell r="C785">
            <v>8163</v>
          </cell>
          <cell r="D785">
            <v>6357.1402500000004</v>
          </cell>
          <cell r="E785">
            <v>8564.4074999999993</v>
          </cell>
          <cell r="F785">
            <v>6877.3590000000004</v>
          </cell>
        </row>
        <row r="786">
          <cell r="A786">
            <v>538</v>
          </cell>
          <cell r="B786">
            <v>3224</v>
          </cell>
          <cell r="C786">
            <v>8163</v>
          </cell>
          <cell r="D786">
            <v>6368.9785000000002</v>
          </cell>
          <cell r="E786">
            <v>8565.1550000000007</v>
          </cell>
          <cell r="F786">
            <v>6890.1660000000002</v>
          </cell>
        </row>
        <row r="787">
          <cell r="A787">
            <v>539</v>
          </cell>
          <cell r="B787">
            <v>3224</v>
          </cell>
          <cell r="C787">
            <v>8163</v>
          </cell>
          <cell r="D787">
            <v>6380.81675</v>
          </cell>
          <cell r="E787">
            <v>8565.9025000000001</v>
          </cell>
          <cell r="F787">
            <v>6902.973</v>
          </cell>
        </row>
        <row r="788">
          <cell r="A788">
            <v>540</v>
          </cell>
          <cell r="B788">
            <v>3224</v>
          </cell>
          <cell r="C788">
            <v>8163</v>
          </cell>
          <cell r="D788">
            <v>6392.6550000000007</v>
          </cell>
          <cell r="E788">
            <v>8566.65</v>
          </cell>
          <cell r="F788">
            <v>6915.7800000000007</v>
          </cell>
        </row>
        <row r="789">
          <cell r="A789">
            <v>541</v>
          </cell>
          <cell r="B789">
            <v>3224</v>
          </cell>
          <cell r="C789">
            <v>8163</v>
          </cell>
          <cell r="D789">
            <v>6404.4932500000004</v>
          </cell>
          <cell r="E789">
            <v>8567.3974999999991</v>
          </cell>
          <cell r="F789">
            <v>6928.5870000000004</v>
          </cell>
        </row>
        <row r="790">
          <cell r="A790">
            <v>542</v>
          </cell>
          <cell r="B790">
            <v>3224</v>
          </cell>
          <cell r="C790">
            <v>8163</v>
          </cell>
          <cell r="D790">
            <v>6416.3315000000002</v>
          </cell>
          <cell r="E790">
            <v>8568.1450000000004</v>
          </cell>
          <cell r="F790">
            <v>6941.3940000000002</v>
          </cell>
        </row>
        <row r="791">
          <cell r="A791">
            <v>543</v>
          </cell>
          <cell r="B791">
            <v>3224</v>
          </cell>
          <cell r="C791">
            <v>8163</v>
          </cell>
          <cell r="D791">
            <v>6428.16975</v>
          </cell>
          <cell r="E791">
            <v>8568.8924999999999</v>
          </cell>
          <cell r="F791">
            <v>6954.201</v>
          </cell>
        </row>
        <row r="792">
          <cell r="A792">
            <v>544</v>
          </cell>
          <cell r="B792">
            <v>3224</v>
          </cell>
          <cell r="C792">
            <v>8163</v>
          </cell>
          <cell r="D792">
            <v>6440.0079999999998</v>
          </cell>
          <cell r="E792">
            <v>8569.64</v>
          </cell>
          <cell r="F792">
            <v>6967.0079999999998</v>
          </cell>
        </row>
        <row r="793">
          <cell r="A793">
            <v>545</v>
          </cell>
          <cell r="B793">
            <v>3224</v>
          </cell>
          <cell r="C793">
            <v>8163</v>
          </cell>
          <cell r="D793">
            <v>6451.8462500000005</v>
          </cell>
          <cell r="E793">
            <v>8570.3875000000007</v>
          </cell>
          <cell r="F793">
            <v>6979.8150000000005</v>
          </cell>
        </row>
        <row r="794">
          <cell r="A794">
            <v>546</v>
          </cell>
          <cell r="B794">
            <v>3224</v>
          </cell>
          <cell r="C794">
            <v>8163</v>
          </cell>
          <cell r="D794">
            <v>6463.6845000000003</v>
          </cell>
          <cell r="E794">
            <v>8571.1350000000002</v>
          </cell>
          <cell r="F794">
            <v>6992.6220000000003</v>
          </cell>
        </row>
        <row r="795">
          <cell r="A795">
            <v>547</v>
          </cell>
          <cell r="B795">
            <v>3224</v>
          </cell>
          <cell r="C795">
            <v>8163</v>
          </cell>
          <cell r="D795">
            <v>6475.5227500000001</v>
          </cell>
          <cell r="E795">
            <v>8571.8824999999997</v>
          </cell>
          <cell r="F795">
            <v>7005.4290000000001</v>
          </cell>
        </row>
        <row r="796">
          <cell r="A796">
            <v>548</v>
          </cell>
          <cell r="B796">
            <v>3224</v>
          </cell>
          <cell r="C796">
            <v>8163</v>
          </cell>
          <cell r="D796">
            <v>6487.3609999999999</v>
          </cell>
          <cell r="E796">
            <v>8572.6299999999992</v>
          </cell>
          <cell r="F796">
            <v>7018.2359999999999</v>
          </cell>
        </row>
        <row r="797">
          <cell r="A797">
            <v>549</v>
          </cell>
          <cell r="B797">
            <v>3224</v>
          </cell>
          <cell r="C797">
            <v>8163</v>
          </cell>
          <cell r="D797">
            <v>6499.1992500000006</v>
          </cell>
          <cell r="E797">
            <v>8573.3775000000005</v>
          </cell>
          <cell r="F797">
            <v>7031.0430000000006</v>
          </cell>
        </row>
        <row r="798">
          <cell r="A798">
            <v>550</v>
          </cell>
          <cell r="B798">
            <v>3224</v>
          </cell>
          <cell r="C798">
            <v>8163</v>
          </cell>
          <cell r="D798">
            <v>6511.0375000000004</v>
          </cell>
          <cell r="E798">
            <v>8574.125</v>
          </cell>
          <cell r="F798">
            <v>7043.85</v>
          </cell>
        </row>
        <row r="799">
          <cell r="A799">
            <v>551</v>
          </cell>
          <cell r="B799">
            <v>3224</v>
          </cell>
          <cell r="C799">
            <v>8163</v>
          </cell>
          <cell r="D799">
            <v>6522.8757500000002</v>
          </cell>
          <cell r="E799">
            <v>8574.8724999999995</v>
          </cell>
          <cell r="F799">
            <v>7056.6570000000002</v>
          </cell>
        </row>
        <row r="800">
          <cell r="A800">
            <v>552</v>
          </cell>
          <cell r="B800">
            <v>3224</v>
          </cell>
          <cell r="C800">
            <v>8163</v>
          </cell>
          <cell r="D800">
            <v>6534.7139999999999</v>
          </cell>
          <cell r="E800">
            <v>8575.6200000000008</v>
          </cell>
          <cell r="F800">
            <v>7069.4639999999999</v>
          </cell>
        </row>
        <row r="801">
          <cell r="A801">
            <v>553</v>
          </cell>
          <cell r="B801">
            <v>3224</v>
          </cell>
          <cell r="C801">
            <v>8163</v>
          </cell>
          <cell r="D801">
            <v>6546.5522500000006</v>
          </cell>
          <cell r="E801">
            <v>8576.3675000000003</v>
          </cell>
          <cell r="F801">
            <v>7082.2710000000006</v>
          </cell>
        </row>
        <row r="802">
          <cell r="A802">
            <v>554</v>
          </cell>
          <cell r="B802">
            <v>3224</v>
          </cell>
          <cell r="C802">
            <v>8163</v>
          </cell>
          <cell r="D802">
            <v>6558.3905000000004</v>
          </cell>
          <cell r="E802">
            <v>8577.1149999999998</v>
          </cell>
          <cell r="F802">
            <v>7095.0780000000004</v>
          </cell>
        </row>
        <row r="803">
          <cell r="A803">
            <v>555</v>
          </cell>
          <cell r="B803">
            <v>3224</v>
          </cell>
          <cell r="C803">
            <v>8163</v>
          </cell>
          <cell r="D803">
            <v>6570.2287500000002</v>
          </cell>
          <cell r="E803">
            <v>8577.8624999999993</v>
          </cell>
          <cell r="F803">
            <v>7107.8850000000002</v>
          </cell>
        </row>
        <row r="804">
          <cell r="A804">
            <v>556</v>
          </cell>
          <cell r="B804">
            <v>3224</v>
          </cell>
          <cell r="C804">
            <v>8163</v>
          </cell>
          <cell r="D804">
            <v>6582.067</v>
          </cell>
          <cell r="E804">
            <v>8578.61</v>
          </cell>
          <cell r="F804">
            <v>7120.692</v>
          </cell>
        </row>
        <row r="805">
          <cell r="A805">
            <v>557</v>
          </cell>
          <cell r="B805">
            <v>3224</v>
          </cell>
          <cell r="C805">
            <v>8163</v>
          </cell>
          <cell r="D805">
            <v>6593.9052499999998</v>
          </cell>
          <cell r="E805">
            <v>8579.3575000000001</v>
          </cell>
          <cell r="F805">
            <v>7133.4989999999998</v>
          </cell>
        </row>
        <row r="806">
          <cell r="A806">
            <v>558</v>
          </cell>
          <cell r="B806">
            <v>3224</v>
          </cell>
          <cell r="C806">
            <v>8163</v>
          </cell>
          <cell r="D806">
            <v>6605.7435000000005</v>
          </cell>
          <cell r="E806">
            <v>8580.1049999999996</v>
          </cell>
          <cell r="F806">
            <v>7146.3060000000005</v>
          </cell>
        </row>
        <row r="807">
          <cell r="A807">
            <v>559</v>
          </cell>
          <cell r="B807">
            <v>3224</v>
          </cell>
          <cell r="C807">
            <v>8163</v>
          </cell>
          <cell r="D807">
            <v>6617.5817500000003</v>
          </cell>
          <cell r="E807">
            <v>8580.8525000000009</v>
          </cell>
          <cell r="F807">
            <v>7159.1130000000003</v>
          </cell>
        </row>
        <row r="808">
          <cell r="A808">
            <v>560</v>
          </cell>
          <cell r="B808">
            <v>3224</v>
          </cell>
          <cell r="C808">
            <v>8163</v>
          </cell>
          <cell r="D808">
            <v>6629.42</v>
          </cell>
          <cell r="E808">
            <v>8581.6</v>
          </cell>
          <cell r="F808">
            <v>7171.92</v>
          </cell>
        </row>
        <row r="809">
          <cell r="A809">
            <v>561</v>
          </cell>
          <cell r="B809">
            <v>3324</v>
          </cell>
          <cell r="C809">
            <v>8599</v>
          </cell>
          <cell r="D809">
            <v>6641.2582499999999</v>
          </cell>
          <cell r="E809">
            <v>9018.3474999999999</v>
          </cell>
          <cell r="F809">
            <v>7184.7269999999999</v>
          </cell>
        </row>
        <row r="810">
          <cell r="A810">
            <v>562</v>
          </cell>
          <cell r="B810">
            <v>3324</v>
          </cell>
          <cell r="C810">
            <v>8599</v>
          </cell>
          <cell r="D810">
            <v>6653.0965000000006</v>
          </cell>
          <cell r="E810">
            <v>9019.0949999999993</v>
          </cell>
          <cell r="F810">
            <v>7197.5340000000006</v>
          </cell>
        </row>
        <row r="811">
          <cell r="A811">
            <v>563</v>
          </cell>
          <cell r="B811">
            <v>3324</v>
          </cell>
          <cell r="C811">
            <v>8599</v>
          </cell>
          <cell r="D811">
            <v>6664.9347500000003</v>
          </cell>
          <cell r="E811">
            <v>9019.8425000000007</v>
          </cell>
          <cell r="F811">
            <v>7210.3410000000003</v>
          </cell>
        </row>
        <row r="812">
          <cell r="A812">
            <v>564</v>
          </cell>
          <cell r="B812">
            <v>3324</v>
          </cell>
          <cell r="C812">
            <v>8599</v>
          </cell>
          <cell r="D812">
            <v>6676.7730000000001</v>
          </cell>
          <cell r="E812">
            <v>9020.59</v>
          </cell>
          <cell r="F812">
            <v>7223.1480000000001</v>
          </cell>
        </row>
        <row r="813">
          <cell r="A813">
            <v>565</v>
          </cell>
          <cell r="B813">
            <v>3324</v>
          </cell>
          <cell r="C813">
            <v>8599</v>
          </cell>
          <cell r="D813">
            <v>6688.6112499999999</v>
          </cell>
          <cell r="E813">
            <v>9021.3374999999996</v>
          </cell>
          <cell r="F813">
            <v>7235.9549999999999</v>
          </cell>
        </row>
        <row r="814">
          <cell r="A814">
            <v>566</v>
          </cell>
          <cell r="B814">
            <v>3324</v>
          </cell>
          <cell r="C814">
            <v>8599</v>
          </cell>
          <cell r="D814">
            <v>6700.4495000000006</v>
          </cell>
          <cell r="E814">
            <v>9022.0849999999991</v>
          </cell>
          <cell r="F814">
            <v>7248.7620000000006</v>
          </cell>
        </row>
        <row r="815">
          <cell r="A815">
            <v>567</v>
          </cell>
          <cell r="B815">
            <v>3324</v>
          </cell>
          <cell r="C815">
            <v>8599</v>
          </cell>
          <cell r="D815">
            <v>6712.2877500000004</v>
          </cell>
          <cell r="E815">
            <v>9022.8325000000004</v>
          </cell>
          <cell r="F815">
            <v>7261.5690000000004</v>
          </cell>
        </row>
        <row r="816">
          <cell r="A816">
            <v>568</v>
          </cell>
          <cell r="B816">
            <v>3324</v>
          </cell>
          <cell r="C816">
            <v>8599</v>
          </cell>
          <cell r="D816">
            <v>6724.1260000000002</v>
          </cell>
          <cell r="E816">
            <v>9023.58</v>
          </cell>
          <cell r="F816">
            <v>7274.3760000000002</v>
          </cell>
        </row>
        <row r="817">
          <cell r="A817">
            <v>569</v>
          </cell>
          <cell r="B817">
            <v>3324</v>
          </cell>
          <cell r="C817">
            <v>8599</v>
          </cell>
          <cell r="D817">
            <v>6735.96425</v>
          </cell>
          <cell r="E817">
            <v>9024.3274999999994</v>
          </cell>
          <cell r="F817">
            <v>7287.183</v>
          </cell>
        </row>
        <row r="818">
          <cell r="A818">
            <v>570</v>
          </cell>
          <cell r="B818">
            <v>3324</v>
          </cell>
          <cell r="C818">
            <v>8599</v>
          </cell>
          <cell r="D818">
            <v>6747.8024999999998</v>
          </cell>
          <cell r="E818">
            <v>9025.0750000000007</v>
          </cell>
          <cell r="F818">
            <v>7299.99</v>
          </cell>
        </row>
        <row r="819">
          <cell r="A819">
            <v>571</v>
          </cell>
          <cell r="B819">
            <v>3324</v>
          </cell>
          <cell r="C819">
            <v>8599</v>
          </cell>
          <cell r="D819">
            <v>6759.6407500000005</v>
          </cell>
          <cell r="E819">
            <v>9025.8225000000002</v>
          </cell>
          <cell r="F819">
            <v>7312.7970000000005</v>
          </cell>
        </row>
        <row r="820">
          <cell r="A820">
            <v>572</v>
          </cell>
          <cell r="B820">
            <v>3324</v>
          </cell>
          <cell r="C820">
            <v>8599</v>
          </cell>
          <cell r="D820">
            <v>6771.4790000000003</v>
          </cell>
          <cell r="E820">
            <v>9026.57</v>
          </cell>
          <cell r="F820">
            <v>7325.6040000000003</v>
          </cell>
        </row>
        <row r="821">
          <cell r="A821">
            <v>573</v>
          </cell>
          <cell r="B821">
            <v>3324</v>
          </cell>
          <cell r="C821">
            <v>8599</v>
          </cell>
          <cell r="D821">
            <v>6783.3172500000001</v>
          </cell>
          <cell r="E821">
            <v>9027.3174999999992</v>
          </cell>
          <cell r="F821">
            <v>7338.4110000000001</v>
          </cell>
        </row>
        <row r="822">
          <cell r="A822">
            <v>574</v>
          </cell>
          <cell r="B822">
            <v>3324</v>
          </cell>
          <cell r="C822">
            <v>8599</v>
          </cell>
          <cell r="D822">
            <v>6795.1554999999998</v>
          </cell>
          <cell r="E822">
            <v>9028.0650000000005</v>
          </cell>
          <cell r="F822">
            <v>7351.2179999999998</v>
          </cell>
        </row>
        <row r="823">
          <cell r="A823">
            <v>575</v>
          </cell>
          <cell r="B823">
            <v>3324</v>
          </cell>
          <cell r="C823">
            <v>8599</v>
          </cell>
          <cell r="D823">
            <v>6806.9937500000005</v>
          </cell>
          <cell r="E823">
            <v>9028.8125</v>
          </cell>
          <cell r="F823">
            <v>7364.0250000000005</v>
          </cell>
        </row>
        <row r="824">
          <cell r="A824">
            <v>576</v>
          </cell>
          <cell r="B824">
            <v>3324</v>
          </cell>
          <cell r="C824">
            <v>8599</v>
          </cell>
          <cell r="D824">
            <v>6818.8320000000003</v>
          </cell>
          <cell r="E824">
            <v>9029.56</v>
          </cell>
          <cell r="F824">
            <v>7376.8320000000003</v>
          </cell>
        </row>
        <row r="825">
          <cell r="A825">
            <v>577</v>
          </cell>
          <cell r="B825">
            <v>3324</v>
          </cell>
          <cell r="C825">
            <v>8599</v>
          </cell>
          <cell r="D825">
            <v>6830.6702500000001</v>
          </cell>
          <cell r="E825">
            <v>9030.3075000000008</v>
          </cell>
          <cell r="F825">
            <v>7389.6390000000001</v>
          </cell>
        </row>
        <row r="826">
          <cell r="A826">
            <v>578</v>
          </cell>
          <cell r="B826">
            <v>3324</v>
          </cell>
          <cell r="C826">
            <v>8599</v>
          </cell>
          <cell r="D826">
            <v>6842.5084999999999</v>
          </cell>
          <cell r="E826">
            <v>9031.0550000000003</v>
          </cell>
          <cell r="F826">
            <v>7402.4459999999999</v>
          </cell>
        </row>
        <row r="827">
          <cell r="A827">
            <v>579</v>
          </cell>
          <cell r="B827">
            <v>3324</v>
          </cell>
          <cell r="C827">
            <v>8599</v>
          </cell>
          <cell r="D827">
            <v>6854.3467500000006</v>
          </cell>
          <cell r="E827">
            <v>9031.8024999999998</v>
          </cell>
          <cell r="F827">
            <v>7415.2530000000006</v>
          </cell>
        </row>
        <row r="828">
          <cell r="A828">
            <v>580</v>
          </cell>
          <cell r="B828">
            <v>3324</v>
          </cell>
          <cell r="C828">
            <v>8599</v>
          </cell>
          <cell r="D828">
            <v>6866.1850000000004</v>
          </cell>
          <cell r="E828">
            <v>9032.5499999999993</v>
          </cell>
          <cell r="F828">
            <v>7428.06</v>
          </cell>
        </row>
        <row r="829">
          <cell r="A829">
            <v>581</v>
          </cell>
          <cell r="B829">
            <v>3324</v>
          </cell>
          <cell r="C829">
            <v>8599</v>
          </cell>
          <cell r="D829">
            <v>6878.0232500000002</v>
          </cell>
          <cell r="E829">
            <v>9033.2975000000006</v>
          </cell>
          <cell r="F829">
            <v>7440.8670000000002</v>
          </cell>
        </row>
        <row r="830">
          <cell r="A830">
            <v>582</v>
          </cell>
          <cell r="B830">
            <v>3324</v>
          </cell>
          <cell r="C830">
            <v>8599</v>
          </cell>
          <cell r="D830">
            <v>6889.8615</v>
          </cell>
          <cell r="E830">
            <v>9034.0450000000001</v>
          </cell>
          <cell r="F830">
            <v>7453.674</v>
          </cell>
        </row>
        <row r="831">
          <cell r="A831">
            <v>583</v>
          </cell>
          <cell r="B831">
            <v>3324</v>
          </cell>
          <cell r="C831">
            <v>8599</v>
          </cell>
          <cell r="D831">
            <v>6901.6997500000007</v>
          </cell>
          <cell r="E831">
            <v>9034.7924999999996</v>
          </cell>
          <cell r="F831">
            <v>7466.4810000000007</v>
          </cell>
        </row>
        <row r="832">
          <cell r="A832">
            <v>584</v>
          </cell>
          <cell r="B832">
            <v>3324</v>
          </cell>
          <cell r="C832">
            <v>8599</v>
          </cell>
          <cell r="D832">
            <v>6913.5380000000005</v>
          </cell>
          <cell r="E832">
            <v>9035.5400000000009</v>
          </cell>
          <cell r="F832">
            <v>7479.2880000000005</v>
          </cell>
        </row>
        <row r="833">
          <cell r="A833">
            <v>585</v>
          </cell>
          <cell r="B833">
            <v>3324</v>
          </cell>
          <cell r="C833">
            <v>8599</v>
          </cell>
          <cell r="D833">
            <v>6925.3762500000003</v>
          </cell>
          <cell r="E833">
            <v>9036.2875000000004</v>
          </cell>
          <cell r="F833">
            <v>7492.0950000000003</v>
          </cell>
        </row>
        <row r="834">
          <cell r="A834">
            <v>586</v>
          </cell>
          <cell r="B834">
            <v>3324</v>
          </cell>
          <cell r="C834">
            <v>8599</v>
          </cell>
          <cell r="D834">
            <v>6937.2145</v>
          </cell>
          <cell r="E834">
            <v>9037.0349999999999</v>
          </cell>
          <cell r="F834">
            <v>7504.902</v>
          </cell>
        </row>
        <row r="835">
          <cell r="A835">
            <v>587</v>
          </cell>
          <cell r="B835">
            <v>3324</v>
          </cell>
          <cell r="C835">
            <v>8599</v>
          </cell>
          <cell r="D835">
            <v>6949.0527499999998</v>
          </cell>
          <cell r="E835">
            <v>9037.7824999999993</v>
          </cell>
          <cell r="F835">
            <v>7517.7089999999998</v>
          </cell>
        </row>
        <row r="836">
          <cell r="A836">
            <v>588</v>
          </cell>
          <cell r="B836">
            <v>3324</v>
          </cell>
          <cell r="C836">
            <v>8599</v>
          </cell>
          <cell r="D836">
            <v>6960.8910000000005</v>
          </cell>
          <cell r="E836">
            <v>9038.5300000000007</v>
          </cell>
          <cell r="F836">
            <v>7530.5160000000005</v>
          </cell>
        </row>
        <row r="837">
          <cell r="A837">
            <v>589</v>
          </cell>
          <cell r="B837">
            <v>3324</v>
          </cell>
          <cell r="C837">
            <v>8599</v>
          </cell>
          <cell r="D837">
            <v>6972.7292500000003</v>
          </cell>
          <cell r="E837">
            <v>9039.2775000000001</v>
          </cell>
          <cell r="F837">
            <v>7543.3230000000003</v>
          </cell>
        </row>
        <row r="838">
          <cell r="A838">
            <v>590</v>
          </cell>
          <cell r="B838">
            <v>3324</v>
          </cell>
          <cell r="C838">
            <v>8599</v>
          </cell>
          <cell r="D838">
            <v>6984.5675000000001</v>
          </cell>
          <cell r="E838">
            <v>9040.0249999999996</v>
          </cell>
          <cell r="F838">
            <v>7556.13</v>
          </cell>
        </row>
        <row r="839">
          <cell r="A839">
            <v>591</v>
          </cell>
          <cell r="B839">
            <v>3324</v>
          </cell>
          <cell r="C839">
            <v>8599</v>
          </cell>
          <cell r="D839">
            <v>6996.4057499999999</v>
          </cell>
          <cell r="E839">
            <v>9040.7724999999991</v>
          </cell>
          <cell r="F839">
            <v>7568.9369999999999</v>
          </cell>
        </row>
        <row r="840">
          <cell r="A840">
            <v>592</v>
          </cell>
          <cell r="B840">
            <v>3324</v>
          </cell>
          <cell r="C840">
            <v>8599</v>
          </cell>
          <cell r="D840">
            <v>7008.2440000000006</v>
          </cell>
          <cell r="E840">
            <v>9041.52</v>
          </cell>
          <cell r="F840">
            <v>7581.7440000000006</v>
          </cell>
        </row>
        <row r="841">
          <cell r="A841">
            <v>593</v>
          </cell>
          <cell r="B841">
            <v>3324</v>
          </cell>
          <cell r="C841">
            <v>8599</v>
          </cell>
          <cell r="D841">
            <v>7020.0822500000004</v>
          </cell>
          <cell r="E841">
            <v>9042.2674999999999</v>
          </cell>
          <cell r="F841">
            <v>7594.5510000000004</v>
          </cell>
        </row>
        <row r="842">
          <cell r="A842">
            <v>594</v>
          </cell>
          <cell r="B842">
            <v>3324</v>
          </cell>
          <cell r="C842">
            <v>8599</v>
          </cell>
          <cell r="D842">
            <v>7031.9205000000002</v>
          </cell>
          <cell r="E842">
            <v>9043.0149999999994</v>
          </cell>
          <cell r="F842">
            <v>7607.3580000000002</v>
          </cell>
        </row>
        <row r="843">
          <cell r="A843">
            <v>595</v>
          </cell>
          <cell r="B843">
            <v>3324</v>
          </cell>
          <cell r="C843">
            <v>8599</v>
          </cell>
          <cell r="D843">
            <v>7043.75875</v>
          </cell>
          <cell r="E843">
            <v>9043.7625000000007</v>
          </cell>
          <cell r="F843">
            <v>7620.165</v>
          </cell>
        </row>
        <row r="844">
          <cell r="A844">
            <v>596</v>
          </cell>
          <cell r="B844">
            <v>3324</v>
          </cell>
          <cell r="C844">
            <v>8599</v>
          </cell>
          <cell r="D844">
            <v>7055.5970000000007</v>
          </cell>
          <cell r="E844">
            <v>9044.51</v>
          </cell>
          <cell r="F844">
            <v>7632.9720000000007</v>
          </cell>
        </row>
        <row r="845">
          <cell r="A845">
            <v>597</v>
          </cell>
          <cell r="B845">
            <v>3324</v>
          </cell>
          <cell r="C845">
            <v>8599</v>
          </cell>
          <cell r="D845">
            <v>7067.4352500000005</v>
          </cell>
          <cell r="E845">
            <v>9045.2574999999997</v>
          </cell>
          <cell r="F845">
            <v>7645.7790000000005</v>
          </cell>
        </row>
        <row r="846">
          <cell r="A846">
            <v>598</v>
          </cell>
          <cell r="B846">
            <v>3324</v>
          </cell>
          <cell r="C846">
            <v>8599</v>
          </cell>
          <cell r="D846">
            <v>7079.2735000000002</v>
          </cell>
          <cell r="E846">
            <v>9046.0049999999992</v>
          </cell>
          <cell r="F846">
            <v>7658.5860000000002</v>
          </cell>
        </row>
        <row r="847">
          <cell r="A847">
            <v>599</v>
          </cell>
          <cell r="B847">
            <v>3324</v>
          </cell>
          <cell r="C847">
            <v>8599</v>
          </cell>
          <cell r="D847">
            <v>7091.11175</v>
          </cell>
          <cell r="E847">
            <v>9046.7525000000005</v>
          </cell>
          <cell r="F847">
            <v>7671.393</v>
          </cell>
        </row>
        <row r="848">
          <cell r="A848">
            <v>600</v>
          </cell>
          <cell r="B848">
            <v>3324</v>
          </cell>
          <cell r="C848">
            <v>8599</v>
          </cell>
          <cell r="D848">
            <v>7102.95</v>
          </cell>
          <cell r="E848">
            <v>9047.5</v>
          </cell>
          <cell r="F848">
            <v>7684.2</v>
          </cell>
        </row>
        <row r="849">
          <cell r="A849">
            <v>601</v>
          </cell>
          <cell r="B849">
            <v>3399</v>
          </cell>
          <cell r="C849">
            <v>9064</v>
          </cell>
          <cell r="D849">
            <v>7114.7882500000005</v>
          </cell>
          <cell r="E849">
            <v>9513.2474999999995</v>
          </cell>
          <cell r="F849">
            <v>7697.0070000000005</v>
          </cell>
        </row>
        <row r="850">
          <cell r="A850">
            <v>602</v>
          </cell>
          <cell r="B850">
            <v>3399</v>
          </cell>
          <cell r="C850">
            <v>9064</v>
          </cell>
          <cell r="D850">
            <v>7126.6265000000003</v>
          </cell>
          <cell r="E850">
            <v>9513.9950000000008</v>
          </cell>
          <cell r="F850">
            <v>7709.8140000000003</v>
          </cell>
        </row>
        <row r="851">
          <cell r="A851">
            <v>603</v>
          </cell>
          <cell r="B851">
            <v>3399</v>
          </cell>
          <cell r="C851">
            <v>9064</v>
          </cell>
          <cell r="D851">
            <v>7138.4647500000001</v>
          </cell>
          <cell r="E851">
            <v>9514.7425000000003</v>
          </cell>
          <cell r="F851">
            <v>7722.6210000000001</v>
          </cell>
        </row>
        <row r="852">
          <cell r="A852">
            <v>604</v>
          </cell>
          <cell r="B852">
            <v>3399</v>
          </cell>
          <cell r="C852">
            <v>9064</v>
          </cell>
          <cell r="D852">
            <v>7150.3029999999999</v>
          </cell>
          <cell r="E852">
            <v>9515.49</v>
          </cell>
          <cell r="F852">
            <v>7735.4279999999999</v>
          </cell>
        </row>
        <row r="853">
          <cell r="A853">
            <v>605</v>
          </cell>
          <cell r="B853">
            <v>3399</v>
          </cell>
          <cell r="C853">
            <v>9064</v>
          </cell>
          <cell r="D853">
            <v>7162.1412500000006</v>
          </cell>
          <cell r="E853">
            <v>9516.2374999999993</v>
          </cell>
          <cell r="F853">
            <v>7748.2350000000006</v>
          </cell>
        </row>
        <row r="854">
          <cell r="A854">
            <v>606</v>
          </cell>
          <cell r="B854">
            <v>3399</v>
          </cell>
          <cell r="C854">
            <v>9064</v>
          </cell>
          <cell r="D854">
            <v>7173.9795000000004</v>
          </cell>
          <cell r="E854">
            <v>9516.9850000000006</v>
          </cell>
          <cell r="F854">
            <v>7761.0420000000004</v>
          </cell>
        </row>
        <row r="855">
          <cell r="A855">
            <v>607</v>
          </cell>
          <cell r="B855">
            <v>3399</v>
          </cell>
          <cell r="C855">
            <v>9064</v>
          </cell>
          <cell r="D855">
            <v>7185.8177500000002</v>
          </cell>
          <cell r="E855">
            <v>9517.7325000000001</v>
          </cell>
          <cell r="F855">
            <v>7773.8490000000002</v>
          </cell>
        </row>
        <row r="856">
          <cell r="A856">
            <v>608</v>
          </cell>
          <cell r="B856">
            <v>3399</v>
          </cell>
          <cell r="C856">
            <v>9064</v>
          </cell>
          <cell r="D856">
            <v>7197.6559999999999</v>
          </cell>
          <cell r="E856">
            <v>9518.48</v>
          </cell>
          <cell r="F856">
            <v>7786.6559999999999</v>
          </cell>
        </row>
        <row r="857">
          <cell r="A857">
            <v>609</v>
          </cell>
          <cell r="B857">
            <v>3399</v>
          </cell>
          <cell r="C857">
            <v>9064</v>
          </cell>
          <cell r="D857">
            <v>7209.4942500000006</v>
          </cell>
          <cell r="E857">
            <v>9519.2275000000009</v>
          </cell>
          <cell r="F857">
            <v>7799.4630000000006</v>
          </cell>
        </row>
        <row r="858">
          <cell r="A858">
            <v>610</v>
          </cell>
          <cell r="B858">
            <v>3399</v>
          </cell>
          <cell r="C858">
            <v>9064</v>
          </cell>
          <cell r="D858">
            <v>7221.3325000000004</v>
          </cell>
          <cell r="E858">
            <v>9519.9750000000004</v>
          </cell>
          <cell r="F858">
            <v>7812.27</v>
          </cell>
        </row>
        <row r="859">
          <cell r="A859">
            <v>611</v>
          </cell>
          <cell r="B859">
            <v>3399</v>
          </cell>
          <cell r="C859">
            <v>9064</v>
          </cell>
          <cell r="D859">
            <v>7233.1707500000002</v>
          </cell>
          <cell r="E859">
            <v>9520.7224999999999</v>
          </cell>
          <cell r="F859">
            <v>7825.0770000000002</v>
          </cell>
        </row>
        <row r="860">
          <cell r="A860">
            <v>612</v>
          </cell>
          <cell r="B860">
            <v>3399</v>
          </cell>
          <cell r="C860">
            <v>9064</v>
          </cell>
          <cell r="D860">
            <v>7245.009</v>
          </cell>
          <cell r="E860">
            <v>9521.4699999999993</v>
          </cell>
          <cell r="F860">
            <v>7837.884</v>
          </cell>
        </row>
        <row r="861">
          <cell r="A861">
            <v>613</v>
          </cell>
          <cell r="B861">
            <v>3399</v>
          </cell>
          <cell r="C861">
            <v>9064</v>
          </cell>
          <cell r="D861">
            <v>7256.8472499999998</v>
          </cell>
          <cell r="E861">
            <v>9522.2175000000007</v>
          </cell>
          <cell r="F861">
            <v>7850.6909999999998</v>
          </cell>
        </row>
        <row r="862">
          <cell r="A862">
            <v>614</v>
          </cell>
          <cell r="B862">
            <v>3399</v>
          </cell>
          <cell r="C862">
            <v>9064</v>
          </cell>
          <cell r="D862">
            <v>7268.6855000000005</v>
          </cell>
          <cell r="E862">
            <v>9522.9650000000001</v>
          </cell>
          <cell r="F862">
            <v>7863.4980000000005</v>
          </cell>
        </row>
        <row r="863">
          <cell r="A863">
            <v>615</v>
          </cell>
          <cell r="B863">
            <v>3399</v>
          </cell>
          <cell r="C863">
            <v>9064</v>
          </cell>
          <cell r="D863">
            <v>7280.5237500000003</v>
          </cell>
          <cell r="E863">
            <v>9523.7124999999996</v>
          </cell>
          <cell r="F863">
            <v>7876.3050000000003</v>
          </cell>
        </row>
        <row r="864">
          <cell r="A864">
            <v>616</v>
          </cell>
          <cell r="B864">
            <v>3399</v>
          </cell>
          <cell r="C864">
            <v>9064</v>
          </cell>
          <cell r="D864">
            <v>7292.3620000000001</v>
          </cell>
          <cell r="E864">
            <v>9524.4599999999991</v>
          </cell>
          <cell r="F864">
            <v>7889.1120000000001</v>
          </cell>
        </row>
        <row r="865">
          <cell r="A865">
            <v>617</v>
          </cell>
          <cell r="B865">
            <v>3399</v>
          </cell>
          <cell r="C865">
            <v>9064</v>
          </cell>
          <cell r="D865">
            <v>7304.2002499999999</v>
          </cell>
          <cell r="E865">
            <v>9525.2075000000004</v>
          </cell>
          <cell r="F865">
            <v>7901.9189999999999</v>
          </cell>
        </row>
        <row r="866">
          <cell r="A866">
            <v>618</v>
          </cell>
          <cell r="B866">
            <v>3399</v>
          </cell>
          <cell r="C866">
            <v>9064</v>
          </cell>
          <cell r="D866">
            <v>7316.0385000000006</v>
          </cell>
          <cell r="E866">
            <v>9525.9549999999999</v>
          </cell>
          <cell r="F866">
            <v>7914.7260000000006</v>
          </cell>
        </row>
        <row r="867">
          <cell r="A867">
            <v>619</v>
          </cell>
          <cell r="B867">
            <v>3399</v>
          </cell>
          <cell r="C867">
            <v>9064</v>
          </cell>
          <cell r="D867">
            <v>7327.8767500000004</v>
          </cell>
          <cell r="E867">
            <v>9526.7024999999994</v>
          </cell>
          <cell r="F867">
            <v>7927.5330000000004</v>
          </cell>
        </row>
        <row r="868">
          <cell r="A868">
            <v>620</v>
          </cell>
          <cell r="B868">
            <v>3399</v>
          </cell>
          <cell r="C868">
            <v>9064</v>
          </cell>
          <cell r="D868">
            <v>7339.7150000000001</v>
          </cell>
          <cell r="E868">
            <v>9527.4500000000007</v>
          </cell>
          <cell r="F868">
            <v>7940.34</v>
          </cell>
        </row>
        <row r="869">
          <cell r="A869">
            <v>621</v>
          </cell>
          <cell r="B869">
            <v>3399</v>
          </cell>
          <cell r="C869">
            <v>9064</v>
          </cell>
          <cell r="D869">
            <v>7351.5532499999999</v>
          </cell>
          <cell r="E869">
            <v>9528.1975000000002</v>
          </cell>
          <cell r="F869">
            <v>7953.1469999999999</v>
          </cell>
        </row>
        <row r="870">
          <cell r="A870">
            <v>622</v>
          </cell>
          <cell r="B870">
            <v>3399</v>
          </cell>
          <cell r="C870">
            <v>9064</v>
          </cell>
          <cell r="D870">
            <v>7363.3915000000006</v>
          </cell>
          <cell r="E870">
            <v>9528.9449999999997</v>
          </cell>
          <cell r="F870">
            <v>7965.9540000000006</v>
          </cell>
        </row>
        <row r="871">
          <cell r="A871">
            <v>623</v>
          </cell>
          <cell r="B871">
            <v>3399</v>
          </cell>
          <cell r="C871">
            <v>9064</v>
          </cell>
          <cell r="D871">
            <v>7375.2297500000004</v>
          </cell>
          <cell r="E871">
            <v>9529.6924999999992</v>
          </cell>
          <cell r="F871">
            <v>7978.7610000000004</v>
          </cell>
        </row>
        <row r="872">
          <cell r="A872">
            <v>624</v>
          </cell>
          <cell r="B872">
            <v>3399</v>
          </cell>
          <cell r="C872">
            <v>9064</v>
          </cell>
          <cell r="D872">
            <v>7387.0680000000002</v>
          </cell>
          <cell r="E872">
            <v>9530.44</v>
          </cell>
          <cell r="F872">
            <v>7991.5680000000002</v>
          </cell>
        </row>
        <row r="873">
          <cell r="A873">
            <v>625</v>
          </cell>
          <cell r="B873">
            <v>3399</v>
          </cell>
          <cell r="C873">
            <v>9064</v>
          </cell>
          <cell r="D873">
            <v>7398.90625</v>
          </cell>
          <cell r="E873">
            <v>9531.1875</v>
          </cell>
          <cell r="F873">
            <v>8004.375</v>
          </cell>
        </row>
        <row r="874">
          <cell r="A874">
            <v>626</v>
          </cell>
          <cell r="B874">
            <v>3399</v>
          </cell>
          <cell r="C874">
            <v>9064</v>
          </cell>
          <cell r="D874">
            <v>7410.7444999999998</v>
          </cell>
          <cell r="E874">
            <v>9531.9349999999995</v>
          </cell>
          <cell r="F874">
            <v>8017.1819999999998</v>
          </cell>
        </row>
        <row r="875">
          <cell r="A875">
            <v>627</v>
          </cell>
          <cell r="B875">
            <v>3399</v>
          </cell>
          <cell r="C875">
            <v>9064</v>
          </cell>
          <cell r="D875">
            <v>7422.5827500000005</v>
          </cell>
          <cell r="E875">
            <v>9532.6825000000008</v>
          </cell>
          <cell r="F875">
            <v>8029.9890000000005</v>
          </cell>
        </row>
        <row r="876">
          <cell r="A876">
            <v>628</v>
          </cell>
          <cell r="B876">
            <v>3399</v>
          </cell>
          <cell r="C876">
            <v>9064</v>
          </cell>
          <cell r="D876">
            <v>7434.4210000000003</v>
          </cell>
          <cell r="E876">
            <v>9533.43</v>
          </cell>
          <cell r="F876">
            <v>8042.7960000000003</v>
          </cell>
        </row>
        <row r="877">
          <cell r="A877">
            <v>629</v>
          </cell>
          <cell r="B877">
            <v>3399</v>
          </cell>
          <cell r="C877">
            <v>9064</v>
          </cell>
          <cell r="D877">
            <v>7446.2592500000001</v>
          </cell>
          <cell r="E877">
            <v>9534.1774999999998</v>
          </cell>
          <cell r="F877">
            <v>8055.6030000000001</v>
          </cell>
        </row>
        <row r="878">
          <cell r="A878">
            <v>630</v>
          </cell>
          <cell r="B878">
            <v>3399</v>
          </cell>
          <cell r="C878">
            <v>9064</v>
          </cell>
          <cell r="D878">
            <v>7458.0974999999999</v>
          </cell>
          <cell r="E878">
            <v>9534.9249999999993</v>
          </cell>
          <cell r="F878">
            <v>8068.41</v>
          </cell>
        </row>
        <row r="879">
          <cell r="A879">
            <v>631</v>
          </cell>
          <cell r="B879">
            <v>3399</v>
          </cell>
          <cell r="C879">
            <v>9064</v>
          </cell>
          <cell r="D879">
            <v>7469.9357500000006</v>
          </cell>
          <cell r="E879">
            <v>9535.6725000000006</v>
          </cell>
          <cell r="F879">
            <v>8081.2170000000006</v>
          </cell>
        </row>
        <row r="880">
          <cell r="A880">
            <v>632</v>
          </cell>
          <cell r="B880">
            <v>3399</v>
          </cell>
          <cell r="C880">
            <v>9064</v>
          </cell>
          <cell r="D880">
            <v>7481.7740000000003</v>
          </cell>
          <cell r="E880">
            <v>9536.42</v>
          </cell>
          <cell r="F880">
            <v>8094.0240000000003</v>
          </cell>
        </row>
        <row r="881">
          <cell r="A881">
            <v>633</v>
          </cell>
          <cell r="B881">
            <v>3399</v>
          </cell>
          <cell r="C881">
            <v>9064</v>
          </cell>
          <cell r="D881">
            <v>7493.6122500000001</v>
          </cell>
          <cell r="E881">
            <v>9537.1674999999996</v>
          </cell>
          <cell r="F881">
            <v>8106.8310000000001</v>
          </cell>
        </row>
        <row r="882">
          <cell r="A882">
            <v>634</v>
          </cell>
          <cell r="B882">
            <v>3399</v>
          </cell>
          <cell r="C882">
            <v>9064</v>
          </cell>
          <cell r="D882">
            <v>7505.4504999999999</v>
          </cell>
          <cell r="E882">
            <v>9537.9150000000009</v>
          </cell>
          <cell r="F882">
            <v>8119.6379999999999</v>
          </cell>
        </row>
        <row r="883">
          <cell r="A883">
            <v>635</v>
          </cell>
          <cell r="B883">
            <v>3399</v>
          </cell>
          <cell r="C883">
            <v>9064</v>
          </cell>
          <cell r="D883">
            <v>7517.2887500000006</v>
          </cell>
          <cell r="E883">
            <v>9538.6625000000004</v>
          </cell>
          <cell r="F883">
            <v>8132.4450000000006</v>
          </cell>
        </row>
        <row r="884">
          <cell r="A884">
            <v>636</v>
          </cell>
          <cell r="B884">
            <v>3399</v>
          </cell>
          <cell r="C884">
            <v>9064</v>
          </cell>
          <cell r="D884">
            <v>7529.1270000000004</v>
          </cell>
          <cell r="E884">
            <v>9539.41</v>
          </cell>
          <cell r="F884">
            <v>8145.2520000000004</v>
          </cell>
        </row>
        <row r="885">
          <cell r="A885">
            <v>637</v>
          </cell>
          <cell r="B885">
            <v>3399</v>
          </cell>
          <cell r="C885">
            <v>9064</v>
          </cell>
          <cell r="D885">
            <v>7540.9652500000002</v>
          </cell>
          <cell r="E885">
            <v>9540.1574999999993</v>
          </cell>
          <cell r="F885">
            <v>8158.0590000000002</v>
          </cell>
        </row>
        <row r="886">
          <cell r="A886">
            <v>638</v>
          </cell>
          <cell r="B886">
            <v>3399</v>
          </cell>
          <cell r="C886">
            <v>9064</v>
          </cell>
          <cell r="D886">
            <v>7552.8035</v>
          </cell>
          <cell r="E886">
            <v>9540.9050000000007</v>
          </cell>
          <cell r="F886">
            <v>8170.866</v>
          </cell>
        </row>
        <row r="887">
          <cell r="A887">
            <v>639</v>
          </cell>
          <cell r="B887">
            <v>3399</v>
          </cell>
          <cell r="C887">
            <v>9064</v>
          </cell>
          <cell r="D887">
            <v>7564.6417500000007</v>
          </cell>
          <cell r="E887">
            <v>9541.6525000000001</v>
          </cell>
          <cell r="F887">
            <v>8183.6730000000007</v>
          </cell>
        </row>
        <row r="888">
          <cell r="A888">
            <v>640</v>
          </cell>
          <cell r="B888">
            <v>3399</v>
          </cell>
          <cell r="C888">
            <v>9064</v>
          </cell>
          <cell r="D888">
            <v>7576.4800000000005</v>
          </cell>
          <cell r="E888">
            <v>9542.4</v>
          </cell>
          <cell r="F888">
            <v>8196.48</v>
          </cell>
        </row>
        <row r="889">
          <cell r="A889">
            <v>641</v>
          </cell>
          <cell r="B889">
            <v>3524</v>
          </cell>
          <cell r="C889">
            <v>9473</v>
          </cell>
          <cell r="D889">
            <v>7588.3182500000003</v>
          </cell>
          <cell r="E889">
            <v>9952.1474999999991</v>
          </cell>
          <cell r="F889">
            <v>8209.2870000000003</v>
          </cell>
        </row>
        <row r="890">
          <cell r="A890">
            <v>642</v>
          </cell>
          <cell r="B890">
            <v>3524</v>
          </cell>
          <cell r="C890">
            <v>9473</v>
          </cell>
          <cell r="D890">
            <v>7600.1565000000001</v>
          </cell>
          <cell r="E890">
            <v>9952.8950000000004</v>
          </cell>
          <cell r="F890">
            <v>8222.094000000001</v>
          </cell>
        </row>
        <row r="891">
          <cell r="A891">
            <v>643</v>
          </cell>
          <cell r="B891">
            <v>3524</v>
          </cell>
          <cell r="C891">
            <v>9473</v>
          </cell>
          <cell r="D891">
            <v>7611.9947499999998</v>
          </cell>
          <cell r="E891">
            <v>9953.6424999999999</v>
          </cell>
          <cell r="F891">
            <v>8234.9009999999998</v>
          </cell>
        </row>
        <row r="892">
          <cell r="A892">
            <v>644</v>
          </cell>
          <cell r="B892">
            <v>3524</v>
          </cell>
          <cell r="C892">
            <v>9473</v>
          </cell>
          <cell r="D892">
            <v>7623.8330000000005</v>
          </cell>
          <cell r="E892">
            <v>9954.39</v>
          </cell>
          <cell r="F892">
            <v>8247.7080000000005</v>
          </cell>
        </row>
        <row r="893">
          <cell r="A893">
            <v>645</v>
          </cell>
          <cell r="B893">
            <v>3524</v>
          </cell>
          <cell r="C893">
            <v>9473</v>
          </cell>
          <cell r="D893">
            <v>7635.6712500000003</v>
          </cell>
          <cell r="E893">
            <v>9955.1375000000007</v>
          </cell>
          <cell r="F893">
            <v>8260.5149999999994</v>
          </cell>
        </row>
        <row r="894">
          <cell r="A894">
            <v>646</v>
          </cell>
          <cell r="B894">
            <v>3524</v>
          </cell>
          <cell r="C894">
            <v>9473</v>
          </cell>
          <cell r="D894">
            <v>7647.5095000000001</v>
          </cell>
          <cell r="E894">
            <v>9955.8850000000002</v>
          </cell>
          <cell r="F894">
            <v>8273.3220000000001</v>
          </cell>
        </row>
        <row r="895">
          <cell r="A895">
            <v>647</v>
          </cell>
          <cell r="B895">
            <v>3524</v>
          </cell>
          <cell r="C895">
            <v>9473</v>
          </cell>
          <cell r="D895">
            <v>7659.3477499999999</v>
          </cell>
          <cell r="E895">
            <v>9956.6324999999997</v>
          </cell>
          <cell r="F895">
            <v>8286.1290000000008</v>
          </cell>
        </row>
        <row r="896">
          <cell r="A896">
            <v>648</v>
          </cell>
          <cell r="B896">
            <v>3524</v>
          </cell>
          <cell r="C896">
            <v>9473</v>
          </cell>
          <cell r="D896">
            <v>7671.1860000000006</v>
          </cell>
          <cell r="E896">
            <v>9957.3799999999992</v>
          </cell>
          <cell r="F896">
            <v>8298.9359999999997</v>
          </cell>
        </row>
        <row r="897">
          <cell r="A897">
            <v>649</v>
          </cell>
          <cell r="B897">
            <v>3524</v>
          </cell>
          <cell r="C897">
            <v>9473</v>
          </cell>
          <cell r="D897">
            <v>7683.0242500000004</v>
          </cell>
          <cell r="E897">
            <v>9958.1275000000005</v>
          </cell>
          <cell r="F897">
            <v>8311.7430000000004</v>
          </cell>
        </row>
        <row r="898">
          <cell r="A898">
            <v>650</v>
          </cell>
          <cell r="B898">
            <v>3524</v>
          </cell>
          <cell r="C898">
            <v>9473</v>
          </cell>
          <cell r="D898">
            <v>7694.8625000000002</v>
          </cell>
          <cell r="E898">
            <v>9958.875</v>
          </cell>
          <cell r="F898">
            <v>8324.5500000000011</v>
          </cell>
        </row>
        <row r="899">
          <cell r="A899">
            <v>651</v>
          </cell>
          <cell r="B899">
            <v>3524</v>
          </cell>
          <cell r="C899">
            <v>9473</v>
          </cell>
          <cell r="D899">
            <v>7706.70075</v>
          </cell>
          <cell r="E899">
            <v>9959.6224999999995</v>
          </cell>
          <cell r="F899">
            <v>8337.357</v>
          </cell>
        </row>
        <row r="900">
          <cell r="A900">
            <v>652</v>
          </cell>
          <cell r="B900">
            <v>3524</v>
          </cell>
          <cell r="C900">
            <v>9473</v>
          </cell>
          <cell r="D900">
            <v>7718.5390000000007</v>
          </cell>
          <cell r="E900">
            <v>9960.3700000000008</v>
          </cell>
          <cell r="F900">
            <v>8350.1640000000007</v>
          </cell>
        </row>
        <row r="901">
          <cell r="A901">
            <v>653</v>
          </cell>
          <cell r="B901">
            <v>3524</v>
          </cell>
          <cell r="C901">
            <v>9473</v>
          </cell>
          <cell r="D901">
            <v>7730.3772500000005</v>
          </cell>
          <cell r="E901">
            <v>9961.1175000000003</v>
          </cell>
          <cell r="F901">
            <v>8362.9709999999995</v>
          </cell>
        </row>
        <row r="902">
          <cell r="A902">
            <v>654</v>
          </cell>
          <cell r="B902">
            <v>3524</v>
          </cell>
          <cell r="C902">
            <v>9473</v>
          </cell>
          <cell r="D902">
            <v>7742.2155000000002</v>
          </cell>
          <cell r="E902">
            <v>9961.8649999999998</v>
          </cell>
          <cell r="F902">
            <v>8375.7780000000002</v>
          </cell>
        </row>
        <row r="903">
          <cell r="A903">
            <v>655</v>
          </cell>
          <cell r="B903">
            <v>3524</v>
          </cell>
          <cell r="C903">
            <v>9473</v>
          </cell>
          <cell r="D903">
            <v>7754.05375</v>
          </cell>
          <cell r="E903">
            <v>9962.6124999999993</v>
          </cell>
          <cell r="F903">
            <v>8388.5850000000009</v>
          </cell>
        </row>
        <row r="904">
          <cell r="A904">
            <v>656</v>
          </cell>
          <cell r="B904">
            <v>3524</v>
          </cell>
          <cell r="C904">
            <v>9473</v>
          </cell>
          <cell r="D904">
            <v>7765.8919999999998</v>
          </cell>
          <cell r="E904">
            <v>9963.36</v>
          </cell>
          <cell r="F904">
            <v>8401.3919999999998</v>
          </cell>
        </row>
        <row r="905">
          <cell r="A905">
            <v>657</v>
          </cell>
          <cell r="B905">
            <v>3524</v>
          </cell>
          <cell r="C905">
            <v>9473</v>
          </cell>
          <cell r="D905">
            <v>7777.7302500000005</v>
          </cell>
          <cell r="E905">
            <v>9964.1075000000001</v>
          </cell>
          <cell r="F905">
            <v>8414.1990000000005</v>
          </cell>
        </row>
        <row r="906">
          <cell r="A906">
            <v>658</v>
          </cell>
          <cell r="B906">
            <v>3524</v>
          </cell>
          <cell r="C906">
            <v>9473</v>
          </cell>
          <cell r="D906">
            <v>7789.5685000000003</v>
          </cell>
          <cell r="E906">
            <v>9964.8549999999996</v>
          </cell>
          <cell r="F906">
            <v>8427.0059999999994</v>
          </cell>
        </row>
        <row r="907">
          <cell r="A907">
            <v>659</v>
          </cell>
          <cell r="B907">
            <v>3524</v>
          </cell>
          <cell r="C907">
            <v>9473</v>
          </cell>
          <cell r="D907">
            <v>7801.4067500000001</v>
          </cell>
          <cell r="E907">
            <v>9965.6025000000009</v>
          </cell>
          <cell r="F907">
            <v>8439.8130000000001</v>
          </cell>
        </row>
        <row r="908">
          <cell r="A908">
            <v>660</v>
          </cell>
          <cell r="B908">
            <v>3524</v>
          </cell>
          <cell r="C908">
            <v>9473</v>
          </cell>
          <cell r="D908">
            <v>7813.2449999999999</v>
          </cell>
          <cell r="E908">
            <v>9966.35</v>
          </cell>
          <cell r="F908">
            <v>8452.6200000000008</v>
          </cell>
        </row>
        <row r="909">
          <cell r="A909">
            <v>661</v>
          </cell>
          <cell r="B909">
            <v>3524</v>
          </cell>
          <cell r="C909">
            <v>9473</v>
          </cell>
          <cell r="D909">
            <v>7825.0832500000006</v>
          </cell>
          <cell r="E909">
            <v>9967.0974999999999</v>
          </cell>
          <cell r="F909">
            <v>8465.4269999999997</v>
          </cell>
        </row>
        <row r="910">
          <cell r="A910">
            <v>662</v>
          </cell>
          <cell r="B910">
            <v>3524</v>
          </cell>
          <cell r="C910">
            <v>9473</v>
          </cell>
          <cell r="D910">
            <v>7836.9215000000004</v>
          </cell>
          <cell r="E910">
            <v>9967.8449999999993</v>
          </cell>
          <cell r="F910">
            <v>8478.2340000000004</v>
          </cell>
        </row>
        <row r="911">
          <cell r="A911">
            <v>663</v>
          </cell>
          <cell r="B911">
            <v>3524</v>
          </cell>
          <cell r="C911">
            <v>9473</v>
          </cell>
          <cell r="D911">
            <v>7848.7597500000002</v>
          </cell>
          <cell r="E911">
            <v>9968.5925000000007</v>
          </cell>
          <cell r="F911">
            <v>8491.0410000000011</v>
          </cell>
        </row>
        <row r="912">
          <cell r="A912">
            <v>664</v>
          </cell>
          <cell r="B912">
            <v>3524</v>
          </cell>
          <cell r="C912">
            <v>9473</v>
          </cell>
          <cell r="D912">
            <v>7860.598</v>
          </cell>
          <cell r="E912">
            <v>9969.34</v>
          </cell>
          <cell r="F912">
            <v>8503.848</v>
          </cell>
        </row>
        <row r="913">
          <cell r="A913">
            <v>665</v>
          </cell>
          <cell r="B913">
            <v>3524</v>
          </cell>
          <cell r="C913">
            <v>9473</v>
          </cell>
          <cell r="D913">
            <v>7872.4362500000007</v>
          </cell>
          <cell r="E913">
            <v>9970.0874999999996</v>
          </cell>
          <cell r="F913">
            <v>8516.6550000000007</v>
          </cell>
        </row>
        <row r="914">
          <cell r="A914">
            <v>666</v>
          </cell>
          <cell r="B914">
            <v>3524</v>
          </cell>
          <cell r="C914">
            <v>9473</v>
          </cell>
          <cell r="D914">
            <v>7884.2745000000004</v>
          </cell>
          <cell r="E914">
            <v>9970.8349999999991</v>
          </cell>
          <cell r="F914">
            <v>8529.4619999999995</v>
          </cell>
        </row>
        <row r="915">
          <cell r="A915">
            <v>667</v>
          </cell>
          <cell r="B915">
            <v>3524</v>
          </cell>
          <cell r="C915">
            <v>9473</v>
          </cell>
          <cell r="D915">
            <v>7896.1127500000002</v>
          </cell>
          <cell r="E915">
            <v>9971.5825000000004</v>
          </cell>
          <cell r="F915">
            <v>8542.2690000000002</v>
          </cell>
        </row>
        <row r="916">
          <cell r="A916">
            <v>668</v>
          </cell>
          <cell r="B916">
            <v>3524</v>
          </cell>
          <cell r="C916">
            <v>9473</v>
          </cell>
          <cell r="D916">
            <v>7907.951</v>
          </cell>
          <cell r="E916">
            <v>9972.33</v>
          </cell>
          <cell r="F916">
            <v>8555.0760000000009</v>
          </cell>
        </row>
        <row r="917">
          <cell r="A917">
            <v>669</v>
          </cell>
          <cell r="B917">
            <v>3524</v>
          </cell>
          <cell r="C917">
            <v>9473</v>
          </cell>
          <cell r="D917">
            <v>7919.7892499999998</v>
          </cell>
          <cell r="E917">
            <v>9973.0774999999994</v>
          </cell>
          <cell r="F917">
            <v>8567.8829999999998</v>
          </cell>
        </row>
        <row r="918">
          <cell r="A918">
            <v>670</v>
          </cell>
          <cell r="B918">
            <v>3524</v>
          </cell>
          <cell r="C918">
            <v>9473</v>
          </cell>
          <cell r="D918">
            <v>7931.6275000000005</v>
          </cell>
          <cell r="E918">
            <v>9973.8250000000007</v>
          </cell>
          <cell r="F918">
            <v>8580.69</v>
          </cell>
        </row>
        <row r="919">
          <cell r="A919">
            <v>671</v>
          </cell>
          <cell r="B919">
            <v>3524</v>
          </cell>
          <cell r="C919">
            <v>9473</v>
          </cell>
          <cell r="D919">
            <v>7943.4657500000003</v>
          </cell>
          <cell r="E919">
            <v>9974.5725000000002</v>
          </cell>
          <cell r="F919">
            <v>8593.4969999999994</v>
          </cell>
        </row>
        <row r="920">
          <cell r="A920">
            <v>672</v>
          </cell>
          <cell r="B920">
            <v>3524</v>
          </cell>
          <cell r="C920">
            <v>9473</v>
          </cell>
          <cell r="D920">
            <v>7955.3040000000001</v>
          </cell>
          <cell r="E920">
            <v>9975.32</v>
          </cell>
          <cell r="F920">
            <v>8606.3040000000001</v>
          </cell>
        </row>
        <row r="921">
          <cell r="A921">
            <v>673</v>
          </cell>
          <cell r="B921">
            <v>3524</v>
          </cell>
          <cell r="C921">
            <v>9473</v>
          </cell>
          <cell r="D921">
            <v>7967.1422499999999</v>
          </cell>
          <cell r="E921">
            <v>9976.0674999999992</v>
          </cell>
          <cell r="F921">
            <v>8619.1110000000008</v>
          </cell>
        </row>
        <row r="922">
          <cell r="A922">
            <v>674</v>
          </cell>
          <cell r="B922">
            <v>3524</v>
          </cell>
          <cell r="C922">
            <v>9473</v>
          </cell>
          <cell r="D922">
            <v>7978.9805000000006</v>
          </cell>
          <cell r="E922">
            <v>9976.8150000000005</v>
          </cell>
          <cell r="F922">
            <v>8631.9179999999997</v>
          </cell>
        </row>
        <row r="923">
          <cell r="A923">
            <v>675</v>
          </cell>
          <cell r="B923">
            <v>3524</v>
          </cell>
          <cell r="C923">
            <v>9473</v>
          </cell>
          <cell r="D923">
            <v>7990.8187500000004</v>
          </cell>
          <cell r="E923">
            <v>9977.5625</v>
          </cell>
          <cell r="F923">
            <v>8644.7250000000004</v>
          </cell>
        </row>
        <row r="924">
          <cell r="A924">
            <v>676</v>
          </cell>
          <cell r="B924">
            <v>3524</v>
          </cell>
          <cell r="C924">
            <v>9473</v>
          </cell>
          <cell r="D924">
            <v>8002.6570000000002</v>
          </cell>
          <cell r="E924">
            <v>9978.31</v>
          </cell>
          <cell r="F924">
            <v>8657.5320000000011</v>
          </cell>
        </row>
        <row r="925">
          <cell r="A925">
            <v>677</v>
          </cell>
          <cell r="B925">
            <v>3524</v>
          </cell>
          <cell r="C925">
            <v>9473</v>
          </cell>
          <cell r="D925">
            <v>8014.4952499999999</v>
          </cell>
          <cell r="E925">
            <v>9979.0575000000008</v>
          </cell>
          <cell r="F925">
            <v>8670.3389999999999</v>
          </cell>
        </row>
        <row r="926">
          <cell r="A926">
            <v>678</v>
          </cell>
          <cell r="B926">
            <v>3524</v>
          </cell>
          <cell r="C926">
            <v>9473</v>
          </cell>
          <cell r="D926">
            <v>8026.3335000000006</v>
          </cell>
          <cell r="E926">
            <v>9979.8050000000003</v>
          </cell>
          <cell r="F926">
            <v>8683.1460000000006</v>
          </cell>
        </row>
        <row r="927">
          <cell r="A927">
            <v>679</v>
          </cell>
          <cell r="B927">
            <v>3524</v>
          </cell>
          <cell r="C927">
            <v>9473</v>
          </cell>
          <cell r="D927">
            <v>8038.1717500000004</v>
          </cell>
          <cell r="E927">
            <v>9980.5524999999998</v>
          </cell>
          <cell r="F927">
            <v>8695.9529999999995</v>
          </cell>
        </row>
        <row r="928">
          <cell r="A928">
            <v>680</v>
          </cell>
          <cell r="B928">
            <v>3524</v>
          </cell>
          <cell r="C928">
            <v>9473</v>
          </cell>
          <cell r="D928">
            <v>8050.01</v>
          </cell>
          <cell r="E928">
            <v>9981.2999999999993</v>
          </cell>
          <cell r="F928">
            <v>8708.76</v>
          </cell>
        </row>
        <row r="929">
          <cell r="A929">
            <v>681</v>
          </cell>
          <cell r="B929">
            <v>3624</v>
          </cell>
          <cell r="C929">
            <v>9944</v>
          </cell>
          <cell r="D929">
            <v>8061.84825</v>
          </cell>
          <cell r="E929">
            <v>10453.047500000001</v>
          </cell>
          <cell r="F929">
            <v>8721.5670000000009</v>
          </cell>
        </row>
        <row r="930">
          <cell r="A930">
            <v>682</v>
          </cell>
          <cell r="B930">
            <v>3624</v>
          </cell>
          <cell r="C930">
            <v>9944</v>
          </cell>
          <cell r="D930">
            <v>8073.6865000000007</v>
          </cell>
          <cell r="E930">
            <v>10453.795</v>
          </cell>
          <cell r="F930">
            <v>8734.3739999999998</v>
          </cell>
        </row>
        <row r="931">
          <cell r="A931">
            <v>683</v>
          </cell>
          <cell r="B931">
            <v>3624</v>
          </cell>
          <cell r="C931">
            <v>9944</v>
          </cell>
          <cell r="D931">
            <v>8085.5247500000005</v>
          </cell>
          <cell r="E931">
            <v>10454.5425</v>
          </cell>
          <cell r="F931">
            <v>8747.1810000000005</v>
          </cell>
        </row>
        <row r="932">
          <cell r="A932">
            <v>684</v>
          </cell>
          <cell r="B932">
            <v>3624</v>
          </cell>
          <cell r="C932">
            <v>9944</v>
          </cell>
          <cell r="D932">
            <v>8097.3630000000003</v>
          </cell>
          <cell r="E932">
            <v>10455.290000000001</v>
          </cell>
          <cell r="F932">
            <v>8759.9879999999994</v>
          </cell>
        </row>
        <row r="933">
          <cell r="A933">
            <v>685</v>
          </cell>
          <cell r="B933">
            <v>3624</v>
          </cell>
          <cell r="C933">
            <v>9944</v>
          </cell>
          <cell r="D933">
            <v>8109.2012500000001</v>
          </cell>
          <cell r="E933">
            <v>10456.0375</v>
          </cell>
          <cell r="F933">
            <v>8772.7950000000001</v>
          </cell>
        </row>
        <row r="934">
          <cell r="A934">
            <v>686</v>
          </cell>
          <cell r="B934">
            <v>3624</v>
          </cell>
          <cell r="C934">
            <v>9944</v>
          </cell>
          <cell r="D934">
            <v>8121.0394999999999</v>
          </cell>
          <cell r="E934">
            <v>10456.785</v>
          </cell>
          <cell r="F934">
            <v>8785.6020000000008</v>
          </cell>
        </row>
        <row r="935">
          <cell r="A935">
            <v>687</v>
          </cell>
          <cell r="B935">
            <v>3624</v>
          </cell>
          <cell r="C935">
            <v>9944</v>
          </cell>
          <cell r="D935">
            <v>8132.8777500000006</v>
          </cell>
          <cell r="E935">
            <v>10457.532499999999</v>
          </cell>
          <cell r="F935">
            <v>8798.4089999999997</v>
          </cell>
        </row>
        <row r="936">
          <cell r="A936">
            <v>688</v>
          </cell>
          <cell r="B936">
            <v>3624</v>
          </cell>
          <cell r="C936">
            <v>9944</v>
          </cell>
          <cell r="D936">
            <v>8144.7160000000003</v>
          </cell>
          <cell r="E936">
            <v>10458.280000000001</v>
          </cell>
          <cell r="F936">
            <v>8811.2160000000003</v>
          </cell>
        </row>
        <row r="937">
          <cell r="A937">
            <v>689</v>
          </cell>
          <cell r="B937">
            <v>3624</v>
          </cell>
          <cell r="C937">
            <v>9944</v>
          </cell>
          <cell r="D937">
            <v>8156.5542500000001</v>
          </cell>
          <cell r="E937">
            <v>10459.0275</v>
          </cell>
          <cell r="F937">
            <v>8824.023000000001</v>
          </cell>
        </row>
        <row r="938">
          <cell r="A938">
            <v>690</v>
          </cell>
          <cell r="B938">
            <v>3624</v>
          </cell>
          <cell r="C938">
            <v>9944</v>
          </cell>
          <cell r="D938">
            <v>8168.3924999999999</v>
          </cell>
          <cell r="E938">
            <v>10459.775</v>
          </cell>
          <cell r="F938">
            <v>8836.83</v>
          </cell>
        </row>
        <row r="939">
          <cell r="A939">
            <v>691</v>
          </cell>
          <cell r="B939">
            <v>3624</v>
          </cell>
          <cell r="C939">
            <v>9944</v>
          </cell>
          <cell r="D939">
            <v>8180.2307500000006</v>
          </cell>
          <cell r="E939">
            <v>10460.522499999999</v>
          </cell>
          <cell r="F939">
            <v>8849.6370000000006</v>
          </cell>
        </row>
        <row r="940">
          <cell r="A940">
            <v>692</v>
          </cell>
          <cell r="B940">
            <v>3624</v>
          </cell>
          <cell r="C940">
            <v>9944</v>
          </cell>
          <cell r="D940">
            <v>8192.0689999999995</v>
          </cell>
          <cell r="E940">
            <v>10461.27</v>
          </cell>
          <cell r="F940">
            <v>8862.4439999999995</v>
          </cell>
        </row>
        <row r="941">
          <cell r="A941">
            <v>693</v>
          </cell>
          <cell r="B941">
            <v>3624</v>
          </cell>
          <cell r="C941">
            <v>9944</v>
          </cell>
          <cell r="D941">
            <v>8203.9072500000002</v>
          </cell>
          <cell r="E941">
            <v>10462.0175</v>
          </cell>
          <cell r="F941">
            <v>8875.2510000000002</v>
          </cell>
        </row>
        <row r="942">
          <cell r="A942">
            <v>694</v>
          </cell>
          <cell r="B942">
            <v>3624</v>
          </cell>
          <cell r="C942">
            <v>9944</v>
          </cell>
          <cell r="D942">
            <v>8215.7455000000009</v>
          </cell>
          <cell r="E942">
            <v>10462.764999999999</v>
          </cell>
          <cell r="F942">
            <v>8888.0580000000009</v>
          </cell>
        </row>
        <row r="943">
          <cell r="A943">
            <v>695</v>
          </cell>
          <cell r="B943">
            <v>3624</v>
          </cell>
          <cell r="C943">
            <v>9944</v>
          </cell>
          <cell r="D943">
            <v>8227.5837499999998</v>
          </cell>
          <cell r="E943">
            <v>10463.512500000001</v>
          </cell>
          <cell r="F943">
            <v>8900.8649999999998</v>
          </cell>
        </row>
        <row r="944">
          <cell r="A944">
            <v>696</v>
          </cell>
          <cell r="B944">
            <v>3624</v>
          </cell>
          <cell r="C944">
            <v>9944</v>
          </cell>
          <cell r="D944">
            <v>8239.4220000000005</v>
          </cell>
          <cell r="E944">
            <v>10464.26</v>
          </cell>
          <cell r="F944">
            <v>8913.6720000000005</v>
          </cell>
        </row>
        <row r="945">
          <cell r="A945">
            <v>697</v>
          </cell>
          <cell r="B945">
            <v>3624</v>
          </cell>
          <cell r="C945">
            <v>9944</v>
          </cell>
          <cell r="D945">
            <v>8251.2602499999994</v>
          </cell>
          <cell r="E945">
            <v>10465.0075</v>
          </cell>
          <cell r="F945">
            <v>8926.4789999999994</v>
          </cell>
        </row>
        <row r="946">
          <cell r="A946">
            <v>698</v>
          </cell>
          <cell r="B946">
            <v>3624</v>
          </cell>
          <cell r="C946">
            <v>9944</v>
          </cell>
          <cell r="D946">
            <v>8263.0985000000001</v>
          </cell>
          <cell r="E946">
            <v>10465.754999999999</v>
          </cell>
          <cell r="F946">
            <v>8939.2860000000001</v>
          </cell>
        </row>
        <row r="947">
          <cell r="A947">
            <v>699</v>
          </cell>
          <cell r="B947">
            <v>3624</v>
          </cell>
          <cell r="C947">
            <v>9944</v>
          </cell>
          <cell r="D947">
            <v>8274.9367500000008</v>
          </cell>
          <cell r="E947">
            <v>10466.502500000001</v>
          </cell>
          <cell r="F947">
            <v>8952.0930000000008</v>
          </cell>
        </row>
        <row r="948">
          <cell r="A948">
            <v>700</v>
          </cell>
          <cell r="B948">
            <v>3624</v>
          </cell>
          <cell r="C948">
            <v>9944</v>
          </cell>
          <cell r="D948">
            <v>8286.7749999999996</v>
          </cell>
          <cell r="E948">
            <v>10467.25</v>
          </cell>
          <cell r="F948">
            <v>8964.9</v>
          </cell>
        </row>
        <row r="949">
          <cell r="A949">
            <v>701</v>
          </cell>
          <cell r="B949">
            <v>3624</v>
          </cell>
          <cell r="C949">
            <v>9944</v>
          </cell>
          <cell r="D949">
            <v>8298.6132500000003</v>
          </cell>
          <cell r="E949">
            <v>10467.997499999999</v>
          </cell>
          <cell r="F949">
            <v>8977.7070000000003</v>
          </cell>
        </row>
        <row r="950">
          <cell r="A950">
            <v>702</v>
          </cell>
          <cell r="B950">
            <v>3624</v>
          </cell>
          <cell r="C950">
            <v>9944</v>
          </cell>
          <cell r="D950">
            <v>8310.451500000001</v>
          </cell>
          <cell r="E950">
            <v>10468.745000000001</v>
          </cell>
          <cell r="F950">
            <v>8990.514000000001</v>
          </cell>
        </row>
        <row r="951">
          <cell r="A951">
            <v>703</v>
          </cell>
          <cell r="B951">
            <v>3624</v>
          </cell>
          <cell r="C951">
            <v>9944</v>
          </cell>
          <cell r="D951">
            <v>8322.2897499999999</v>
          </cell>
          <cell r="E951">
            <v>10469.4925</v>
          </cell>
          <cell r="F951">
            <v>9003.3209999999999</v>
          </cell>
        </row>
        <row r="952">
          <cell r="A952">
            <v>704</v>
          </cell>
          <cell r="B952">
            <v>3624</v>
          </cell>
          <cell r="C952">
            <v>9944</v>
          </cell>
          <cell r="D952">
            <v>8334.1280000000006</v>
          </cell>
          <cell r="E952">
            <v>10470.24</v>
          </cell>
          <cell r="F952">
            <v>9016.1280000000006</v>
          </cell>
        </row>
        <row r="953">
          <cell r="A953">
            <v>705</v>
          </cell>
          <cell r="B953">
            <v>3624</v>
          </cell>
          <cell r="C953">
            <v>9944</v>
          </cell>
          <cell r="D953">
            <v>8345.9662499999995</v>
          </cell>
          <cell r="E953">
            <v>10470.987499999999</v>
          </cell>
          <cell r="F953">
            <v>9028.9349999999995</v>
          </cell>
        </row>
        <row r="954">
          <cell r="A954">
            <v>706</v>
          </cell>
          <cell r="B954">
            <v>3624</v>
          </cell>
          <cell r="C954">
            <v>9944</v>
          </cell>
          <cell r="D954">
            <v>8357.8045000000002</v>
          </cell>
          <cell r="E954">
            <v>10471.735000000001</v>
          </cell>
          <cell r="F954">
            <v>9041.7420000000002</v>
          </cell>
        </row>
        <row r="955">
          <cell r="A955">
            <v>707</v>
          </cell>
          <cell r="B955">
            <v>3624</v>
          </cell>
          <cell r="C955">
            <v>9944</v>
          </cell>
          <cell r="D955">
            <v>8369.6427500000009</v>
          </cell>
          <cell r="E955">
            <v>10472.4825</v>
          </cell>
          <cell r="F955">
            <v>9054.5490000000009</v>
          </cell>
        </row>
        <row r="956">
          <cell r="A956">
            <v>708</v>
          </cell>
          <cell r="B956">
            <v>3624</v>
          </cell>
          <cell r="C956">
            <v>9944</v>
          </cell>
          <cell r="D956">
            <v>8381.4809999999998</v>
          </cell>
          <cell r="E956">
            <v>10473.23</v>
          </cell>
          <cell r="F956">
            <v>9067.3559999999998</v>
          </cell>
        </row>
        <row r="957">
          <cell r="A957">
            <v>709</v>
          </cell>
          <cell r="B957">
            <v>3624</v>
          </cell>
          <cell r="C957">
            <v>9944</v>
          </cell>
          <cell r="D957">
            <v>8393.3192500000005</v>
          </cell>
          <cell r="E957">
            <v>10473.977500000001</v>
          </cell>
          <cell r="F957">
            <v>9080.1630000000005</v>
          </cell>
        </row>
        <row r="958">
          <cell r="A958">
            <v>710</v>
          </cell>
          <cell r="B958">
            <v>3624</v>
          </cell>
          <cell r="C958">
            <v>9944</v>
          </cell>
          <cell r="D958">
            <v>8405.1575000000012</v>
          </cell>
          <cell r="E958">
            <v>10474.725</v>
          </cell>
          <cell r="F958">
            <v>9092.9700000000012</v>
          </cell>
        </row>
        <row r="959">
          <cell r="A959">
            <v>711</v>
          </cell>
          <cell r="B959">
            <v>3624</v>
          </cell>
          <cell r="C959">
            <v>9944</v>
          </cell>
          <cell r="D959">
            <v>8416.99575</v>
          </cell>
          <cell r="E959">
            <v>10475.4725</v>
          </cell>
          <cell r="F959">
            <v>9105.777</v>
          </cell>
        </row>
        <row r="960">
          <cell r="A960">
            <v>712</v>
          </cell>
          <cell r="B960">
            <v>3624</v>
          </cell>
          <cell r="C960">
            <v>9944</v>
          </cell>
          <cell r="D960">
            <v>8428.8340000000007</v>
          </cell>
          <cell r="E960">
            <v>10476.219999999999</v>
          </cell>
          <cell r="F960">
            <v>9118.5840000000007</v>
          </cell>
        </row>
        <row r="961">
          <cell r="A961">
            <v>713</v>
          </cell>
          <cell r="B961">
            <v>3624</v>
          </cell>
          <cell r="C961">
            <v>9944</v>
          </cell>
          <cell r="D961">
            <v>8440.6722499999996</v>
          </cell>
          <cell r="E961">
            <v>10476.967500000001</v>
          </cell>
          <cell r="F961">
            <v>9131.3909999999996</v>
          </cell>
        </row>
        <row r="962">
          <cell r="A962">
            <v>714</v>
          </cell>
          <cell r="B962">
            <v>3624</v>
          </cell>
          <cell r="C962">
            <v>9944</v>
          </cell>
          <cell r="D962">
            <v>8452.5105000000003</v>
          </cell>
          <cell r="E962">
            <v>10477.715</v>
          </cell>
          <cell r="F962">
            <v>9144.1980000000003</v>
          </cell>
        </row>
        <row r="963">
          <cell r="A963">
            <v>715</v>
          </cell>
          <cell r="B963">
            <v>3624</v>
          </cell>
          <cell r="C963">
            <v>9944</v>
          </cell>
          <cell r="D963">
            <v>8464.348750000001</v>
          </cell>
          <cell r="E963">
            <v>10478.4625</v>
          </cell>
          <cell r="F963">
            <v>9157.005000000001</v>
          </cell>
        </row>
        <row r="964">
          <cell r="A964">
            <v>716</v>
          </cell>
          <cell r="B964">
            <v>3624</v>
          </cell>
          <cell r="C964">
            <v>9944</v>
          </cell>
          <cell r="D964">
            <v>8476.1869999999999</v>
          </cell>
          <cell r="E964">
            <v>10479.209999999999</v>
          </cell>
          <cell r="F964">
            <v>9169.8119999999999</v>
          </cell>
        </row>
        <row r="965">
          <cell r="A965">
            <v>717</v>
          </cell>
          <cell r="B965">
            <v>3624</v>
          </cell>
          <cell r="C965">
            <v>9944</v>
          </cell>
          <cell r="D965">
            <v>8488.0252500000006</v>
          </cell>
          <cell r="E965">
            <v>10479.9575</v>
          </cell>
          <cell r="F965">
            <v>9182.6190000000006</v>
          </cell>
        </row>
        <row r="966">
          <cell r="A966">
            <v>718</v>
          </cell>
          <cell r="B966">
            <v>3624</v>
          </cell>
          <cell r="C966">
            <v>9944</v>
          </cell>
          <cell r="D966">
            <v>8499.8634999999995</v>
          </cell>
          <cell r="E966">
            <v>10480.705</v>
          </cell>
          <cell r="F966">
            <v>9195.4259999999995</v>
          </cell>
        </row>
        <row r="967">
          <cell r="A967">
            <v>719</v>
          </cell>
          <cell r="B967">
            <v>3624</v>
          </cell>
          <cell r="C967">
            <v>9944</v>
          </cell>
          <cell r="D967">
            <v>8511.7017500000002</v>
          </cell>
          <cell r="E967">
            <v>10481.452499999999</v>
          </cell>
          <cell r="F967">
            <v>9208.2330000000002</v>
          </cell>
        </row>
        <row r="968">
          <cell r="A968">
            <v>720</v>
          </cell>
          <cell r="B968">
            <v>3624</v>
          </cell>
          <cell r="C968">
            <v>9944</v>
          </cell>
          <cell r="D968">
            <v>8523.5400000000009</v>
          </cell>
          <cell r="E968">
            <v>10482.200000000001</v>
          </cell>
          <cell r="F968">
            <v>9221.0400000000009</v>
          </cell>
        </row>
        <row r="969">
          <cell r="A969">
            <v>721</v>
          </cell>
          <cell r="B969">
            <v>3749</v>
          </cell>
          <cell r="C969">
            <v>10416</v>
          </cell>
          <cell r="D969">
            <v>8535.3782499999998</v>
          </cell>
          <cell r="E969">
            <v>10954.9475</v>
          </cell>
          <cell r="F969">
            <v>9233.8469999999998</v>
          </cell>
        </row>
        <row r="970">
          <cell r="A970">
            <v>722</v>
          </cell>
          <cell r="B970">
            <v>3749</v>
          </cell>
          <cell r="C970">
            <v>10416</v>
          </cell>
          <cell r="D970">
            <v>8547.2165000000005</v>
          </cell>
          <cell r="E970">
            <v>10955.695</v>
          </cell>
          <cell r="F970">
            <v>9246.6540000000005</v>
          </cell>
        </row>
        <row r="971">
          <cell r="A971">
            <v>723</v>
          </cell>
          <cell r="B971">
            <v>3749</v>
          </cell>
          <cell r="C971">
            <v>10416</v>
          </cell>
          <cell r="D971">
            <v>8559.0547500000011</v>
          </cell>
          <cell r="E971">
            <v>10956.442499999999</v>
          </cell>
          <cell r="F971">
            <v>9259.4610000000011</v>
          </cell>
        </row>
        <row r="972">
          <cell r="A972">
            <v>724</v>
          </cell>
          <cell r="B972">
            <v>3749</v>
          </cell>
          <cell r="C972">
            <v>10416</v>
          </cell>
          <cell r="D972">
            <v>8570.893</v>
          </cell>
          <cell r="E972">
            <v>10957.19</v>
          </cell>
          <cell r="F972">
            <v>9272.268</v>
          </cell>
        </row>
        <row r="973">
          <cell r="A973">
            <v>725</v>
          </cell>
          <cell r="B973">
            <v>3749</v>
          </cell>
          <cell r="C973">
            <v>10416</v>
          </cell>
          <cell r="D973">
            <v>8582.7312500000007</v>
          </cell>
          <cell r="E973">
            <v>10957.9375</v>
          </cell>
          <cell r="F973">
            <v>9285.0750000000007</v>
          </cell>
        </row>
        <row r="974">
          <cell r="A974">
            <v>726</v>
          </cell>
          <cell r="B974">
            <v>3749</v>
          </cell>
          <cell r="C974">
            <v>10416</v>
          </cell>
          <cell r="D974">
            <v>8594.5694999999996</v>
          </cell>
          <cell r="E974">
            <v>10958.684999999999</v>
          </cell>
          <cell r="F974">
            <v>9297.8819999999996</v>
          </cell>
        </row>
        <row r="975">
          <cell r="A975">
            <v>727</v>
          </cell>
          <cell r="B975">
            <v>3749</v>
          </cell>
          <cell r="C975">
            <v>10416</v>
          </cell>
          <cell r="D975">
            <v>8606.4077500000003</v>
          </cell>
          <cell r="E975">
            <v>10959.432500000001</v>
          </cell>
          <cell r="F975">
            <v>9310.6890000000003</v>
          </cell>
        </row>
        <row r="976">
          <cell r="A976">
            <v>728</v>
          </cell>
          <cell r="B976">
            <v>3749</v>
          </cell>
          <cell r="C976">
            <v>10416</v>
          </cell>
          <cell r="D976">
            <v>8618.246000000001</v>
          </cell>
          <cell r="E976">
            <v>10960.18</v>
          </cell>
          <cell r="F976">
            <v>9323.496000000001</v>
          </cell>
        </row>
        <row r="977">
          <cell r="A977">
            <v>729</v>
          </cell>
          <cell r="B977">
            <v>3749</v>
          </cell>
          <cell r="C977">
            <v>10416</v>
          </cell>
          <cell r="D977">
            <v>8630.0842499999999</v>
          </cell>
          <cell r="E977">
            <v>10960.9275</v>
          </cell>
          <cell r="F977">
            <v>9336.3029999999999</v>
          </cell>
        </row>
        <row r="978">
          <cell r="A978">
            <v>730</v>
          </cell>
          <cell r="B978">
            <v>3749</v>
          </cell>
          <cell r="C978">
            <v>10416</v>
          </cell>
          <cell r="D978">
            <v>8641.9225000000006</v>
          </cell>
          <cell r="E978">
            <v>10961.674999999999</v>
          </cell>
          <cell r="F978">
            <v>9349.11</v>
          </cell>
        </row>
        <row r="979">
          <cell r="A979">
            <v>731</v>
          </cell>
          <cell r="B979">
            <v>3749</v>
          </cell>
          <cell r="C979">
            <v>10416</v>
          </cell>
          <cell r="D979">
            <v>8653.7607499999995</v>
          </cell>
          <cell r="E979">
            <v>10962.422500000001</v>
          </cell>
          <cell r="F979">
            <v>9361.9169999999995</v>
          </cell>
        </row>
        <row r="980">
          <cell r="A980">
            <v>732</v>
          </cell>
          <cell r="B980">
            <v>3749</v>
          </cell>
          <cell r="C980">
            <v>10416</v>
          </cell>
          <cell r="D980">
            <v>8665.5990000000002</v>
          </cell>
          <cell r="E980">
            <v>10963.17</v>
          </cell>
          <cell r="F980">
            <v>9374.7240000000002</v>
          </cell>
        </row>
        <row r="981">
          <cell r="A981">
            <v>733</v>
          </cell>
          <cell r="B981">
            <v>3749</v>
          </cell>
          <cell r="C981">
            <v>10416</v>
          </cell>
          <cell r="D981">
            <v>8677.4372500000009</v>
          </cell>
          <cell r="E981">
            <v>10963.9175</v>
          </cell>
          <cell r="F981">
            <v>9387.5310000000009</v>
          </cell>
        </row>
        <row r="982">
          <cell r="A982">
            <v>734</v>
          </cell>
          <cell r="B982">
            <v>3749</v>
          </cell>
          <cell r="C982">
            <v>10416</v>
          </cell>
          <cell r="D982">
            <v>8689.2754999999997</v>
          </cell>
          <cell r="E982">
            <v>10964.665000000001</v>
          </cell>
          <cell r="F982">
            <v>9400.3379999999997</v>
          </cell>
        </row>
        <row r="983">
          <cell r="A983">
            <v>735</v>
          </cell>
          <cell r="B983">
            <v>3749</v>
          </cell>
          <cell r="C983">
            <v>10416</v>
          </cell>
          <cell r="D983">
            <v>8701.1137500000004</v>
          </cell>
          <cell r="E983">
            <v>10965.4125</v>
          </cell>
          <cell r="F983">
            <v>9413.1450000000004</v>
          </cell>
        </row>
        <row r="984">
          <cell r="A984">
            <v>736</v>
          </cell>
          <cell r="B984">
            <v>3749</v>
          </cell>
          <cell r="C984">
            <v>10416</v>
          </cell>
          <cell r="D984">
            <v>8712.9520000000011</v>
          </cell>
          <cell r="E984">
            <v>10966.16</v>
          </cell>
          <cell r="F984">
            <v>9425.9520000000011</v>
          </cell>
        </row>
        <row r="985">
          <cell r="A985">
            <v>737</v>
          </cell>
          <cell r="B985">
            <v>3749</v>
          </cell>
          <cell r="C985">
            <v>10416</v>
          </cell>
          <cell r="D985">
            <v>8724.79025</v>
          </cell>
          <cell r="E985">
            <v>10966.907499999999</v>
          </cell>
          <cell r="F985">
            <v>9438.759</v>
          </cell>
        </row>
        <row r="986">
          <cell r="A986">
            <v>738</v>
          </cell>
          <cell r="B986">
            <v>3749</v>
          </cell>
          <cell r="C986">
            <v>10416</v>
          </cell>
          <cell r="D986">
            <v>8736.6285000000007</v>
          </cell>
          <cell r="E986">
            <v>10967.655000000001</v>
          </cell>
          <cell r="F986">
            <v>9451.5660000000007</v>
          </cell>
        </row>
        <row r="987">
          <cell r="A987">
            <v>739</v>
          </cell>
          <cell r="B987">
            <v>3749</v>
          </cell>
          <cell r="C987">
            <v>10416</v>
          </cell>
          <cell r="D987">
            <v>8748.4667499999996</v>
          </cell>
          <cell r="E987">
            <v>10968.4025</v>
          </cell>
          <cell r="F987">
            <v>9464.3729999999996</v>
          </cell>
        </row>
        <row r="988">
          <cell r="A988">
            <v>740</v>
          </cell>
          <cell r="B988">
            <v>3749</v>
          </cell>
          <cell r="C988">
            <v>10416</v>
          </cell>
          <cell r="D988">
            <v>8760.3050000000003</v>
          </cell>
          <cell r="E988">
            <v>10969.15</v>
          </cell>
          <cell r="F988">
            <v>9477.18</v>
          </cell>
        </row>
        <row r="989">
          <cell r="A989">
            <v>741</v>
          </cell>
          <cell r="B989">
            <v>3749</v>
          </cell>
          <cell r="C989">
            <v>10416</v>
          </cell>
          <cell r="D989">
            <v>8772.143250000001</v>
          </cell>
          <cell r="E989">
            <v>10969.897499999999</v>
          </cell>
          <cell r="F989">
            <v>9489.987000000001</v>
          </cell>
        </row>
        <row r="990">
          <cell r="A990">
            <v>742</v>
          </cell>
          <cell r="B990">
            <v>3749</v>
          </cell>
          <cell r="C990">
            <v>10416</v>
          </cell>
          <cell r="D990">
            <v>8783.9814999999999</v>
          </cell>
          <cell r="E990">
            <v>10970.645</v>
          </cell>
          <cell r="F990">
            <v>9502.7939999999999</v>
          </cell>
        </row>
        <row r="991">
          <cell r="A991">
            <v>743</v>
          </cell>
          <cell r="B991">
            <v>3749</v>
          </cell>
          <cell r="C991">
            <v>10416</v>
          </cell>
          <cell r="D991">
            <v>8795.8197500000006</v>
          </cell>
          <cell r="E991">
            <v>10971.3925</v>
          </cell>
          <cell r="F991">
            <v>9515.6010000000006</v>
          </cell>
        </row>
        <row r="992">
          <cell r="A992">
            <v>744</v>
          </cell>
          <cell r="B992">
            <v>3749</v>
          </cell>
          <cell r="C992">
            <v>10416</v>
          </cell>
          <cell r="D992">
            <v>8807.6579999999994</v>
          </cell>
          <cell r="E992">
            <v>10972.14</v>
          </cell>
          <cell r="F992">
            <v>9528.4079999999994</v>
          </cell>
        </row>
        <row r="993">
          <cell r="A993">
            <v>745</v>
          </cell>
          <cell r="B993">
            <v>3749</v>
          </cell>
          <cell r="C993">
            <v>10416</v>
          </cell>
          <cell r="D993">
            <v>8819.4962500000001</v>
          </cell>
          <cell r="E993">
            <v>10972.887500000001</v>
          </cell>
          <cell r="F993">
            <v>9541.2150000000001</v>
          </cell>
        </row>
        <row r="994">
          <cell r="A994">
            <v>746</v>
          </cell>
          <cell r="B994">
            <v>3749</v>
          </cell>
          <cell r="C994">
            <v>10416</v>
          </cell>
          <cell r="D994">
            <v>8831.3345000000008</v>
          </cell>
          <cell r="E994">
            <v>10973.635</v>
          </cell>
          <cell r="F994">
            <v>9554.0220000000008</v>
          </cell>
        </row>
        <row r="995">
          <cell r="A995">
            <v>747</v>
          </cell>
          <cell r="B995">
            <v>3749</v>
          </cell>
          <cell r="C995">
            <v>10416</v>
          </cell>
          <cell r="D995">
            <v>8843.1727499999997</v>
          </cell>
          <cell r="E995">
            <v>10974.3825</v>
          </cell>
          <cell r="F995">
            <v>9566.8289999999997</v>
          </cell>
        </row>
        <row r="996">
          <cell r="A996">
            <v>748</v>
          </cell>
          <cell r="B996">
            <v>3749</v>
          </cell>
          <cell r="C996">
            <v>10416</v>
          </cell>
          <cell r="D996">
            <v>8855.0110000000004</v>
          </cell>
          <cell r="E996">
            <v>10975.13</v>
          </cell>
          <cell r="F996">
            <v>9579.6360000000004</v>
          </cell>
        </row>
        <row r="997">
          <cell r="A997">
            <v>749</v>
          </cell>
          <cell r="B997">
            <v>3749</v>
          </cell>
          <cell r="C997">
            <v>10416</v>
          </cell>
          <cell r="D997">
            <v>8866.8492500000011</v>
          </cell>
          <cell r="E997">
            <v>10975.877500000001</v>
          </cell>
          <cell r="F997">
            <v>9592.4430000000011</v>
          </cell>
        </row>
        <row r="998">
          <cell r="A998">
            <v>750</v>
          </cell>
          <cell r="B998">
            <v>3749</v>
          </cell>
          <cell r="C998">
            <v>10416</v>
          </cell>
          <cell r="D998">
            <v>8878.6875</v>
          </cell>
          <cell r="E998">
            <v>10976.625</v>
          </cell>
          <cell r="F998">
            <v>9605.25</v>
          </cell>
        </row>
        <row r="999">
          <cell r="A999">
            <v>751</v>
          </cell>
          <cell r="B999">
            <v>3749</v>
          </cell>
          <cell r="C999">
            <v>10416</v>
          </cell>
          <cell r="D999">
            <v>8890.5257500000007</v>
          </cell>
          <cell r="E999">
            <v>10977.372499999999</v>
          </cell>
          <cell r="F999">
            <v>9618.0570000000007</v>
          </cell>
        </row>
        <row r="1000">
          <cell r="A1000">
            <v>752</v>
          </cell>
          <cell r="B1000">
            <v>3749</v>
          </cell>
          <cell r="C1000">
            <v>10416</v>
          </cell>
          <cell r="D1000">
            <v>8902.3639999999996</v>
          </cell>
          <cell r="E1000">
            <v>10978.12</v>
          </cell>
          <cell r="F1000">
            <v>9630.8639999999996</v>
          </cell>
        </row>
        <row r="1001">
          <cell r="A1001">
            <v>753</v>
          </cell>
          <cell r="B1001">
            <v>3749</v>
          </cell>
          <cell r="C1001">
            <v>10416</v>
          </cell>
          <cell r="D1001">
            <v>8914.2022500000003</v>
          </cell>
          <cell r="E1001">
            <v>10978.8675</v>
          </cell>
          <cell r="F1001">
            <v>9643.6710000000003</v>
          </cell>
        </row>
        <row r="1002">
          <cell r="A1002">
            <v>754</v>
          </cell>
          <cell r="B1002">
            <v>3749</v>
          </cell>
          <cell r="C1002">
            <v>10416</v>
          </cell>
          <cell r="D1002">
            <v>8926.040500000001</v>
          </cell>
          <cell r="E1002">
            <v>10979.615</v>
          </cell>
          <cell r="F1002">
            <v>9656.478000000001</v>
          </cell>
        </row>
        <row r="1003">
          <cell r="A1003">
            <v>755</v>
          </cell>
          <cell r="B1003">
            <v>3749</v>
          </cell>
          <cell r="C1003">
            <v>10416</v>
          </cell>
          <cell r="D1003">
            <v>8937.8787499999999</v>
          </cell>
          <cell r="E1003">
            <v>10980.362499999999</v>
          </cell>
          <cell r="F1003">
            <v>9669.2849999999999</v>
          </cell>
        </row>
        <row r="1004">
          <cell r="A1004">
            <v>756</v>
          </cell>
          <cell r="B1004">
            <v>3749</v>
          </cell>
          <cell r="C1004">
            <v>10416</v>
          </cell>
          <cell r="D1004">
            <v>8949.7170000000006</v>
          </cell>
          <cell r="E1004">
            <v>10981.11</v>
          </cell>
          <cell r="F1004">
            <v>9682.0920000000006</v>
          </cell>
        </row>
        <row r="1005">
          <cell r="A1005">
            <v>757</v>
          </cell>
          <cell r="B1005">
            <v>3749</v>
          </cell>
          <cell r="C1005">
            <v>10416</v>
          </cell>
          <cell r="D1005">
            <v>8961.5552499999994</v>
          </cell>
          <cell r="E1005">
            <v>10981.8575</v>
          </cell>
          <cell r="F1005">
            <v>9694.8989999999994</v>
          </cell>
        </row>
        <row r="1006">
          <cell r="A1006">
            <v>758</v>
          </cell>
          <cell r="B1006">
            <v>3749</v>
          </cell>
          <cell r="C1006">
            <v>10416</v>
          </cell>
          <cell r="D1006">
            <v>8973.3935000000001</v>
          </cell>
          <cell r="E1006">
            <v>10982.605</v>
          </cell>
          <cell r="F1006">
            <v>9707.7060000000001</v>
          </cell>
        </row>
        <row r="1007">
          <cell r="A1007">
            <v>759</v>
          </cell>
          <cell r="B1007">
            <v>3749</v>
          </cell>
          <cell r="C1007">
            <v>10416</v>
          </cell>
          <cell r="D1007">
            <v>8985.2317500000008</v>
          </cell>
          <cell r="E1007">
            <v>10983.352500000001</v>
          </cell>
          <cell r="F1007">
            <v>9720.5130000000008</v>
          </cell>
        </row>
        <row r="1008">
          <cell r="A1008">
            <v>760</v>
          </cell>
          <cell r="B1008">
            <v>3749</v>
          </cell>
          <cell r="C1008">
            <v>10416</v>
          </cell>
          <cell r="D1008">
            <v>8997.07</v>
          </cell>
          <cell r="E1008">
            <v>10984.1</v>
          </cell>
          <cell r="F1008">
            <v>9733.32</v>
          </cell>
        </row>
        <row r="1009">
          <cell r="A1009">
            <v>761</v>
          </cell>
          <cell r="B1009">
            <v>3924</v>
          </cell>
          <cell r="C1009">
            <v>10782</v>
          </cell>
          <cell r="D1009">
            <v>9008.9082500000004</v>
          </cell>
          <cell r="E1009">
            <v>11350.8475</v>
          </cell>
          <cell r="F1009">
            <v>9746.1270000000004</v>
          </cell>
        </row>
        <row r="1010">
          <cell r="A1010">
            <v>762</v>
          </cell>
          <cell r="B1010">
            <v>3924</v>
          </cell>
          <cell r="C1010">
            <v>10782</v>
          </cell>
          <cell r="D1010">
            <v>9020.7465000000011</v>
          </cell>
          <cell r="E1010">
            <v>11351.594999999999</v>
          </cell>
          <cell r="F1010">
            <v>9758.9340000000011</v>
          </cell>
        </row>
        <row r="1011">
          <cell r="A1011">
            <v>763</v>
          </cell>
          <cell r="B1011">
            <v>3924</v>
          </cell>
          <cell r="C1011">
            <v>10782</v>
          </cell>
          <cell r="D1011">
            <v>9032.58475</v>
          </cell>
          <cell r="E1011">
            <v>11352.342500000001</v>
          </cell>
          <cell r="F1011">
            <v>9771.741</v>
          </cell>
        </row>
        <row r="1012">
          <cell r="A1012">
            <v>764</v>
          </cell>
          <cell r="B1012">
            <v>3924</v>
          </cell>
          <cell r="C1012">
            <v>10782</v>
          </cell>
          <cell r="D1012">
            <v>9044.4230000000007</v>
          </cell>
          <cell r="E1012">
            <v>11353.09</v>
          </cell>
          <cell r="F1012">
            <v>9784.5480000000007</v>
          </cell>
        </row>
        <row r="1013">
          <cell r="A1013">
            <v>765</v>
          </cell>
          <cell r="B1013">
            <v>3924</v>
          </cell>
          <cell r="C1013">
            <v>10782</v>
          </cell>
          <cell r="D1013">
            <v>9056.2612499999996</v>
          </cell>
          <cell r="E1013">
            <v>11353.8375</v>
          </cell>
          <cell r="F1013">
            <v>9797.3549999999996</v>
          </cell>
        </row>
        <row r="1014">
          <cell r="A1014">
            <v>766</v>
          </cell>
          <cell r="B1014">
            <v>3924</v>
          </cell>
          <cell r="C1014">
            <v>10782</v>
          </cell>
          <cell r="D1014">
            <v>9068.0995000000003</v>
          </cell>
          <cell r="E1014">
            <v>11354.584999999999</v>
          </cell>
          <cell r="F1014">
            <v>9810.1620000000003</v>
          </cell>
        </row>
        <row r="1015">
          <cell r="A1015">
            <v>767</v>
          </cell>
          <cell r="B1015">
            <v>3924</v>
          </cell>
          <cell r="C1015">
            <v>10782</v>
          </cell>
          <cell r="D1015">
            <v>9079.937750000001</v>
          </cell>
          <cell r="E1015">
            <v>11355.3325</v>
          </cell>
          <cell r="F1015">
            <v>9822.969000000001</v>
          </cell>
        </row>
        <row r="1016">
          <cell r="A1016">
            <v>768</v>
          </cell>
          <cell r="B1016">
            <v>3924</v>
          </cell>
          <cell r="C1016">
            <v>10782</v>
          </cell>
          <cell r="D1016">
            <v>9091.7759999999998</v>
          </cell>
          <cell r="E1016">
            <v>11356.08</v>
          </cell>
          <cell r="F1016">
            <v>9835.7759999999998</v>
          </cell>
        </row>
        <row r="1017">
          <cell r="A1017">
            <v>769</v>
          </cell>
          <cell r="B1017">
            <v>3924</v>
          </cell>
          <cell r="C1017">
            <v>10782</v>
          </cell>
          <cell r="D1017">
            <v>9103.6142500000005</v>
          </cell>
          <cell r="E1017">
            <v>11356.827499999999</v>
          </cell>
          <cell r="F1017">
            <v>9848.5830000000005</v>
          </cell>
        </row>
        <row r="1018">
          <cell r="A1018">
            <v>770</v>
          </cell>
          <cell r="B1018">
            <v>3924</v>
          </cell>
          <cell r="C1018">
            <v>10782</v>
          </cell>
          <cell r="D1018">
            <v>9115.4524999999994</v>
          </cell>
          <cell r="E1018">
            <v>11357.575000000001</v>
          </cell>
          <cell r="F1018">
            <v>9861.39</v>
          </cell>
        </row>
        <row r="1019">
          <cell r="A1019">
            <v>771</v>
          </cell>
          <cell r="B1019">
            <v>3924</v>
          </cell>
          <cell r="C1019">
            <v>10782</v>
          </cell>
          <cell r="D1019">
            <v>9127.2907500000001</v>
          </cell>
          <cell r="E1019">
            <v>11358.3225</v>
          </cell>
          <cell r="F1019">
            <v>9874.1970000000001</v>
          </cell>
        </row>
        <row r="1020">
          <cell r="A1020">
            <v>772</v>
          </cell>
          <cell r="B1020">
            <v>3924</v>
          </cell>
          <cell r="C1020">
            <v>10782</v>
          </cell>
          <cell r="D1020">
            <v>9139.1290000000008</v>
          </cell>
          <cell r="E1020">
            <v>11359.07</v>
          </cell>
          <cell r="F1020">
            <v>9887.0040000000008</v>
          </cell>
        </row>
        <row r="1021">
          <cell r="A1021">
            <v>773</v>
          </cell>
          <cell r="B1021">
            <v>3924</v>
          </cell>
          <cell r="C1021">
            <v>10782</v>
          </cell>
          <cell r="D1021">
            <v>9150.9672499999997</v>
          </cell>
          <cell r="E1021">
            <v>11359.817499999999</v>
          </cell>
          <cell r="F1021">
            <v>9899.8109999999997</v>
          </cell>
        </row>
        <row r="1022">
          <cell r="A1022">
            <v>774</v>
          </cell>
          <cell r="B1022">
            <v>3924</v>
          </cell>
          <cell r="C1022">
            <v>10782</v>
          </cell>
          <cell r="D1022">
            <v>9162.8055000000004</v>
          </cell>
          <cell r="E1022">
            <v>11360.565000000001</v>
          </cell>
          <cell r="F1022">
            <v>9912.6180000000004</v>
          </cell>
        </row>
        <row r="1023">
          <cell r="A1023">
            <v>775</v>
          </cell>
          <cell r="B1023">
            <v>3924</v>
          </cell>
          <cell r="C1023">
            <v>10782</v>
          </cell>
          <cell r="D1023">
            <v>9174.6437500000011</v>
          </cell>
          <cell r="E1023">
            <v>11361.3125</v>
          </cell>
          <cell r="F1023">
            <v>9925.4250000000011</v>
          </cell>
        </row>
        <row r="1024">
          <cell r="A1024">
            <v>776</v>
          </cell>
          <cell r="B1024">
            <v>3924</v>
          </cell>
          <cell r="C1024">
            <v>10782</v>
          </cell>
          <cell r="D1024">
            <v>9186.482</v>
          </cell>
          <cell r="E1024">
            <v>11362.06</v>
          </cell>
          <cell r="F1024">
            <v>9938.232</v>
          </cell>
        </row>
        <row r="1025">
          <cell r="A1025">
            <v>777</v>
          </cell>
          <cell r="B1025">
            <v>3924</v>
          </cell>
          <cell r="C1025">
            <v>10782</v>
          </cell>
          <cell r="D1025">
            <v>9198.3202500000007</v>
          </cell>
          <cell r="E1025">
            <v>11362.807500000001</v>
          </cell>
          <cell r="F1025">
            <v>9951.0390000000007</v>
          </cell>
        </row>
        <row r="1026">
          <cell r="A1026">
            <v>778</v>
          </cell>
          <cell r="B1026">
            <v>3924</v>
          </cell>
          <cell r="C1026">
            <v>10782</v>
          </cell>
          <cell r="D1026">
            <v>9210.1584999999995</v>
          </cell>
          <cell r="E1026">
            <v>11363.555</v>
          </cell>
          <cell r="F1026">
            <v>9963.8459999999995</v>
          </cell>
        </row>
        <row r="1027">
          <cell r="A1027">
            <v>779</v>
          </cell>
          <cell r="B1027">
            <v>3924</v>
          </cell>
          <cell r="C1027">
            <v>10782</v>
          </cell>
          <cell r="D1027">
            <v>9221.9967500000002</v>
          </cell>
          <cell r="E1027">
            <v>11364.3025</v>
          </cell>
          <cell r="F1027">
            <v>9976.6530000000002</v>
          </cell>
        </row>
        <row r="1028">
          <cell r="A1028">
            <v>780</v>
          </cell>
          <cell r="B1028">
            <v>3924</v>
          </cell>
          <cell r="C1028">
            <v>10782</v>
          </cell>
          <cell r="D1028">
            <v>9233.8350000000009</v>
          </cell>
          <cell r="E1028">
            <v>11365.05</v>
          </cell>
          <cell r="F1028">
            <v>9989.4600000000009</v>
          </cell>
        </row>
        <row r="1029">
          <cell r="A1029">
            <v>781</v>
          </cell>
          <cell r="B1029">
            <v>3924</v>
          </cell>
          <cell r="C1029">
            <v>10782</v>
          </cell>
          <cell r="D1029">
            <v>9245.6732499999998</v>
          </cell>
          <cell r="E1029">
            <v>11365.797500000001</v>
          </cell>
          <cell r="F1029">
            <v>10002.267</v>
          </cell>
        </row>
        <row r="1030">
          <cell r="A1030">
            <v>782</v>
          </cell>
          <cell r="B1030">
            <v>3924</v>
          </cell>
          <cell r="C1030">
            <v>10782</v>
          </cell>
          <cell r="D1030">
            <v>9257.5115000000005</v>
          </cell>
          <cell r="E1030">
            <v>11366.545</v>
          </cell>
          <cell r="F1030">
            <v>10015.074000000001</v>
          </cell>
        </row>
        <row r="1031">
          <cell r="A1031">
            <v>783</v>
          </cell>
          <cell r="B1031">
            <v>3924</v>
          </cell>
          <cell r="C1031">
            <v>10782</v>
          </cell>
          <cell r="D1031">
            <v>9269.3497499999994</v>
          </cell>
          <cell r="E1031">
            <v>11367.2925</v>
          </cell>
          <cell r="F1031">
            <v>10027.880999999999</v>
          </cell>
        </row>
        <row r="1032">
          <cell r="A1032">
            <v>784</v>
          </cell>
          <cell r="B1032">
            <v>3924</v>
          </cell>
          <cell r="C1032">
            <v>10782</v>
          </cell>
          <cell r="D1032">
            <v>9281.1880000000001</v>
          </cell>
          <cell r="E1032">
            <v>11368.04</v>
          </cell>
          <cell r="F1032">
            <v>10040.688</v>
          </cell>
        </row>
        <row r="1033">
          <cell r="A1033">
            <v>785</v>
          </cell>
          <cell r="B1033">
            <v>3924</v>
          </cell>
          <cell r="C1033">
            <v>10782</v>
          </cell>
          <cell r="D1033">
            <v>9293.0262500000008</v>
          </cell>
          <cell r="E1033">
            <v>11368.7875</v>
          </cell>
          <cell r="F1033">
            <v>10053.495000000001</v>
          </cell>
        </row>
        <row r="1034">
          <cell r="A1034">
            <v>786</v>
          </cell>
          <cell r="B1034">
            <v>3924</v>
          </cell>
          <cell r="C1034">
            <v>10782</v>
          </cell>
          <cell r="D1034">
            <v>9304.8644999999997</v>
          </cell>
          <cell r="E1034">
            <v>11369.535</v>
          </cell>
          <cell r="F1034">
            <v>10066.302</v>
          </cell>
        </row>
        <row r="1035">
          <cell r="A1035">
            <v>787</v>
          </cell>
          <cell r="B1035">
            <v>3924</v>
          </cell>
          <cell r="C1035">
            <v>10782</v>
          </cell>
          <cell r="D1035">
            <v>9316.7027500000004</v>
          </cell>
          <cell r="E1035">
            <v>11370.282499999999</v>
          </cell>
          <cell r="F1035">
            <v>10079.109</v>
          </cell>
        </row>
        <row r="1036">
          <cell r="A1036">
            <v>788</v>
          </cell>
          <cell r="B1036">
            <v>3924</v>
          </cell>
          <cell r="C1036">
            <v>10782</v>
          </cell>
          <cell r="D1036">
            <v>9328.5410000000011</v>
          </cell>
          <cell r="E1036">
            <v>11371.03</v>
          </cell>
          <cell r="F1036">
            <v>10091.916000000001</v>
          </cell>
        </row>
        <row r="1037">
          <cell r="A1037">
            <v>789</v>
          </cell>
          <cell r="B1037">
            <v>3924</v>
          </cell>
          <cell r="C1037">
            <v>10782</v>
          </cell>
          <cell r="D1037">
            <v>9340.37925</v>
          </cell>
          <cell r="E1037">
            <v>11371.7775</v>
          </cell>
          <cell r="F1037">
            <v>10104.723</v>
          </cell>
        </row>
        <row r="1038">
          <cell r="A1038">
            <v>790</v>
          </cell>
          <cell r="B1038">
            <v>3924</v>
          </cell>
          <cell r="C1038">
            <v>10782</v>
          </cell>
          <cell r="D1038">
            <v>9352.2175000000007</v>
          </cell>
          <cell r="E1038">
            <v>11372.525</v>
          </cell>
          <cell r="F1038">
            <v>10117.530000000001</v>
          </cell>
        </row>
        <row r="1039">
          <cell r="A1039">
            <v>791</v>
          </cell>
          <cell r="B1039">
            <v>3924</v>
          </cell>
          <cell r="C1039">
            <v>10782</v>
          </cell>
          <cell r="D1039">
            <v>9364.0557499999995</v>
          </cell>
          <cell r="E1039">
            <v>11373.272499999999</v>
          </cell>
          <cell r="F1039">
            <v>10130.337</v>
          </cell>
        </row>
        <row r="1040">
          <cell r="A1040">
            <v>792</v>
          </cell>
          <cell r="B1040">
            <v>3924</v>
          </cell>
          <cell r="C1040">
            <v>10782</v>
          </cell>
          <cell r="D1040">
            <v>9375.8940000000002</v>
          </cell>
          <cell r="E1040">
            <v>11374.02</v>
          </cell>
          <cell r="F1040">
            <v>10143.144</v>
          </cell>
        </row>
        <row r="1041">
          <cell r="A1041">
            <v>793</v>
          </cell>
          <cell r="B1041">
            <v>3924</v>
          </cell>
          <cell r="C1041">
            <v>10782</v>
          </cell>
          <cell r="D1041">
            <v>9387.7322500000009</v>
          </cell>
          <cell r="E1041">
            <v>11374.7675</v>
          </cell>
          <cell r="F1041">
            <v>10155.951000000001</v>
          </cell>
        </row>
        <row r="1042">
          <cell r="A1042">
            <v>794</v>
          </cell>
          <cell r="B1042">
            <v>3924</v>
          </cell>
          <cell r="C1042">
            <v>10782</v>
          </cell>
          <cell r="D1042">
            <v>9399.5704999999998</v>
          </cell>
          <cell r="E1042">
            <v>11375.514999999999</v>
          </cell>
          <cell r="F1042">
            <v>10168.758</v>
          </cell>
        </row>
        <row r="1043">
          <cell r="A1043">
            <v>795</v>
          </cell>
          <cell r="B1043">
            <v>3924</v>
          </cell>
          <cell r="C1043">
            <v>10782</v>
          </cell>
          <cell r="D1043">
            <v>9411.4087500000005</v>
          </cell>
          <cell r="E1043">
            <v>11376.262500000001</v>
          </cell>
          <cell r="F1043">
            <v>10181.565000000001</v>
          </cell>
        </row>
        <row r="1044">
          <cell r="A1044">
            <v>796</v>
          </cell>
          <cell r="B1044">
            <v>3924</v>
          </cell>
          <cell r="C1044">
            <v>10782</v>
          </cell>
          <cell r="D1044">
            <v>9423.2470000000012</v>
          </cell>
          <cell r="E1044">
            <v>11377.01</v>
          </cell>
          <cell r="F1044">
            <v>10194.372000000001</v>
          </cell>
        </row>
        <row r="1045">
          <cell r="A1045">
            <v>797</v>
          </cell>
          <cell r="B1045">
            <v>3924</v>
          </cell>
          <cell r="C1045">
            <v>10782</v>
          </cell>
          <cell r="D1045">
            <v>9435.0852500000001</v>
          </cell>
          <cell r="E1045">
            <v>11377.7575</v>
          </cell>
          <cell r="F1045">
            <v>10207.179</v>
          </cell>
        </row>
        <row r="1046">
          <cell r="A1046">
            <v>798</v>
          </cell>
          <cell r="B1046">
            <v>3924</v>
          </cell>
          <cell r="C1046">
            <v>10782</v>
          </cell>
          <cell r="D1046">
            <v>9446.9235000000008</v>
          </cell>
          <cell r="E1046">
            <v>11378.504999999999</v>
          </cell>
          <cell r="F1046">
            <v>10219.986000000001</v>
          </cell>
        </row>
        <row r="1047">
          <cell r="A1047">
            <v>799</v>
          </cell>
          <cell r="B1047">
            <v>3924</v>
          </cell>
          <cell r="C1047">
            <v>10782</v>
          </cell>
          <cell r="D1047">
            <v>9458.7617499999997</v>
          </cell>
          <cell r="E1047">
            <v>11379.252500000001</v>
          </cell>
          <cell r="F1047">
            <v>10232.793</v>
          </cell>
        </row>
        <row r="1048">
          <cell r="A1048">
            <v>800</v>
          </cell>
          <cell r="B1048">
            <v>3924</v>
          </cell>
          <cell r="C1048">
            <v>10782</v>
          </cell>
          <cell r="D1048">
            <v>9470.6</v>
          </cell>
          <cell r="E1048">
            <v>11380</v>
          </cell>
          <cell r="F1048">
            <v>10245.6</v>
          </cell>
        </row>
        <row r="1049">
          <cell r="A1049">
            <v>801</v>
          </cell>
          <cell r="B1049">
            <v>4099</v>
          </cell>
          <cell r="C1049">
            <v>11147</v>
          </cell>
          <cell r="D1049">
            <v>9482.4382500000011</v>
          </cell>
          <cell r="E1049">
            <v>11745.747499999999</v>
          </cell>
          <cell r="F1049">
            <v>10258.407000000001</v>
          </cell>
        </row>
        <row r="1050">
          <cell r="A1050">
            <v>802</v>
          </cell>
          <cell r="B1050">
            <v>4099</v>
          </cell>
          <cell r="C1050">
            <v>11147</v>
          </cell>
          <cell r="D1050">
            <v>9494.2764999999999</v>
          </cell>
          <cell r="E1050">
            <v>11746.495000000001</v>
          </cell>
          <cell r="F1050">
            <v>10271.214</v>
          </cell>
        </row>
        <row r="1051">
          <cell r="A1051">
            <v>803</v>
          </cell>
          <cell r="B1051">
            <v>4099</v>
          </cell>
          <cell r="C1051">
            <v>11147</v>
          </cell>
          <cell r="D1051">
            <v>9506.1147500000006</v>
          </cell>
          <cell r="E1051">
            <v>11747.2425</v>
          </cell>
          <cell r="F1051">
            <v>10284.021000000001</v>
          </cell>
        </row>
        <row r="1052">
          <cell r="A1052">
            <v>804</v>
          </cell>
          <cell r="B1052">
            <v>4099</v>
          </cell>
          <cell r="C1052">
            <v>11147</v>
          </cell>
          <cell r="D1052">
            <v>9517.9529999999995</v>
          </cell>
          <cell r="E1052">
            <v>11747.99</v>
          </cell>
          <cell r="F1052">
            <v>10296.828</v>
          </cell>
        </row>
        <row r="1053">
          <cell r="A1053">
            <v>805</v>
          </cell>
          <cell r="B1053">
            <v>4099</v>
          </cell>
          <cell r="C1053">
            <v>11147</v>
          </cell>
          <cell r="D1053">
            <v>9529.7912500000002</v>
          </cell>
          <cell r="E1053">
            <v>11748.737499999999</v>
          </cell>
          <cell r="F1053">
            <v>10309.635</v>
          </cell>
        </row>
        <row r="1054">
          <cell r="A1054">
            <v>806</v>
          </cell>
          <cell r="B1054">
            <v>4099</v>
          </cell>
          <cell r="C1054">
            <v>11147</v>
          </cell>
          <cell r="D1054">
            <v>9541.6295000000009</v>
          </cell>
          <cell r="E1054">
            <v>11749.485000000001</v>
          </cell>
          <cell r="F1054">
            <v>10322.442000000001</v>
          </cell>
        </row>
        <row r="1055">
          <cell r="A1055">
            <v>807</v>
          </cell>
          <cell r="B1055">
            <v>4099</v>
          </cell>
          <cell r="C1055">
            <v>11147</v>
          </cell>
          <cell r="D1055">
            <v>9553.4677499999998</v>
          </cell>
          <cell r="E1055">
            <v>11750.2325</v>
          </cell>
          <cell r="F1055">
            <v>10335.249</v>
          </cell>
        </row>
        <row r="1056">
          <cell r="A1056">
            <v>808</v>
          </cell>
          <cell r="B1056">
            <v>4099</v>
          </cell>
          <cell r="C1056">
            <v>11147</v>
          </cell>
          <cell r="D1056">
            <v>9565.3060000000005</v>
          </cell>
          <cell r="E1056">
            <v>11750.98</v>
          </cell>
          <cell r="F1056">
            <v>10348.056</v>
          </cell>
        </row>
        <row r="1057">
          <cell r="A1057">
            <v>809</v>
          </cell>
          <cell r="B1057">
            <v>4099</v>
          </cell>
          <cell r="C1057">
            <v>11147</v>
          </cell>
          <cell r="D1057">
            <v>9577.1442500000012</v>
          </cell>
          <cell r="E1057">
            <v>11751.727500000001</v>
          </cell>
          <cell r="F1057">
            <v>10360.863000000001</v>
          </cell>
        </row>
        <row r="1058">
          <cell r="A1058">
            <v>810</v>
          </cell>
          <cell r="B1058">
            <v>4099</v>
          </cell>
          <cell r="C1058">
            <v>11147</v>
          </cell>
          <cell r="D1058">
            <v>9588.9825000000001</v>
          </cell>
          <cell r="E1058">
            <v>11752.475</v>
          </cell>
          <cell r="F1058">
            <v>10373.67</v>
          </cell>
        </row>
        <row r="1059">
          <cell r="A1059">
            <v>811</v>
          </cell>
          <cell r="B1059">
            <v>4099</v>
          </cell>
          <cell r="C1059">
            <v>11147</v>
          </cell>
          <cell r="D1059">
            <v>9600.8207500000008</v>
          </cell>
          <cell r="E1059">
            <v>11753.2225</v>
          </cell>
          <cell r="F1059">
            <v>10386.477000000001</v>
          </cell>
        </row>
        <row r="1060">
          <cell r="A1060">
            <v>812</v>
          </cell>
          <cell r="B1060">
            <v>4099</v>
          </cell>
          <cell r="C1060">
            <v>11147</v>
          </cell>
          <cell r="D1060">
            <v>9612.6589999999997</v>
          </cell>
          <cell r="E1060">
            <v>11753.97</v>
          </cell>
          <cell r="F1060">
            <v>10399.284</v>
          </cell>
        </row>
        <row r="1061">
          <cell r="A1061">
            <v>813</v>
          </cell>
          <cell r="B1061">
            <v>4099</v>
          </cell>
          <cell r="C1061">
            <v>11147</v>
          </cell>
          <cell r="D1061">
            <v>9624.4972500000003</v>
          </cell>
          <cell r="E1061">
            <v>11754.717500000001</v>
          </cell>
          <cell r="F1061">
            <v>10412.091</v>
          </cell>
        </row>
        <row r="1062">
          <cell r="A1062">
            <v>814</v>
          </cell>
          <cell r="B1062">
            <v>4099</v>
          </cell>
          <cell r="C1062">
            <v>11147</v>
          </cell>
          <cell r="D1062">
            <v>9636.335500000001</v>
          </cell>
          <cell r="E1062">
            <v>11755.465</v>
          </cell>
          <cell r="F1062">
            <v>10424.898000000001</v>
          </cell>
        </row>
        <row r="1063">
          <cell r="A1063">
            <v>815</v>
          </cell>
          <cell r="B1063">
            <v>4099</v>
          </cell>
          <cell r="C1063">
            <v>11147</v>
          </cell>
          <cell r="D1063">
            <v>9648.1737499999999</v>
          </cell>
          <cell r="E1063">
            <v>11756.2125</v>
          </cell>
          <cell r="F1063">
            <v>10437.705</v>
          </cell>
        </row>
        <row r="1064">
          <cell r="A1064">
            <v>816</v>
          </cell>
          <cell r="B1064">
            <v>4099</v>
          </cell>
          <cell r="C1064">
            <v>11147</v>
          </cell>
          <cell r="D1064">
            <v>9660.0120000000006</v>
          </cell>
          <cell r="E1064">
            <v>11756.96</v>
          </cell>
          <cell r="F1064">
            <v>10450.512000000001</v>
          </cell>
        </row>
        <row r="1065">
          <cell r="A1065">
            <v>817</v>
          </cell>
          <cell r="B1065">
            <v>4099</v>
          </cell>
          <cell r="C1065">
            <v>11147</v>
          </cell>
          <cell r="D1065">
            <v>9671.8502499999995</v>
          </cell>
          <cell r="E1065">
            <v>11757.7075</v>
          </cell>
          <cell r="F1065">
            <v>10463.319</v>
          </cell>
        </row>
        <row r="1066">
          <cell r="A1066">
            <v>818</v>
          </cell>
          <cell r="B1066">
            <v>4099</v>
          </cell>
          <cell r="C1066">
            <v>11147</v>
          </cell>
          <cell r="D1066">
            <v>9683.6885000000002</v>
          </cell>
          <cell r="E1066">
            <v>11758.455</v>
          </cell>
          <cell r="F1066">
            <v>10476.126</v>
          </cell>
        </row>
        <row r="1067">
          <cell r="A1067">
            <v>819</v>
          </cell>
          <cell r="B1067">
            <v>4099</v>
          </cell>
          <cell r="C1067">
            <v>11147</v>
          </cell>
          <cell r="D1067">
            <v>9695.5267500000009</v>
          </cell>
          <cell r="E1067">
            <v>11759.202499999999</v>
          </cell>
          <cell r="F1067">
            <v>10488.933000000001</v>
          </cell>
        </row>
        <row r="1068">
          <cell r="A1068">
            <v>820</v>
          </cell>
          <cell r="B1068">
            <v>4099</v>
          </cell>
          <cell r="C1068">
            <v>11147</v>
          </cell>
          <cell r="D1068">
            <v>9707.3649999999998</v>
          </cell>
          <cell r="E1068">
            <v>11759.95</v>
          </cell>
          <cell r="F1068">
            <v>10501.74</v>
          </cell>
        </row>
        <row r="1069">
          <cell r="A1069">
            <v>821</v>
          </cell>
          <cell r="B1069">
            <v>4099</v>
          </cell>
          <cell r="C1069">
            <v>11147</v>
          </cell>
          <cell r="D1069">
            <v>9719.2032500000005</v>
          </cell>
          <cell r="E1069">
            <v>11760.6975</v>
          </cell>
          <cell r="F1069">
            <v>10514.547</v>
          </cell>
        </row>
        <row r="1070">
          <cell r="A1070">
            <v>822</v>
          </cell>
          <cell r="B1070">
            <v>4099</v>
          </cell>
          <cell r="C1070">
            <v>11147</v>
          </cell>
          <cell r="D1070">
            <v>9731.0415000000012</v>
          </cell>
          <cell r="E1070">
            <v>11761.445</v>
          </cell>
          <cell r="F1070">
            <v>10527.354000000001</v>
          </cell>
        </row>
        <row r="1071">
          <cell r="A1071">
            <v>823</v>
          </cell>
          <cell r="B1071">
            <v>4099</v>
          </cell>
          <cell r="C1071">
            <v>11147</v>
          </cell>
          <cell r="D1071">
            <v>9742.8797500000001</v>
          </cell>
          <cell r="E1071">
            <v>11762.192499999999</v>
          </cell>
          <cell r="F1071">
            <v>10540.161</v>
          </cell>
        </row>
        <row r="1072">
          <cell r="A1072">
            <v>824</v>
          </cell>
          <cell r="B1072">
            <v>4099</v>
          </cell>
          <cell r="C1072">
            <v>11147</v>
          </cell>
          <cell r="D1072">
            <v>9754.7180000000008</v>
          </cell>
          <cell r="E1072">
            <v>11762.94</v>
          </cell>
          <cell r="F1072">
            <v>10552.968000000001</v>
          </cell>
        </row>
        <row r="1073">
          <cell r="A1073">
            <v>825</v>
          </cell>
          <cell r="B1073">
            <v>4099</v>
          </cell>
          <cell r="C1073">
            <v>11147</v>
          </cell>
          <cell r="D1073">
            <v>9766.5562499999996</v>
          </cell>
          <cell r="E1073">
            <v>11763.6875</v>
          </cell>
          <cell r="F1073">
            <v>10565.775</v>
          </cell>
        </row>
        <row r="1074">
          <cell r="A1074">
            <v>826</v>
          </cell>
          <cell r="B1074">
            <v>4099</v>
          </cell>
          <cell r="C1074">
            <v>11147</v>
          </cell>
          <cell r="D1074">
            <v>9778.3945000000003</v>
          </cell>
          <cell r="E1074">
            <v>11764.434999999999</v>
          </cell>
          <cell r="F1074">
            <v>10578.582</v>
          </cell>
        </row>
        <row r="1075">
          <cell r="A1075">
            <v>827</v>
          </cell>
          <cell r="B1075">
            <v>4099</v>
          </cell>
          <cell r="C1075">
            <v>11147</v>
          </cell>
          <cell r="D1075">
            <v>9790.232750000001</v>
          </cell>
          <cell r="E1075">
            <v>11765.182500000001</v>
          </cell>
          <cell r="F1075">
            <v>10591.389000000001</v>
          </cell>
        </row>
        <row r="1076">
          <cell r="A1076">
            <v>828</v>
          </cell>
          <cell r="B1076">
            <v>4099</v>
          </cell>
          <cell r="C1076">
            <v>11147</v>
          </cell>
          <cell r="D1076">
            <v>9802.0709999999999</v>
          </cell>
          <cell r="E1076">
            <v>11765.93</v>
          </cell>
          <cell r="F1076">
            <v>10604.196</v>
          </cell>
        </row>
        <row r="1077">
          <cell r="A1077">
            <v>829</v>
          </cell>
          <cell r="B1077">
            <v>4099</v>
          </cell>
          <cell r="C1077">
            <v>11147</v>
          </cell>
          <cell r="D1077">
            <v>9813.9092500000006</v>
          </cell>
          <cell r="E1077">
            <v>11766.6775</v>
          </cell>
          <cell r="F1077">
            <v>10617.003000000001</v>
          </cell>
        </row>
        <row r="1078">
          <cell r="A1078">
            <v>830</v>
          </cell>
          <cell r="B1078">
            <v>4099</v>
          </cell>
          <cell r="C1078">
            <v>11147</v>
          </cell>
          <cell r="D1078">
            <v>9825.7474999999995</v>
          </cell>
          <cell r="E1078">
            <v>11767.424999999999</v>
          </cell>
          <cell r="F1078">
            <v>10629.81</v>
          </cell>
        </row>
        <row r="1079">
          <cell r="A1079">
            <v>831</v>
          </cell>
          <cell r="B1079">
            <v>4099</v>
          </cell>
          <cell r="C1079">
            <v>11147</v>
          </cell>
          <cell r="D1079">
            <v>9837.5857500000002</v>
          </cell>
          <cell r="E1079">
            <v>11768.172500000001</v>
          </cell>
          <cell r="F1079">
            <v>10642.617</v>
          </cell>
        </row>
        <row r="1080">
          <cell r="A1080">
            <v>832</v>
          </cell>
          <cell r="B1080">
            <v>4099</v>
          </cell>
          <cell r="C1080">
            <v>11147</v>
          </cell>
          <cell r="D1080">
            <v>9849.4240000000009</v>
          </cell>
          <cell r="E1080">
            <v>11768.92</v>
          </cell>
          <cell r="F1080">
            <v>10655.424000000001</v>
          </cell>
        </row>
        <row r="1081">
          <cell r="A1081">
            <v>833</v>
          </cell>
          <cell r="B1081">
            <v>4099</v>
          </cell>
          <cell r="C1081">
            <v>11147</v>
          </cell>
          <cell r="D1081">
            <v>9861.2622499999998</v>
          </cell>
          <cell r="E1081">
            <v>11769.6675</v>
          </cell>
          <cell r="F1081">
            <v>10668.231</v>
          </cell>
        </row>
        <row r="1082">
          <cell r="A1082">
            <v>834</v>
          </cell>
          <cell r="B1082">
            <v>4099</v>
          </cell>
          <cell r="C1082">
            <v>11147</v>
          </cell>
          <cell r="D1082">
            <v>9873.1005000000005</v>
          </cell>
          <cell r="E1082">
            <v>11770.415000000001</v>
          </cell>
          <cell r="F1082">
            <v>10681.038</v>
          </cell>
        </row>
        <row r="1083">
          <cell r="A1083">
            <v>835</v>
          </cell>
          <cell r="B1083">
            <v>4099</v>
          </cell>
          <cell r="C1083">
            <v>11147</v>
          </cell>
          <cell r="D1083">
            <v>9884.9387500000012</v>
          </cell>
          <cell r="E1083">
            <v>11771.1625</v>
          </cell>
          <cell r="F1083">
            <v>10693.845000000001</v>
          </cell>
        </row>
        <row r="1084">
          <cell r="A1084">
            <v>836</v>
          </cell>
          <cell r="B1084">
            <v>4099</v>
          </cell>
          <cell r="C1084">
            <v>11147</v>
          </cell>
          <cell r="D1084">
            <v>9896.777</v>
          </cell>
          <cell r="E1084">
            <v>11771.91</v>
          </cell>
          <cell r="F1084">
            <v>10706.652</v>
          </cell>
        </row>
        <row r="1085">
          <cell r="A1085">
            <v>837</v>
          </cell>
          <cell r="B1085">
            <v>4099</v>
          </cell>
          <cell r="C1085">
            <v>11147</v>
          </cell>
          <cell r="D1085">
            <v>9908.6152500000007</v>
          </cell>
          <cell r="E1085">
            <v>11772.657499999999</v>
          </cell>
          <cell r="F1085">
            <v>10719.459000000001</v>
          </cell>
        </row>
        <row r="1086">
          <cell r="A1086">
            <v>838</v>
          </cell>
          <cell r="B1086">
            <v>4099</v>
          </cell>
          <cell r="C1086">
            <v>11147</v>
          </cell>
          <cell r="D1086">
            <v>9920.4534999999996</v>
          </cell>
          <cell r="E1086">
            <v>11773.405000000001</v>
          </cell>
          <cell r="F1086">
            <v>10732.266</v>
          </cell>
        </row>
        <row r="1087">
          <cell r="A1087">
            <v>839</v>
          </cell>
          <cell r="B1087">
            <v>4099</v>
          </cell>
          <cell r="C1087">
            <v>11147</v>
          </cell>
          <cell r="D1087">
            <v>9932.2917500000003</v>
          </cell>
          <cell r="E1087">
            <v>11774.1525</v>
          </cell>
          <cell r="F1087">
            <v>10745.073</v>
          </cell>
        </row>
        <row r="1088">
          <cell r="A1088">
            <v>840</v>
          </cell>
          <cell r="B1088">
            <v>4099</v>
          </cell>
          <cell r="C1088">
            <v>11147</v>
          </cell>
          <cell r="D1088">
            <v>9944.130000000001</v>
          </cell>
          <cell r="E1088">
            <v>11774.9</v>
          </cell>
          <cell r="F1088">
            <v>10757.880000000001</v>
          </cell>
        </row>
        <row r="1089">
          <cell r="A1089">
            <v>841</v>
          </cell>
          <cell r="B1089">
            <v>4274</v>
          </cell>
          <cell r="C1089">
            <v>11512</v>
          </cell>
          <cell r="D1089">
            <v>9955.9682499999999</v>
          </cell>
          <cell r="E1089">
            <v>12140.647499999999</v>
          </cell>
          <cell r="F1089">
            <v>10770.687</v>
          </cell>
        </row>
        <row r="1090">
          <cell r="A1090">
            <v>842</v>
          </cell>
          <cell r="B1090">
            <v>4274</v>
          </cell>
          <cell r="C1090">
            <v>11512</v>
          </cell>
          <cell r="D1090">
            <v>9967.8065000000006</v>
          </cell>
          <cell r="E1090">
            <v>12141.395</v>
          </cell>
          <cell r="F1090">
            <v>10783.494000000001</v>
          </cell>
        </row>
        <row r="1091">
          <cell r="A1091">
            <v>843</v>
          </cell>
          <cell r="B1091">
            <v>4274</v>
          </cell>
          <cell r="C1091">
            <v>11512</v>
          </cell>
          <cell r="D1091">
            <v>9979.6447499999995</v>
          </cell>
          <cell r="E1091">
            <v>12142.1425</v>
          </cell>
          <cell r="F1091">
            <v>10796.300999999999</v>
          </cell>
        </row>
        <row r="1092">
          <cell r="A1092">
            <v>844</v>
          </cell>
          <cell r="B1092">
            <v>4274</v>
          </cell>
          <cell r="C1092">
            <v>11512</v>
          </cell>
          <cell r="D1092">
            <v>9991.4830000000002</v>
          </cell>
          <cell r="E1092">
            <v>12142.89</v>
          </cell>
          <cell r="F1092">
            <v>10809.108</v>
          </cell>
        </row>
        <row r="1093">
          <cell r="A1093">
            <v>845</v>
          </cell>
          <cell r="B1093">
            <v>4274</v>
          </cell>
          <cell r="C1093">
            <v>11512</v>
          </cell>
          <cell r="D1093">
            <v>10003.321250000001</v>
          </cell>
          <cell r="E1093">
            <v>12143.637500000001</v>
          </cell>
          <cell r="F1093">
            <v>10821.915000000001</v>
          </cell>
        </row>
        <row r="1094">
          <cell r="A1094">
            <v>846</v>
          </cell>
          <cell r="B1094">
            <v>4274</v>
          </cell>
          <cell r="C1094">
            <v>11512</v>
          </cell>
          <cell r="D1094">
            <v>10015.1595</v>
          </cell>
          <cell r="E1094">
            <v>12144.385</v>
          </cell>
          <cell r="F1094">
            <v>10834.722</v>
          </cell>
        </row>
        <row r="1095">
          <cell r="A1095">
            <v>847</v>
          </cell>
          <cell r="B1095">
            <v>4274</v>
          </cell>
          <cell r="C1095">
            <v>11512</v>
          </cell>
          <cell r="D1095">
            <v>10026.99775</v>
          </cell>
          <cell r="E1095">
            <v>12145.1325</v>
          </cell>
          <cell r="F1095">
            <v>10847.529</v>
          </cell>
        </row>
        <row r="1096">
          <cell r="A1096">
            <v>848</v>
          </cell>
          <cell r="B1096">
            <v>4274</v>
          </cell>
          <cell r="C1096">
            <v>11512</v>
          </cell>
          <cell r="D1096">
            <v>10038.836000000001</v>
          </cell>
          <cell r="E1096">
            <v>12145.88</v>
          </cell>
          <cell r="F1096">
            <v>10860.336000000001</v>
          </cell>
        </row>
        <row r="1097">
          <cell r="A1097">
            <v>849</v>
          </cell>
          <cell r="B1097">
            <v>4274</v>
          </cell>
          <cell r="C1097">
            <v>11512</v>
          </cell>
          <cell r="D1097">
            <v>10050.67425</v>
          </cell>
          <cell r="E1097">
            <v>12146.627500000001</v>
          </cell>
          <cell r="F1097">
            <v>10873.143</v>
          </cell>
        </row>
        <row r="1098">
          <cell r="A1098">
            <v>850</v>
          </cell>
          <cell r="B1098">
            <v>4274</v>
          </cell>
          <cell r="C1098">
            <v>11512</v>
          </cell>
          <cell r="D1098">
            <v>10062.512500000001</v>
          </cell>
          <cell r="E1098">
            <v>12147.375</v>
          </cell>
          <cell r="F1098">
            <v>10885.95</v>
          </cell>
        </row>
        <row r="1099">
          <cell r="A1099">
            <v>851</v>
          </cell>
          <cell r="B1099">
            <v>4274</v>
          </cell>
          <cell r="C1099">
            <v>11512</v>
          </cell>
          <cell r="D1099">
            <v>10074.35075</v>
          </cell>
          <cell r="E1099">
            <v>12148.122499999999</v>
          </cell>
          <cell r="F1099">
            <v>10898.757</v>
          </cell>
        </row>
        <row r="1100">
          <cell r="A1100">
            <v>852</v>
          </cell>
          <cell r="B1100">
            <v>4274</v>
          </cell>
          <cell r="C1100">
            <v>11512</v>
          </cell>
          <cell r="D1100">
            <v>10086.189</v>
          </cell>
          <cell r="E1100">
            <v>12148.87</v>
          </cell>
          <cell r="F1100">
            <v>10911.564</v>
          </cell>
        </row>
        <row r="1101">
          <cell r="A1101">
            <v>853</v>
          </cell>
          <cell r="B1101">
            <v>4274</v>
          </cell>
          <cell r="C1101">
            <v>11512</v>
          </cell>
          <cell r="D1101">
            <v>10098.027250000001</v>
          </cell>
          <cell r="E1101">
            <v>12149.6175</v>
          </cell>
          <cell r="F1101">
            <v>10924.371000000001</v>
          </cell>
        </row>
        <row r="1102">
          <cell r="A1102">
            <v>854</v>
          </cell>
          <cell r="B1102">
            <v>4274</v>
          </cell>
          <cell r="C1102">
            <v>11512</v>
          </cell>
          <cell r="D1102">
            <v>10109.8655</v>
          </cell>
          <cell r="E1102">
            <v>12150.365</v>
          </cell>
          <cell r="F1102">
            <v>10937.178</v>
          </cell>
        </row>
        <row r="1103">
          <cell r="A1103">
            <v>855</v>
          </cell>
          <cell r="B1103">
            <v>4274</v>
          </cell>
          <cell r="C1103">
            <v>11512</v>
          </cell>
          <cell r="D1103">
            <v>10121.703750000001</v>
          </cell>
          <cell r="E1103">
            <v>12151.112499999999</v>
          </cell>
          <cell r="F1103">
            <v>10949.985000000001</v>
          </cell>
        </row>
        <row r="1104">
          <cell r="A1104">
            <v>856</v>
          </cell>
          <cell r="B1104">
            <v>4274</v>
          </cell>
          <cell r="C1104">
            <v>11512</v>
          </cell>
          <cell r="D1104">
            <v>10133.541999999999</v>
          </cell>
          <cell r="E1104">
            <v>12151.86</v>
          </cell>
          <cell r="F1104">
            <v>10962.791999999999</v>
          </cell>
        </row>
        <row r="1105">
          <cell r="A1105">
            <v>857</v>
          </cell>
          <cell r="B1105">
            <v>4274</v>
          </cell>
          <cell r="C1105">
            <v>11512</v>
          </cell>
          <cell r="D1105">
            <v>10145.38025</v>
          </cell>
          <cell r="E1105">
            <v>12152.6075</v>
          </cell>
          <cell r="F1105">
            <v>10975.599</v>
          </cell>
        </row>
        <row r="1106">
          <cell r="A1106">
            <v>858</v>
          </cell>
          <cell r="B1106">
            <v>4274</v>
          </cell>
          <cell r="C1106">
            <v>11512</v>
          </cell>
          <cell r="D1106">
            <v>10157.218500000001</v>
          </cell>
          <cell r="E1106">
            <v>12153.355</v>
          </cell>
          <cell r="F1106">
            <v>10988.406000000001</v>
          </cell>
        </row>
        <row r="1107">
          <cell r="A1107">
            <v>859</v>
          </cell>
          <cell r="B1107">
            <v>4274</v>
          </cell>
          <cell r="C1107">
            <v>11512</v>
          </cell>
          <cell r="D1107">
            <v>10169.05675</v>
          </cell>
          <cell r="E1107">
            <v>12154.102500000001</v>
          </cell>
          <cell r="F1107">
            <v>11001.213</v>
          </cell>
        </row>
        <row r="1108">
          <cell r="A1108">
            <v>860</v>
          </cell>
          <cell r="B1108">
            <v>4274</v>
          </cell>
          <cell r="C1108">
            <v>11512</v>
          </cell>
          <cell r="D1108">
            <v>10180.895</v>
          </cell>
          <cell r="E1108">
            <v>12154.85</v>
          </cell>
          <cell r="F1108">
            <v>11014.02</v>
          </cell>
        </row>
        <row r="1109">
          <cell r="A1109">
            <v>861</v>
          </cell>
          <cell r="B1109">
            <v>4274</v>
          </cell>
          <cell r="C1109">
            <v>11512</v>
          </cell>
          <cell r="D1109">
            <v>10192.733250000001</v>
          </cell>
          <cell r="E1109">
            <v>12155.5975</v>
          </cell>
          <cell r="F1109">
            <v>11026.827000000001</v>
          </cell>
        </row>
        <row r="1110">
          <cell r="A1110">
            <v>862</v>
          </cell>
          <cell r="B1110">
            <v>4274</v>
          </cell>
          <cell r="C1110">
            <v>11512</v>
          </cell>
          <cell r="D1110">
            <v>10204.5715</v>
          </cell>
          <cell r="E1110">
            <v>12156.344999999999</v>
          </cell>
          <cell r="F1110">
            <v>11039.634</v>
          </cell>
        </row>
        <row r="1111">
          <cell r="A1111">
            <v>863</v>
          </cell>
          <cell r="B1111">
            <v>4274</v>
          </cell>
          <cell r="C1111">
            <v>11512</v>
          </cell>
          <cell r="D1111">
            <v>10216.409750000001</v>
          </cell>
          <cell r="E1111">
            <v>12157.092500000001</v>
          </cell>
          <cell r="F1111">
            <v>11052.441000000001</v>
          </cell>
        </row>
        <row r="1112">
          <cell r="A1112">
            <v>864</v>
          </cell>
          <cell r="B1112">
            <v>4274</v>
          </cell>
          <cell r="C1112">
            <v>11512</v>
          </cell>
          <cell r="D1112">
            <v>10228.248</v>
          </cell>
          <cell r="E1112">
            <v>12157.84</v>
          </cell>
          <cell r="F1112">
            <v>11065.248</v>
          </cell>
        </row>
        <row r="1113">
          <cell r="A1113">
            <v>865</v>
          </cell>
          <cell r="B1113">
            <v>4274</v>
          </cell>
          <cell r="C1113">
            <v>11512</v>
          </cell>
          <cell r="D1113">
            <v>10240.08625</v>
          </cell>
          <cell r="E1113">
            <v>12158.5875</v>
          </cell>
          <cell r="F1113">
            <v>11078.055</v>
          </cell>
        </row>
        <row r="1114">
          <cell r="A1114">
            <v>866</v>
          </cell>
          <cell r="B1114">
            <v>4274</v>
          </cell>
          <cell r="C1114">
            <v>11512</v>
          </cell>
          <cell r="D1114">
            <v>10251.924500000001</v>
          </cell>
          <cell r="E1114">
            <v>12159.334999999999</v>
          </cell>
          <cell r="F1114">
            <v>11090.862000000001</v>
          </cell>
        </row>
        <row r="1115">
          <cell r="A1115">
            <v>867</v>
          </cell>
          <cell r="B1115">
            <v>4274</v>
          </cell>
          <cell r="C1115">
            <v>11512</v>
          </cell>
          <cell r="D1115">
            <v>10263.76275</v>
          </cell>
          <cell r="E1115">
            <v>12160.0825</v>
          </cell>
          <cell r="F1115">
            <v>11103.669</v>
          </cell>
        </row>
        <row r="1116">
          <cell r="A1116">
            <v>868</v>
          </cell>
          <cell r="B1116">
            <v>4274</v>
          </cell>
          <cell r="C1116">
            <v>11512</v>
          </cell>
          <cell r="D1116">
            <v>10275.601000000001</v>
          </cell>
          <cell r="E1116">
            <v>12160.83</v>
          </cell>
          <cell r="F1116">
            <v>11116.476000000001</v>
          </cell>
        </row>
        <row r="1117">
          <cell r="A1117">
            <v>869</v>
          </cell>
          <cell r="B1117">
            <v>4274</v>
          </cell>
          <cell r="C1117">
            <v>11512</v>
          </cell>
          <cell r="D1117">
            <v>10287.439249999999</v>
          </cell>
          <cell r="E1117">
            <v>12161.577499999999</v>
          </cell>
          <cell r="F1117">
            <v>11129.282999999999</v>
          </cell>
        </row>
        <row r="1118">
          <cell r="A1118">
            <v>870</v>
          </cell>
          <cell r="B1118">
            <v>4274</v>
          </cell>
          <cell r="C1118">
            <v>11512</v>
          </cell>
          <cell r="D1118">
            <v>10299.2775</v>
          </cell>
          <cell r="E1118">
            <v>12162.325000000001</v>
          </cell>
          <cell r="F1118">
            <v>11142.09</v>
          </cell>
        </row>
        <row r="1119">
          <cell r="A1119">
            <v>871</v>
          </cell>
          <cell r="B1119">
            <v>4274</v>
          </cell>
          <cell r="C1119">
            <v>11512</v>
          </cell>
          <cell r="D1119">
            <v>10311.115750000001</v>
          </cell>
          <cell r="E1119">
            <v>12163.0725</v>
          </cell>
          <cell r="F1119">
            <v>11154.897000000001</v>
          </cell>
        </row>
        <row r="1120">
          <cell r="A1120">
            <v>872</v>
          </cell>
          <cell r="B1120">
            <v>4274</v>
          </cell>
          <cell r="C1120">
            <v>11512</v>
          </cell>
          <cell r="D1120">
            <v>10322.954</v>
          </cell>
          <cell r="E1120">
            <v>12163.82</v>
          </cell>
          <cell r="F1120">
            <v>11167.704</v>
          </cell>
        </row>
        <row r="1121">
          <cell r="A1121">
            <v>873</v>
          </cell>
          <cell r="B1121">
            <v>4274</v>
          </cell>
          <cell r="C1121">
            <v>11512</v>
          </cell>
          <cell r="D1121">
            <v>10334.79225</v>
          </cell>
          <cell r="E1121">
            <v>12164.567499999999</v>
          </cell>
          <cell r="F1121">
            <v>11180.511</v>
          </cell>
        </row>
        <row r="1122">
          <cell r="A1122">
            <v>874</v>
          </cell>
          <cell r="B1122">
            <v>4274</v>
          </cell>
          <cell r="C1122">
            <v>11512</v>
          </cell>
          <cell r="D1122">
            <v>10346.630500000001</v>
          </cell>
          <cell r="E1122">
            <v>12165.315000000001</v>
          </cell>
          <cell r="F1122">
            <v>11193.318000000001</v>
          </cell>
        </row>
        <row r="1123">
          <cell r="A1123">
            <v>875</v>
          </cell>
          <cell r="B1123">
            <v>4274</v>
          </cell>
          <cell r="C1123">
            <v>11512</v>
          </cell>
          <cell r="D1123">
            <v>10358.46875</v>
          </cell>
          <cell r="E1123">
            <v>12166.0625</v>
          </cell>
          <cell r="F1123">
            <v>11206.125</v>
          </cell>
        </row>
        <row r="1124">
          <cell r="A1124">
            <v>876</v>
          </cell>
          <cell r="B1124">
            <v>4274</v>
          </cell>
          <cell r="C1124">
            <v>11512</v>
          </cell>
          <cell r="D1124">
            <v>10370.307000000001</v>
          </cell>
          <cell r="E1124">
            <v>12166.81</v>
          </cell>
          <cell r="F1124">
            <v>11218.932000000001</v>
          </cell>
        </row>
        <row r="1125">
          <cell r="A1125">
            <v>877</v>
          </cell>
          <cell r="B1125">
            <v>4274</v>
          </cell>
          <cell r="C1125">
            <v>11512</v>
          </cell>
          <cell r="D1125">
            <v>10382.14525</v>
          </cell>
          <cell r="E1125">
            <v>12167.557500000001</v>
          </cell>
          <cell r="F1125">
            <v>11231.739</v>
          </cell>
        </row>
        <row r="1126">
          <cell r="A1126">
            <v>878</v>
          </cell>
          <cell r="B1126">
            <v>4274</v>
          </cell>
          <cell r="C1126">
            <v>11512</v>
          </cell>
          <cell r="D1126">
            <v>10393.9835</v>
          </cell>
          <cell r="E1126">
            <v>12168.305</v>
          </cell>
          <cell r="F1126">
            <v>11244.546</v>
          </cell>
        </row>
        <row r="1127">
          <cell r="A1127">
            <v>879</v>
          </cell>
          <cell r="B1127">
            <v>4274</v>
          </cell>
          <cell r="C1127">
            <v>11512</v>
          </cell>
          <cell r="D1127">
            <v>10405.821750000001</v>
          </cell>
          <cell r="E1127">
            <v>12169.0525</v>
          </cell>
          <cell r="F1127">
            <v>11257.353000000001</v>
          </cell>
        </row>
        <row r="1128">
          <cell r="A1128">
            <v>880</v>
          </cell>
          <cell r="B1128">
            <v>4274</v>
          </cell>
          <cell r="C1128">
            <v>11512</v>
          </cell>
          <cell r="D1128">
            <v>10417.66</v>
          </cell>
          <cell r="E1128">
            <v>12169.8</v>
          </cell>
          <cell r="F1128">
            <v>11270.16</v>
          </cell>
        </row>
        <row r="1129">
          <cell r="A1129">
            <v>881</v>
          </cell>
          <cell r="B1129">
            <v>4449</v>
          </cell>
          <cell r="C1129">
            <v>11877</v>
          </cell>
          <cell r="D1129">
            <v>10429.498250000001</v>
          </cell>
          <cell r="E1129">
            <v>12535.547500000001</v>
          </cell>
          <cell r="F1129">
            <v>11282.967000000001</v>
          </cell>
        </row>
        <row r="1130">
          <cell r="A1130">
            <v>882</v>
          </cell>
          <cell r="B1130">
            <v>4449</v>
          </cell>
          <cell r="C1130">
            <v>11877</v>
          </cell>
          <cell r="D1130">
            <v>10441.336499999999</v>
          </cell>
          <cell r="E1130">
            <v>12536.295</v>
          </cell>
          <cell r="F1130">
            <v>11295.773999999999</v>
          </cell>
        </row>
        <row r="1131">
          <cell r="A1131">
            <v>883</v>
          </cell>
          <cell r="B1131">
            <v>4449</v>
          </cell>
          <cell r="C1131">
            <v>11877</v>
          </cell>
          <cell r="D1131">
            <v>10453.17475</v>
          </cell>
          <cell r="E1131">
            <v>12537.0425</v>
          </cell>
          <cell r="F1131">
            <v>11308.581</v>
          </cell>
        </row>
        <row r="1132">
          <cell r="A1132">
            <v>884</v>
          </cell>
          <cell r="B1132">
            <v>4449</v>
          </cell>
          <cell r="C1132">
            <v>11877</v>
          </cell>
          <cell r="D1132">
            <v>10465.013000000001</v>
          </cell>
          <cell r="E1132">
            <v>12537.79</v>
          </cell>
          <cell r="F1132">
            <v>11321.388000000001</v>
          </cell>
        </row>
        <row r="1133">
          <cell r="A1133">
            <v>885</v>
          </cell>
          <cell r="B1133">
            <v>4449</v>
          </cell>
          <cell r="C1133">
            <v>11877</v>
          </cell>
          <cell r="D1133">
            <v>10476.85125</v>
          </cell>
          <cell r="E1133">
            <v>12538.5375</v>
          </cell>
          <cell r="F1133">
            <v>11334.195</v>
          </cell>
        </row>
        <row r="1134">
          <cell r="A1134">
            <v>886</v>
          </cell>
          <cell r="B1134">
            <v>4449</v>
          </cell>
          <cell r="C1134">
            <v>11877</v>
          </cell>
          <cell r="D1134">
            <v>10488.6895</v>
          </cell>
          <cell r="E1134">
            <v>12539.285</v>
          </cell>
          <cell r="F1134">
            <v>11347.002</v>
          </cell>
        </row>
        <row r="1135">
          <cell r="A1135">
            <v>887</v>
          </cell>
          <cell r="B1135">
            <v>4449</v>
          </cell>
          <cell r="C1135">
            <v>11877</v>
          </cell>
          <cell r="D1135">
            <v>10500.527750000001</v>
          </cell>
          <cell r="E1135">
            <v>12540.032499999999</v>
          </cell>
          <cell r="F1135">
            <v>11359.809000000001</v>
          </cell>
        </row>
        <row r="1136">
          <cell r="A1136">
            <v>888</v>
          </cell>
          <cell r="B1136">
            <v>4449</v>
          </cell>
          <cell r="C1136">
            <v>11877</v>
          </cell>
          <cell r="D1136">
            <v>10512.366</v>
          </cell>
          <cell r="E1136">
            <v>12540.78</v>
          </cell>
          <cell r="F1136">
            <v>11372.616</v>
          </cell>
        </row>
        <row r="1137">
          <cell r="A1137">
            <v>889</v>
          </cell>
          <cell r="B1137">
            <v>4449</v>
          </cell>
          <cell r="C1137">
            <v>11877</v>
          </cell>
          <cell r="D1137">
            <v>10524.204250000001</v>
          </cell>
          <cell r="E1137">
            <v>12541.5275</v>
          </cell>
          <cell r="F1137">
            <v>11385.423000000001</v>
          </cell>
        </row>
        <row r="1138">
          <cell r="A1138">
            <v>890</v>
          </cell>
          <cell r="B1138">
            <v>4449</v>
          </cell>
          <cell r="C1138">
            <v>11877</v>
          </cell>
          <cell r="D1138">
            <v>10536.0425</v>
          </cell>
          <cell r="E1138">
            <v>12542.275</v>
          </cell>
          <cell r="F1138">
            <v>11398.23</v>
          </cell>
        </row>
        <row r="1139">
          <cell r="A1139">
            <v>891</v>
          </cell>
          <cell r="B1139">
            <v>4449</v>
          </cell>
          <cell r="C1139">
            <v>11877</v>
          </cell>
          <cell r="D1139">
            <v>10547.88075</v>
          </cell>
          <cell r="E1139">
            <v>12543.022499999999</v>
          </cell>
          <cell r="F1139">
            <v>11411.037</v>
          </cell>
        </row>
        <row r="1140">
          <cell r="A1140">
            <v>892</v>
          </cell>
          <cell r="B1140">
            <v>4449</v>
          </cell>
          <cell r="C1140">
            <v>11877</v>
          </cell>
          <cell r="D1140">
            <v>10559.719000000001</v>
          </cell>
          <cell r="E1140">
            <v>12543.77</v>
          </cell>
          <cell r="F1140">
            <v>11423.844000000001</v>
          </cell>
        </row>
        <row r="1141">
          <cell r="A1141">
            <v>893</v>
          </cell>
          <cell r="B1141">
            <v>4449</v>
          </cell>
          <cell r="C1141">
            <v>11877</v>
          </cell>
          <cell r="D1141">
            <v>10571.55725</v>
          </cell>
          <cell r="E1141">
            <v>12544.5175</v>
          </cell>
          <cell r="F1141">
            <v>11436.651</v>
          </cell>
        </row>
        <row r="1142">
          <cell r="A1142">
            <v>894</v>
          </cell>
          <cell r="B1142">
            <v>4449</v>
          </cell>
          <cell r="C1142">
            <v>11877</v>
          </cell>
          <cell r="D1142">
            <v>10583.395500000001</v>
          </cell>
          <cell r="E1142">
            <v>12545.264999999999</v>
          </cell>
          <cell r="F1142">
            <v>11449.458000000001</v>
          </cell>
        </row>
        <row r="1143">
          <cell r="A1143">
            <v>895</v>
          </cell>
          <cell r="B1143">
            <v>4449</v>
          </cell>
          <cell r="C1143">
            <v>11877</v>
          </cell>
          <cell r="D1143">
            <v>10595.233750000001</v>
          </cell>
          <cell r="E1143">
            <v>12546.012500000001</v>
          </cell>
          <cell r="F1143">
            <v>11462.265000000001</v>
          </cell>
        </row>
        <row r="1144">
          <cell r="A1144">
            <v>896</v>
          </cell>
          <cell r="B1144">
            <v>4449</v>
          </cell>
          <cell r="C1144">
            <v>11877</v>
          </cell>
          <cell r="D1144">
            <v>10607.072</v>
          </cell>
          <cell r="E1144">
            <v>12546.76</v>
          </cell>
          <cell r="F1144">
            <v>11475.072</v>
          </cell>
        </row>
        <row r="1145">
          <cell r="A1145">
            <v>897</v>
          </cell>
          <cell r="B1145">
            <v>4449</v>
          </cell>
          <cell r="C1145">
            <v>11877</v>
          </cell>
          <cell r="D1145">
            <v>10618.910250000001</v>
          </cell>
          <cell r="E1145">
            <v>12547.5075</v>
          </cell>
          <cell r="F1145">
            <v>11487.879000000001</v>
          </cell>
        </row>
        <row r="1146">
          <cell r="A1146">
            <v>898</v>
          </cell>
          <cell r="B1146">
            <v>4449</v>
          </cell>
          <cell r="C1146">
            <v>11877</v>
          </cell>
          <cell r="D1146">
            <v>10630.7485</v>
          </cell>
          <cell r="E1146">
            <v>12548.254999999999</v>
          </cell>
          <cell r="F1146">
            <v>11500.686</v>
          </cell>
        </row>
        <row r="1147">
          <cell r="A1147">
            <v>899</v>
          </cell>
          <cell r="B1147">
            <v>4449</v>
          </cell>
          <cell r="C1147">
            <v>11877</v>
          </cell>
          <cell r="D1147">
            <v>10642.58675</v>
          </cell>
          <cell r="E1147">
            <v>12549.002500000001</v>
          </cell>
          <cell r="F1147">
            <v>11513.493</v>
          </cell>
        </row>
        <row r="1148">
          <cell r="A1148">
            <v>900</v>
          </cell>
          <cell r="B1148">
            <v>4449</v>
          </cell>
          <cell r="C1148">
            <v>11877</v>
          </cell>
          <cell r="D1148">
            <v>10654.425000000001</v>
          </cell>
          <cell r="E1148">
            <v>12549.75</v>
          </cell>
          <cell r="F1148">
            <v>11526.300000000001</v>
          </cell>
        </row>
        <row r="1149">
          <cell r="A1149">
            <v>901</v>
          </cell>
          <cell r="B1149">
            <v>4449</v>
          </cell>
          <cell r="C1149">
            <v>11877</v>
          </cell>
          <cell r="D1149">
            <v>10666.26325</v>
          </cell>
          <cell r="E1149">
            <v>12550.497499999999</v>
          </cell>
          <cell r="F1149">
            <v>11539.107</v>
          </cell>
        </row>
        <row r="1150">
          <cell r="A1150">
            <v>902</v>
          </cell>
          <cell r="B1150">
            <v>4449</v>
          </cell>
          <cell r="C1150">
            <v>11877</v>
          </cell>
          <cell r="D1150">
            <v>10678.101500000001</v>
          </cell>
          <cell r="E1150">
            <v>12551.245000000001</v>
          </cell>
          <cell r="F1150">
            <v>11551.914000000001</v>
          </cell>
        </row>
        <row r="1151">
          <cell r="A1151">
            <v>903</v>
          </cell>
          <cell r="B1151">
            <v>4449</v>
          </cell>
          <cell r="C1151">
            <v>11877</v>
          </cell>
          <cell r="D1151">
            <v>10689.93975</v>
          </cell>
          <cell r="E1151">
            <v>12551.9925</v>
          </cell>
          <cell r="F1151">
            <v>11564.721</v>
          </cell>
        </row>
        <row r="1152">
          <cell r="A1152">
            <v>904</v>
          </cell>
          <cell r="B1152">
            <v>4449</v>
          </cell>
          <cell r="C1152">
            <v>11877</v>
          </cell>
          <cell r="D1152">
            <v>10701.778</v>
          </cell>
          <cell r="E1152">
            <v>12552.74</v>
          </cell>
          <cell r="F1152">
            <v>11577.528</v>
          </cell>
        </row>
        <row r="1153">
          <cell r="A1153">
            <v>905</v>
          </cell>
          <cell r="B1153">
            <v>4449</v>
          </cell>
          <cell r="C1153">
            <v>11877</v>
          </cell>
          <cell r="D1153">
            <v>10713.616250000001</v>
          </cell>
          <cell r="E1153">
            <v>12553.487499999999</v>
          </cell>
          <cell r="F1153">
            <v>11590.335000000001</v>
          </cell>
        </row>
        <row r="1154">
          <cell r="A1154">
            <v>906</v>
          </cell>
          <cell r="B1154">
            <v>4449</v>
          </cell>
          <cell r="C1154">
            <v>11877</v>
          </cell>
          <cell r="D1154">
            <v>10725.4545</v>
          </cell>
          <cell r="E1154">
            <v>12554.235000000001</v>
          </cell>
          <cell r="F1154">
            <v>11603.142</v>
          </cell>
        </row>
        <row r="1155">
          <cell r="A1155">
            <v>907</v>
          </cell>
          <cell r="B1155">
            <v>4449</v>
          </cell>
          <cell r="C1155">
            <v>11877</v>
          </cell>
          <cell r="D1155">
            <v>10737.292750000001</v>
          </cell>
          <cell r="E1155">
            <v>12554.9825</v>
          </cell>
          <cell r="F1155">
            <v>11615.949000000001</v>
          </cell>
        </row>
        <row r="1156">
          <cell r="A1156">
            <v>908</v>
          </cell>
          <cell r="B1156">
            <v>4449</v>
          </cell>
          <cell r="C1156">
            <v>11877</v>
          </cell>
          <cell r="D1156">
            <v>10749.131000000001</v>
          </cell>
          <cell r="E1156">
            <v>12555.73</v>
          </cell>
          <cell r="F1156">
            <v>11628.756000000001</v>
          </cell>
        </row>
        <row r="1157">
          <cell r="A1157">
            <v>909</v>
          </cell>
          <cell r="B1157">
            <v>4449</v>
          </cell>
          <cell r="C1157">
            <v>11877</v>
          </cell>
          <cell r="D1157">
            <v>10760.96925</v>
          </cell>
          <cell r="E1157">
            <v>12556.477500000001</v>
          </cell>
          <cell r="F1157">
            <v>11641.563</v>
          </cell>
        </row>
        <row r="1158">
          <cell r="A1158">
            <v>910</v>
          </cell>
          <cell r="B1158">
            <v>4449</v>
          </cell>
          <cell r="C1158">
            <v>11877</v>
          </cell>
          <cell r="D1158">
            <v>10772.807500000001</v>
          </cell>
          <cell r="E1158">
            <v>12557.225</v>
          </cell>
          <cell r="F1158">
            <v>11654.37</v>
          </cell>
        </row>
        <row r="1159">
          <cell r="A1159">
            <v>911</v>
          </cell>
          <cell r="B1159">
            <v>4449</v>
          </cell>
          <cell r="C1159">
            <v>11877</v>
          </cell>
          <cell r="D1159">
            <v>10784.64575</v>
          </cell>
          <cell r="E1159">
            <v>12557.9725</v>
          </cell>
          <cell r="F1159">
            <v>11667.177</v>
          </cell>
        </row>
        <row r="1160">
          <cell r="A1160">
            <v>912</v>
          </cell>
          <cell r="B1160">
            <v>4449</v>
          </cell>
          <cell r="C1160">
            <v>11877</v>
          </cell>
          <cell r="D1160">
            <v>10796.484</v>
          </cell>
          <cell r="E1160">
            <v>12558.72</v>
          </cell>
          <cell r="F1160">
            <v>11679.984</v>
          </cell>
        </row>
        <row r="1161">
          <cell r="A1161">
            <v>913</v>
          </cell>
          <cell r="B1161">
            <v>4449</v>
          </cell>
          <cell r="C1161">
            <v>11877</v>
          </cell>
          <cell r="D1161">
            <v>10808.322250000001</v>
          </cell>
          <cell r="E1161">
            <v>12559.467500000001</v>
          </cell>
          <cell r="F1161">
            <v>11692.791000000001</v>
          </cell>
        </row>
        <row r="1162">
          <cell r="A1162">
            <v>914</v>
          </cell>
          <cell r="B1162">
            <v>4449</v>
          </cell>
          <cell r="C1162">
            <v>11877</v>
          </cell>
          <cell r="D1162">
            <v>10820.1605</v>
          </cell>
          <cell r="E1162">
            <v>12560.215</v>
          </cell>
          <cell r="F1162">
            <v>11705.598</v>
          </cell>
        </row>
        <row r="1163">
          <cell r="A1163">
            <v>915</v>
          </cell>
          <cell r="B1163">
            <v>4449</v>
          </cell>
          <cell r="C1163">
            <v>11877</v>
          </cell>
          <cell r="D1163">
            <v>10831.998750000001</v>
          </cell>
          <cell r="E1163">
            <v>12560.9625</v>
          </cell>
          <cell r="F1163">
            <v>11718.405000000001</v>
          </cell>
        </row>
        <row r="1164">
          <cell r="A1164">
            <v>916</v>
          </cell>
          <cell r="B1164">
            <v>4449</v>
          </cell>
          <cell r="C1164">
            <v>11877</v>
          </cell>
          <cell r="D1164">
            <v>10843.837</v>
          </cell>
          <cell r="E1164">
            <v>12561.71</v>
          </cell>
          <cell r="F1164">
            <v>11731.212</v>
          </cell>
        </row>
        <row r="1165">
          <cell r="A1165">
            <v>917</v>
          </cell>
          <cell r="B1165">
            <v>4449</v>
          </cell>
          <cell r="C1165">
            <v>11877</v>
          </cell>
          <cell r="D1165">
            <v>10855.67525</v>
          </cell>
          <cell r="E1165">
            <v>12562.4575</v>
          </cell>
          <cell r="F1165">
            <v>11744.019</v>
          </cell>
        </row>
        <row r="1166">
          <cell r="A1166">
            <v>918</v>
          </cell>
          <cell r="B1166">
            <v>4449</v>
          </cell>
          <cell r="C1166">
            <v>11877</v>
          </cell>
          <cell r="D1166">
            <v>10867.513500000001</v>
          </cell>
          <cell r="E1166">
            <v>12563.205</v>
          </cell>
          <cell r="F1166">
            <v>11756.826000000001</v>
          </cell>
        </row>
        <row r="1167">
          <cell r="A1167">
            <v>919</v>
          </cell>
          <cell r="B1167">
            <v>4449</v>
          </cell>
          <cell r="C1167">
            <v>11877</v>
          </cell>
          <cell r="D1167">
            <v>10879.35175</v>
          </cell>
          <cell r="E1167">
            <v>12563.952499999999</v>
          </cell>
          <cell r="F1167">
            <v>11769.633</v>
          </cell>
        </row>
        <row r="1168">
          <cell r="A1168">
            <v>920</v>
          </cell>
          <cell r="B1168">
            <v>4449</v>
          </cell>
          <cell r="C1168">
            <v>11877</v>
          </cell>
          <cell r="D1168">
            <v>10891.19</v>
          </cell>
          <cell r="E1168">
            <v>12564.7</v>
          </cell>
          <cell r="F1168">
            <v>11782.44</v>
          </cell>
        </row>
        <row r="1169">
          <cell r="A1169">
            <v>921</v>
          </cell>
          <cell r="B1169">
            <v>4624</v>
          </cell>
          <cell r="C1169">
            <v>12242</v>
          </cell>
          <cell r="D1169">
            <v>10903.028250000001</v>
          </cell>
          <cell r="E1169">
            <v>12930.4475</v>
          </cell>
          <cell r="F1169">
            <v>11795.247000000001</v>
          </cell>
        </row>
        <row r="1170">
          <cell r="A1170">
            <v>922</v>
          </cell>
          <cell r="B1170">
            <v>4624</v>
          </cell>
          <cell r="C1170">
            <v>12242</v>
          </cell>
          <cell r="D1170">
            <v>10914.8665</v>
          </cell>
          <cell r="E1170">
            <v>12931.195</v>
          </cell>
          <cell r="F1170">
            <v>11808.054</v>
          </cell>
        </row>
        <row r="1171">
          <cell r="A1171">
            <v>923</v>
          </cell>
          <cell r="B1171">
            <v>4624</v>
          </cell>
          <cell r="C1171">
            <v>12242</v>
          </cell>
          <cell r="D1171">
            <v>10926.704750000001</v>
          </cell>
          <cell r="E1171">
            <v>12931.942499999999</v>
          </cell>
          <cell r="F1171">
            <v>11820.861000000001</v>
          </cell>
        </row>
        <row r="1172">
          <cell r="A1172">
            <v>924</v>
          </cell>
          <cell r="B1172">
            <v>4624</v>
          </cell>
          <cell r="C1172">
            <v>12242</v>
          </cell>
          <cell r="D1172">
            <v>10938.543</v>
          </cell>
          <cell r="E1172">
            <v>12932.69</v>
          </cell>
          <cell r="F1172">
            <v>11833.668</v>
          </cell>
        </row>
        <row r="1173">
          <cell r="A1173">
            <v>925</v>
          </cell>
          <cell r="B1173">
            <v>4624</v>
          </cell>
          <cell r="C1173">
            <v>12242</v>
          </cell>
          <cell r="D1173">
            <v>10950.38125</v>
          </cell>
          <cell r="E1173">
            <v>12933.4375</v>
          </cell>
          <cell r="F1173">
            <v>11846.475</v>
          </cell>
        </row>
        <row r="1174">
          <cell r="A1174">
            <v>926</v>
          </cell>
          <cell r="B1174">
            <v>4624</v>
          </cell>
          <cell r="C1174">
            <v>12242</v>
          </cell>
          <cell r="D1174">
            <v>10962.219500000001</v>
          </cell>
          <cell r="E1174">
            <v>12934.184999999999</v>
          </cell>
          <cell r="F1174">
            <v>11859.282000000001</v>
          </cell>
        </row>
        <row r="1175">
          <cell r="A1175">
            <v>927</v>
          </cell>
          <cell r="B1175">
            <v>4624</v>
          </cell>
          <cell r="C1175">
            <v>12242</v>
          </cell>
          <cell r="D1175">
            <v>10974.05775</v>
          </cell>
          <cell r="E1175">
            <v>12934.932499999999</v>
          </cell>
          <cell r="F1175">
            <v>11872.089</v>
          </cell>
        </row>
        <row r="1176">
          <cell r="A1176">
            <v>928</v>
          </cell>
          <cell r="B1176">
            <v>4624</v>
          </cell>
          <cell r="C1176">
            <v>12242</v>
          </cell>
          <cell r="D1176">
            <v>10985.896000000001</v>
          </cell>
          <cell r="E1176">
            <v>12935.68</v>
          </cell>
          <cell r="F1176">
            <v>11884.896000000001</v>
          </cell>
        </row>
        <row r="1177">
          <cell r="A1177">
            <v>929</v>
          </cell>
          <cell r="B1177">
            <v>4624</v>
          </cell>
          <cell r="C1177">
            <v>12242</v>
          </cell>
          <cell r="D1177">
            <v>10997.73425</v>
          </cell>
          <cell r="E1177">
            <v>12936.4275</v>
          </cell>
          <cell r="F1177">
            <v>11897.703</v>
          </cell>
        </row>
        <row r="1178">
          <cell r="A1178">
            <v>930</v>
          </cell>
          <cell r="B1178">
            <v>4624</v>
          </cell>
          <cell r="C1178">
            <v>12242</v>
          </cell>
          <cell r="D1178">
            <v>11009.5725</v>
          </cell>
          <cell r="E1178">
            <v>12937.174999999999</v>
          </cell>
          <cell r="F1178">
            <v>11910.51</v>
          </cell>
        </row>
        <row r="1179">
          <cell r="A1179">
            <v>931</v>
          </cell>
          <cell r="B1179">
            <v>4624</v>
          </cell>
          <cell r="C1179">
            <v>12242</v>
          </cell>
          <cell r="D1179">
            <v>11021.410750000001</v>
          </cell>
          <cell r="E1179">
            <v>12937.922500000001</v>
          </cell>
          <cell r="F1179">
            <v>11923.317000000001</v>
          </cell>
        </row>
        <row r="1180">
          <cell r="A1180">
            <v>932</v>
          </cell>
          <cell r="B1180">
            <v>4624</v>
          </cell>
          <cell r="C1180">
            <v>12242</v>
          </cell>
          <cell r="D1180">
            <v>11033.249</v>
          </cell>
          <cell r="E1180">
            <v>12938.67</v>
          </cell>
          <cell r="F1180">
            <v>11936.124</v>
          </cell>
        </row>
        <row r="1181">
          <cell r="A1181">
            <v>933</v>
          </cell>
          <cell r="B1181">
            <v>4624</v>
          </cell>
          <cell r="C1181">
            <v>12242</v>
          </cell>
          <cell r="D1181">
            <v>11045.08725</v>
          </cell>
          <cell r="E1181">
            <v>12939.4175</v>
          </cell>
          <cell r="F1181">
            <v>11948.931</v>
          </cell>
        </row>
        <row r="1182">
          <cell r="A1182">
            <v>934</v>
          </cell>
          <cell r="B1182">
            <v>4624</v>
          </cell>
          <cell r="C1182">
            <v>12242</v>
          </cell>
          <cell r="D1182">
            <v>11056.925500000001</v>
          </cell>
          <cell r="E1182">
            <v>12940.165000000001</v>
          </cell>
          <cell r="F1182">
            <v>11961.738000000001</v>
          </cell>
        </row>
        <row r="1183">
          <cell r="A1183">
            <v>935</v>
          </cell>
          <cell r="B1183">
            <v>4624</v>
          </cell>
          <cell r="C1183">
            <v>12242</v>
          </cell>
          <cell r="D1183">
            <v>11068.76375</v>
          </cell>
          <cell r="E1183">
            <v>12940.9125</v>
          </cell>
          <cell r="F1183">
            <v>11974.545</v>
          </cell>
        </row>
        <row r="1184">
          <cell r="A1184">
            <v>936</v>
          </cell>
          <cell r="B1184">
            <v>4624</v>
          </cell>
          <cell r="C1184">
            <v>12242</v>
          </cell>
          <cell r="D1184">
            <v>11080.602000000001</v>
          </cell>
          <cell r="E1184">
            <v>12941.66</v>
          </cell>
          <cell r="F1184">
            <v>11987.352000000001</v>
          </cell>
        </row>
        <row r="1185">
          <cell r="A1185">
            <v>937</v>
          </cell>
          <cell r="B1185">
            <v>4624</v>
          </cell>
          <cell r="C1185">
            <v>12242</v>
          </cell>
          <cell r="D1185">
            <v>11092.44025</v>
          </cell>
          <cell r="E1185">
            <v>12942.407499999999</v>
          </cell>
          <cell r="F1185">
            <v>12000.159</v>
          </cell>
        </row>
        <row r="1186">
          <cell r="A1186">
            <v>938</v>
          </cell>
          <cell r="B1186">
            <v>4624</v>
          </cell>
          <cell r="C1186">
            <v>12242</v>
          </cell>
          <cell r="D1186">
            <v>11104.2785</v>
          </cell>
          <cell r="E1186">
            <v>12943.155000000001</v>
          </cell>
          <cell r="F1186">
            <v>12012.966</v>
          </cell>
        </row>
        <row r="1187">
          <cell r="A1187">
            <v>939</v>
          </cell>
          <cell r="B1187">
            <v>4624</v>
          </cell>
          <cell r="C1187">
            <v>12242</v>
          </cell>
          <cell r="D1187">
            <v>11116.116750000001</v>
          </cell>
          <cell r="E1187">
            <v>12943.9025</v>
          </cell>
          <cell r="F1187">
            <v>12025.773000000001</v>
          </cell>
        </row>
        <row r="1188">
          <cell r="A1188">
            <v>940</v>
          </cell>
          <cell r="B1188">
            <v>4624</v>
          </cell>
          <cell r="C1188">
            <v>12242</v>
          </cell>
          <cell r="D1188">
            <v>11127.955</v>
          </cell>
          <cell r="E1188">
            <v>12944.65</v>
          </cell>
          <cell r="F1188">
            <v>12038.58</v>
          </cell>
        </row>
        <row r="1189">
          <cell r="A1189">
            <v>941</v>
          </cell>
          <cell r="B1189">
            <v>4624</v>
          </cell>
          <cell r="C1189">
            <v>12242</v>
          </cell>
          <cell r="D1189">
            <v>11139.793250000001</v>
          </cell>
          <cell r="E1189">
            <v>12945.397499999999</v>
          </cell>
          <cell r="F1189">
            <v>12051.387000000001</v>
          </cell>
        </row>
        <row r="1190">
          <cell r="A1190">
            <v>942</v>
          </cell>
          <cell r="B1190">
            <v>4624</v>
          </cell>
          <cell r="C1190">
            <v>12242</v>
          </cell>
          <cell r="D1190">
            <v>11151.6315</v>
          </cell>
          <cell r="E1190">
            <v>12946.145</v>
          </cell>
          <cell r="F1190">
            <v>12064.194</v>
          </cell>
        </row>
        <row r="1191">
          <cell r="A1191">
            <v>943</v>
          </cell>
          <cell r="B1191">
            <v>4624</v>
          </cell>
          <cell r="C1191">
            <v>12242</v>
          </cell>
          <cell r="D1191">
            <v>11163.46975</v>
          </cell>
          <cell r="E1191">
            <v>12946.8925</v>
          </cell>
          <cell r="F1191">
            <v>12077.001</v>
          </cell>
        </row>
        <row r="1192">
          <cell r="A1192">
            <v>944</v>
          </cell>
          <cell r="B1192">
            <v>4624</v>
          </cell>
          <cell r="C1192">
            <v>12242</v>
          </cell>
          <cell r="D1192">
            <v>11175.308000000001</v>
          </cell>
          <cell r="E1192">
            <v>12947.64</v>
          </cell>
          <cell r="F1192">
            <v>12089.808000000001</v>
          </cell>
        </row>
        <row r="1193">
          <cell r="A1193">
            <v>945</v>
          </cell>
          <cell r="B1193">
            <v>4624</v>
          </cell>
          <cell r="C1193">
            <v>12242</v>
          </cell>
          <cell r="D1193">
            <v>11187.14625</v>
          </cell>
          <cell r="E1193">
            <v>12948.387500000001</v>
          </cell>
          <cell r="F1193">
            <v>12102.615</v>
          </cell>
        </row>
        <row r="1194">
          <cell r="A1194">
            <v>946</v>
          </cell>
          <cell r="B1194">
            <v>4624</v>
          </cell>
          <cell r="C1194">
            <v>12242</v>
          </cell>
          <cell r="D1194">
            <v>11198.9845</v>
          </cell>
          <cell r="E1194">
            <v>12949.135</v>
          </cell>
          <cell r="F1194">
            <v>12115.422</v>
          </cell>
        </row>
        <row r="1195">
          <cell r="A1195">
            <v>947</v>
          </cell>
          <cell r="B1195">
            <v>4624</v>
          </cell>
          <cell r="C1195">
            <v>12242</v>
          </cell>
          <cell r="D1195">
            <v>11210.822750000001</v>
          </cell>
          <cell r="E1195">
            <v>12949.8825</v>
          </cell>
          <cell r="F1195">
            <v>12128.229000000001</v>
          </cell>
        </row>
        <row r="1196">
          <cell r="A1196">
            <v>948</v>
          </cell>
          <cell r="B1196">
            <v>4624</v>
          </cell>
          <cell r="C1196">
            <v>12242</v>
          </cell>
          <cell r="D1196">
            <v>11222.661</v>
          </cell>
          <cell r="E1196">
            <v>12950.63</v>
          </cell>
          <cell r="F1196">
            <v>12141.036</v>
          </cell>
        </row>
        <row r="1197">
          <cell r="A1197">
            <v>949</v>
          </cell>
          <cell r="B1197">
            <v>4624</v>
          </cell>
          <cell r="C1197">
            <v>12242</v>
          </cell>
          <cell r="D1197">
            <v>11234.499250000001</v>
          </cell>
          <cell r="E1197">
            <v>12951.377500000001</v>
          </cell>
          <cell r="F1197">
            <v>12153.843000000001</v>
          </cell>
        </row>
        <row r="1198">
          <cell r="A1198">
            <v>950</v>
          </cell>
          <cell r="B1198">
            <v>4624</v>
          </cell>
          <cell r="C1198">
            <v>12242</v>
          </cell>
          <cell r="D1198">
            <v>11246.3375</v>
          </cell>
          <cell r="E1198">
            <v>12952.125</v>
          </cell>
          <cell r="F1198">
            <v>12166.65</v>
          </cell>
        </row>
        <row r="1199">
          <cell r="A1199">
            <v>951</v>
          </cell>
          <cell r="B1199">
            <v>4624</v>
          </cell>
          <cell r="C1199">
            <v>12242</v>
          </cell>
          <cell r="D1199">
            <v>11258.17575</v>
          </cell>
          <cell r="E1199">
            <v>12952.872499999999</v>
          </cell>
          <cell r="F1199">
            <v>12179.457</v>
          </cell>
        </row>
        <row r="1200">
          <cell r="A1200">
            <v>952</v>
          </cell>
          <cell r="B1200">
            <v>4624</v>
          </cell>
          <cell r="C1200">
            <v>12242</v>
          </cell>
          <cell r="D1200">
            <v>11270.014000000001</v>
          </cell>
          <cell r="E1200">
            <v>12953.619999999999</v>
          </cell>
          <cell r="F1200">
            <v>12192.264000000001</v>
          </cell>
        </row>
        <row r="1201">
          <cell r="A1201">
            <v>953</v>
          </cell>
          <cell r="B1201">
            <v>4624</v>
          </cell>
          <cell r="C1201">
            <v>12242</v>
          </cell>
          <cell r="D1201">
            <v>11281.85225</v>
          </cell>
          <cell r="E1201">
            <v>12954.3675</v>
          </cell>
          <cell r="F1201">
            <v>12205.071</v>
          </cell>
        </row>
        <row r="1202">
          <cell r="A1202">
            <v>954</v>
          </cell>
          <cell r="B1202">
            <v>4624</v>
          </cell>
          <cell r="C1202">
            <v>12242</v>
          </cell>
          <cell r="D1202">
            <v>11293.690500000001</v>
          </cell>
          <cell r="E1202">
            <v>12955.115</v>
          </cell>
          <cell r="F1202">
            <v>12217.878000000001</v>
          </cell>
        </row>
        <row r="1203">
          <cell r="A1203">
            <v>955</v>
          </cell>
          <cell r="B1203">
            <v>4624</v>
          </cell>
          <cell r="C1203">
            <v>12242</v>
          </cell>
          <cell r="D1203">
            <v>11305.528749999999</v>
          </cell>
          <cell r="E1203">
            <v>12955.862499999999</v>
          </cell>
          <cell r="F1203">
            <v>12230.684999999999</v>
          </cell>
        </row>
        <row r="1204">
          <cell r="A1204">
            <v>956</v>
          </cell>
          <cell r="B1204">
            <v>4624</v>
          </cell>
          <cell r="C1204">
            <v>12242</v>
          </cell>
          <cell r="D1204">
            <v>11317.367</v>
          </cell>
          <cell r="E1204">
            <v>12956.61</v>
          </cell>
          <cell r="F1204">
            <v>12243.492</v>
          </cell>
        </row>
        <row r="1205">
          <cell r="A1205">
            <v>957</v>
          </cell>
          <cell r="B1205">
            <v>4624</v>
          </cell>
          <cell r="C1205">
            <v>12242</v>
          </cell>
          <cell r="D1205">
            <v>11329.205250000001</v>
          </cell>
          <cell r="E1205">
            <v>12957.3575</v>
          </cell>
          <cell r="F1205">
            <v>12256.299000000001</v>
          </cell>
        </row>
        <row r="1206">
          <cell r="A1206">
            <v>958</v>
          </cell>
          <cell r="B1206">
            <v>4624</v>
          </cell>
          <cell r="C1206">
            <v>12242</v>
          </cell>
          <cell r="D1206">
            <v>11341.0435</v>
          </cell>
          <cell r="E1206">
            <v>12958.105</v>
          </cell>
          <cell r="F1206">
            <v>12269.106</v>
          </cell>
        </row>
        <row r="1207">
          <cell r="A1207">
            <v>959</v>
          </cell>
          <cell r="B1207">
            <v>4624</v>
          </cell>
          <cell r="C1207">
            <v>12242</v>
          </cell>
          <cell r="D1207">
            <v>11352.88175</v>
          </cell>
          <cell r="E1207">
            <v>12958.852500000001</v>
          </cell>
          <cell r="F1207">
            <v>12281.913</v>
          </cell>
        </row>
        <row r="1208">
          <cell r="A1208">
            <v>960</v>
          </cell>
          <cell r="B1208">
            <v>4624</v>
          </cell>
          <cell r="C1208">
            <v>12242</v>
          </cell>
          <cell r="D1208">
            <v>11364.720000000001</v>
          </cell>
          <cell r="E1208">
            <v>12959.6</v>
          </cell>
          <cell r="F1208">
            <v>12294.720000000001</v>
          </cell>
        </row>
        <row r="1209">
          <cell r="A1209">
            <v>961</v>
          </cell>
          <cell r="B1209">
            <v>4799</v>
          </cell>
          <cell r="C1209">
            <v>12607</v>
          </cell>
          <cell r="D1209">
            <v>11376.55825</v>
          </cell>
          <cell r="E1209">
            <v>13325.3475</v>
          </cell>
          <cell r="F1209">
            <v>12307.527</v>
          </cell>
        </row>
        <row r="1210">
          <cell r="A1210">
            <v>962</v>
          </cell>
          <cell r="B1210">
            <v>4799</v>
          </cell>
          <cell r="C1210">
            <v>12607</v>
          </cell>
          <cell r="D1210">
            <v>11388.396500000001</v>
          </cell>
          <cell r="E1210">
            <v>13326.094999999999</v>
          </cell>
          <cell r="F1210">
            <v>12320.334000000001</v>
          </cell>
        </row>
        <row r="1211">
          <cell r="A1211">
            <v>963</v>
          </cell>
          <cell r="B1211">
            <v>4799</v>
          </cell>
          <cell r="C1211">
            <v>12607</v>
          </cell>
          <cell r="D1211">
            <v>11400.23475</v>
          </cell>
          <cell r="E1211">
            <v>13326.842500000001</v>
          </cell>
          <cell r="F1211">
            <v>12333.141</v>
          </cell>
        </row>
        <row r="1212">
          <cell r="A1212">
            <v>964</v>
          </cell>
          <cell r="B1212">
            <v>4799</v>
          </cell>
          <cell r="C1212">
            <v>12607</v>
          </cell>
          <cell r="D1212">
            <v>11412.073</v>
          </cell>
          <cell r="E1212">
            <v>13327.59</v>
          </cell>
          <cell r="F1212">
            <v>12345.948</v>
          </cell>
        </row>
        <row r="1213">
          <cell r="A1213">
            <v>965</v>
          </cell>
          <cell r="B1213">
            <v>4799</v>
          </cell>
          <cell r="C1213">
            <v>12607</v>
          </cell>
          <cell r="D1213">
            <v>11423.911250000001</v>
          </cell>
          <cell r="E1213">
            <v>13328.3375</v>
          </cell>
          <cell r="F1213">
            <v>12358.755000000001</v>
          </cell>
        </row>
        <row r="1214">
          <cell r="A1214">
            <v>966</v>
          </cell>
          <cell r="B1214">
            <v>4799</v>
          </cell>
          <cell r="C1214">
            <v>12607</v>
          </cell>
          <cell r="D1214">
            <v>11435.7495</v>
          </cell>
          <cell r="E1214">
            <v>13329.084999999999</v>
          </cell>
          <cell r="F1214">
            <v>12371.562</v>
          </cell>
        </row>
        <row r="1215">
          <cell r="A1215">
            <v>967</v>
          </cell>
          <cell r="B1215">
            <v>4799</v>
          </cell>
          <cell r="C1215">
            <v>12607</v>
          </cell>
          <cell r="D1215">
            <v>11447.587750000001</v>
          </cell>
          <cell r="E1215">
            <v>13329.8325</v>
          </cell>
          <cell r="F1215">
            <v>12384.369000000001</v>
          </cell>
        </row>
        <row r="1216">
          <cell r="A1216">
            <v>968</v>
          </cell>
          <cell r="B1216">
            <v>4799</v>
          </cell>
          <cell r="C1216">
            <v>12607</v>
          </cell>
          <cell r="D1216">
            <v>11459.425999999999</v>
          </cell>
          <cell r="E1216">
            <v>13330.58</v>
          </cell>
          <cell r="F1216">
            <v>12397.175999999999</v>
          </cell>
        </row>
        <row r="1217">
          <cell r="A1217">
            <v>969</v>
          </cell>
          <cell r="B1217">
            <v>4799</v>
          </cell>
          <cell r="C1217">
            <v>12607</v>
          </cell>
          <cell r="D1217">
            <v>11471.26425</v>
          </cell>
          <cell r="E1217">
            <v>13331.327499999999</v>
          </cell>
          <cell r="F1217">
            <v>12409.983</v>
          </cell>
        </row>
        <row r="1218">
          <cell r="A1218">
            <v>970</v>
          </cell>
          <cell r="B1218">
            <v>4799</v>
          </cell>
          <cell r="C1218">
            <v>12607</v>
          </cell>
          <cell r="D1218">
            <v>11483.102500000001</v>
          </cell>
          <cell r="E1218">
            <v>13332.075000000001</v>
          </cell>
          <cell r="F1218">
            <v>12422.79</v>
          </cell>
        </row>
        <row r="1219">
          <cell r="A1219">
            <v>971</v>
          </cell>
          <cell r="B1219">
            <v>4799</v>
          </cell>
          <cell r="C1219">
            <v>12607</v>
          </cell>
          <cell r="D1219">
            <v>11494.94075</v>
          </cell>
          <cell r="E1219">
            <v>13332.8225</v>
          </cell>
          <cell r="F1219">
            <v>12435.597</v>
          </cell>
        </row>
        <row r="1220">
          <cell r="A1220">
            <v>972</v>
          </cell>
          <cell r="B1220">
            <v>4799</v>
          </cell>
          <cell r="C1220">
            <v>12607</v>
          </cell>
          <cell r="D1220">
            <v>11506.779</v>
          </cell>
          <cell r="E1220">
            <v>13333.57</v>
          </cell>
          <cell r="F1220">
            <v>12448.404</v>
          </cell>
        </row>
        <row r="1221">
          <cell r="A1221">
            <v>973</v>
          </cell>
          <cell r="B1221">
            <v>4799</v>
          </cell>
          <cell r="C1221">
            <v>12607</v>
          </cell>
          <cell r="D1221">
            <v>11518.617250000001</v>
          </cell>
          <cell r="E1221">
            <v>13334.317499999999</v>
          </cell>
          <cell r="F1221">
            <v>12461.211000000001</v>
          </cell>
        </row>
        <row r="1222">
          <cell r="A1222">
            <v>974</v>
          </cell>
          <cell r="B1222">
            <v>4799</v>
          </cell>
          <cell r="C1222">
            <v>12607</v>
          </cell>
          <cell r="D1222">
            <v>11530.4555</v>
          </cell>
          <cell r="E1222">
            <v>13335.065000000001</v>
          </cell>
          <cell r="F1222">
            <v>12474.018</v>
          </cell>
        </row>
        <row r="1223">
          <cell r="A1223">
            <v>975</v>
          </cell>
          <cell r="B1223">
            <v>4799</v>
          </cell>
          <cell r="C1223">
            <v>12607</v>
          </cell>
          <cell r="D1223">
            <v>11542.293750000001</v>
          </cell>
          <cell r="E1223">
            <v>13335.8125</v>
          </cell>
          <cell r="F1223">
            <v>12486.825000000001</v>
          </cell>
        </row>
        <row r="1224">
          <cell r="A1224">
            <v>976</v>
          </cell>
          <cell r="B1224">
            <v>4799</v>
          </cell>
          <cell r="C1224">
            <v>12607</v>
          </cell>
          <cell r="D1224">
            <v>11554.132</v>
          </cell>
          <cell r="E1224">
            <v>13336.56</v>
          </cell>
          <cell r="F1224">
            <v>12499.632</v>
          </cell>
        </row>
        <row r="1225">
          <cell r="A1225">
            <v>977</v>
          </cell>
          <cell r="B1225">
            <v>4799</v>
          </cell>
          <cell r="C1225">
            <v>12607</v>
          </cell>
          <cell r="D1225">
            <v>11565.97025</v>
          </cell>
          <cell r="E1225">
            <v>13337.307499999999</v>
          </cell>
          <cell r="F1225">
            <v>12512.439</v>
          </cell>
        </row>
        <row r="1226">
          <cell r="A1226">
            <v>978</v>
          </cell>
          <cell r="B1226">
            <v>4799</v>
          </cell>
          <cell r="C1226">
            <v>12607</v>
          </cell>
          <cell r="D1226">
            <v>11577.808500000001</v>
          </cell>
          <cell r="E1226">
            <v>13338.055</v>
          </cell>
          <cell r="F1226">
            <v>12525.246000000001</v>
          </cell>
        </row>
        <row r="1227">
          <cell r="A1227">
            <v>979</v>
          </cell>
          <cell r="B1227">
            <v>4799</v>
          </cell>
          <cell r="C1227">
            <v>12607</v>
          </cell>
          <cell r="D1227">
            <v>11589.64675</v>
          </cell>
          <cell r="E1227">
            <v>13338.8025</v>
          </cell>
          <cell r="F1227">
            <v>12538.053</v>
          </cell>
        </row>
        <row r="1228">
          <cell r="A1228">
            <v>980</v>
          </cell>
          <cell r="B1228">
            <v>4799</v>
          </cell>
          <cell r="C1228">
            <v>12607</v>
          </cell>
          <cell r="D1228">
            <v>11601.485000000001</v>
          </cell>
          <cell r="E1228">
            <v>13339.55</v>
          </cell>
          <cell r="F1228">
            <v>12550.86</v>
          </cell>
        </row>
        <row r="1229">
          <cell r="A1229">
            <v>981</v>
          </cell>
          <cell r="B1229">
            <v>4799</v>
          </cell>
          <cell r="C1229">
            <v>12607</v>
          </cell>
          <cell r="D1229">
            <v>11613.323250000001</v>
          </cell>
          <cell r="E1229">
            <v>13340.297500000001</v>
          </cell>
          <cell r="F1229">
            <v>12563.667000000001</v>
          </cell>
        </row>
        <row r="1230">
          <cell r="A1230">
            <v>982</v>
          </cell>
          <cell r="B1230">
            <v>4799</v>
          </cell>
          <cell r="C1230">
            <v>12607</v>
          </cell>
          <cell r="D1230">
            <v>11625.1615</v>
          </cell>
          <cell r="E1230">
            <v>13341.045</v>
          </cell>
          <cell r="F1230">
            <v>12576.474</v>
          </cell>
        </row>
        <row r="1231">
          <cell r="A1231">
            <v>983</v>
          </cell>
          <cell r="B1231">
            <v>4799</v>
          </cell>
          <cell r="C1231">
            <v>12607</v>
          </cell>
          <cell r="D1231">
            <v>11636.999750000001</v>
          </cell>
          <cell r="E1231">
            <v>13341.7925</v>
          </cell>
          <cell r="F1231">
            <v>12589.281000000001</v>
          </cell>
        </row>
        <row r="1232">
          <cell r="A1232">
            <v>984</v>
          </cell>
          <cell r="B1232">
            <v>4799</v>
          </cell>
          <cell r="C1232">
            <v>12607</v>
          </cell>
          <cell r="D1232">
            <v>11648.838</v>
          </cell>
          <cell r="E1232">
            <v>13342.54</v>
          </cell>
          <cell r="F1232">
            <v>12602.088</v>
          </cell>
        </row>
        <row r="1233">
          <cell r="A1233">
            <v>985</v>
          </cell>
          <cell r="B1233">
            <v>4799</v>
          </cell>
          <cell r="C1233">
            <v>12607</v>
          </cell>
          <cell r="D1233">
            <v>11660.67625</v>
          </cell>
          <cell r="E1233">
            <v>13343.2875</v>
          </cell>
          <cell r="F1233">
            <v>12614.895</v>
          </cell>
        </row>
        <row r="1234">
          <cell r="A1234">
            <v>986</v>
          </cell>
          <cell r="B1234">
            <v>4799</v>
          </cell>
          <cell r="C1234">
            <v>12607</v>
          </cell>
          <cell r="D1234">
            <v>11672.514500000001</v>
          </cell>
          <cell r="E1234">
            <v>13344.035</v>
          </cell>
          <cell r="F1234">
            <v>12627.702000000001</v>
          </cell>
        </row>
        <row r="1235">
          <cell r="A1235">
            <v>987</v>
          </cell>
          <cell r="B1235">
            <v>4799</v>
          </cell>
          <cell r="C1235">
            <v>12607</v>
          </cell>
          <cell r="D1235">
            <v>11684.35275</v>
          </cell>
          <cell r="E1235">
            <v>13344.782499999999</v>
          </cell>
          <cell r="F1235">
            <v>12640.509</v>
          </cell>
        </row>
        <row r="1236">
          <cell r="A1236">
            <v>988</v>
          </cell>
          <cell r="B1236">
            <v>4799</v>
          </cell>
          <cell r="C1236">
            <v>12607</v>
          </cell>
          <cell r="D1236">
            <v>11696.191000000001</v>
          </cell>
          <cell r="E1236">
            <v>13345.53</v>
          </cell>
          <cell r="F1236">
            <v>12653.316000000001</v>
          </cell>
        </row>
        <row r="1237">
          <cell r="A1237">
            <v>989</v>
          </cell>
          <cell r="B1237">
            <v>4799</v>
          </cell>
          <cell r="C1237">
            <v>12607</v>
          </cell>
          <cell r="D1237">
            <v>11708.02925</v>
          </cell>
          <cell r="E1237">
            <v>13346.2775</v>
          </cell>
          <cell r="F1237">
            <v>12666.123</v>
          </cell>
        </row>
        <row r="1238">
          <cell r="A1238">
            <v>990</v>
          </cell>
          <cell r="B1238">
            <v>4799</v>
          </cell>
          <cell r="C1238">
            <v>12607</v>
          </cell>
          <cell r="D1238">
            <v>11719.8675</v>
          </cell>
          <cell r="E1238">
            <v>13347.025</v>
          </cell>
          <cell r="F1238">
            <v>12678.93</v>
          </cell>
        </row>
        <row r="1239">
          <cell r="A1239">
            <v>991</v>
          </cell>
          <cell r="B1239">
            <v>4799</v>
          </cell>
          <cell r="C1239">
            <v>12607</v>
          </cell>
          <cell r="D1239">
            <v>11731.705750000001</v>
          </cell>
          <cell r="E1239">
            <v>13347.772499999999</v>
          </cell>
          <cell r="F1239">
            <v>12691.737000000001</v>
          </cell>
        </row>
        <row r="1240">
          <cell r="A1240">
            <v>992</v>
          </cell>
          <cell r="B1240">
            <v>4799</v>
          </cell>
          <cell r="C1240">
            <v>12607</v>
          </cell>
          <cell r="D1240">
            <v>11743.544</v>
          </cell>
          <cell r="E1240">
            <v>13348.52</v>
          </cell>
          <cell r="F1240">
            <v>12704.544</v>
          </cell>
        </row>
        <row r="1241">
          <cell r="A1241">
            <v>993</v>
          </cell>
          <cell r="B1241">
            <v>4799</v>
          </cell>
          <cell r="C1241">
            <v>12607</v>
          </cell>
          <cell r="D1241">
            <v>11755.382250000001</v>
          </cell>
          <cell r="E1241">
            <v>13349.2675</v>
          </cell>
          <cell r="F1241">
            <v>12717.351000000001</v>
          </cell>
        </row>
        <row r="1242">
          <cell r="A1242">
            <v>994</v>
          </cell>
          <cell r="B1242">
            <v>4799</v>
          </cell>
          <cell r="C1242">
            <v>12607</v>
          </cell>
          <cell r="D1242">
            <v>11767.220500000001</v>
          </cell>
          <cell r="E1242">
            <v>13350.014999999999</v>
          </cell>
          <cell r="F1242">
            <v>12730.158000000001</v>
          </cell>
        </row>
        <row r="1243">
          <cell r="A1243">
            <v>995</v>
          </cell>
          <cell r="B1243">
            <v>4799</v>
          </cell>
          <cell r="C1243">
            <v>12607</v>
          </cell>
          <cell r="D1243">
            <v>11779.05875</v>
          </cell>
          <cell r="E1243">
            <v>13350.762500000001</v>
          </cell>
          <cell r="F1243">
            <v>12742.965</v>
          </cell>
        </row>
        <row r="1244">
          <cell r="A1244">
            <v>996</v>
          </cell>
          <cell r="B1244">
            <v>4799</v>
          </cell>
          <cell r="C1244">
            <v>12607</v>
          </cell>
          <cell r="D1244">
            <v>11790.897000000001</v>
          </cell>
          <cell r="E1244">
            <v>13351.51</v>
          </cell>
          <cell r="F1244">
            <v>12755.772000000001</v>
          </cell>
        </row>
        <row r="1245">
          <cell r="A1245">
            <v>997</v>
          </cell>
          <cell r="B1245">
            <v>4799</v>
          </cell>
          <cell r="C1245">
            <v>12607</v>
          </cell>
          <cell r="D1245">
            <v>11802.73525</v>
          </cell>
          <cell r="E1245">
            <v>13352.2575</v>
          </cell>
          <cell r="F1245">
            <v>12768.579</v>
          </cell>
        </row>
        <row r="1246">
          <cell r="A1246">
            <v>998</v>
          </cell>
          <cell r="B1246">
            <v>4799</v>
          </cell>
          <cell r="C1246">
            <v>12607</v>
          </cell>
          <cell r="D1246">
            <v>11814.5735</v>
          </cell>
          <cell r="E1246">
            <v>13353.004999999999</v>
          </cell>
          <cell r="F1246">
            <v>12781.386</v>
          </cell>
        </row>
        <row r="1247">
          <cell r="A1247">
            <v>999</v>
          </cell>
          <cell r="B1247">
            <v>4799</v>
          </cell>
          <cell r="C1247">
            <v>12607</v>
          </cell>
          <cell r="D1247">
            <v>11826.411750000001</v>
          </cell>
          <cell r="E1247">
            <v>13353.752500000001</v>
          </cell>
          <cell r="F1247">
            <v>12794.193000000001</v>
          </cell>
        </row>
        <row r="1248">
          <cell r="A1248">
            <v>1000</v>
          </cell>
          <cell r="B1248">
            <v>4799</v>
          </cell>
          <cell r="C1248">
            <v>12607</v>
          </cell>
          <cell r="D1248">
            <v>11838.25</v>
          </cell>
          <cell r="E1248">
            <v>13354.5</v>
          </cell>
          <cell r="F1248">
            <v>12807</v>
          </cell>
        </row>
        <row r="1249">
          <cell r="A1249">
            <v>1001</v>
          </cell>
          <cell r="B1249">
            <v>4974</v>
          </cell>
          <cell r="C1249">
            <v>12972</v>
          </cell>
          <cell r="D1249">
            <v>11850.088250000001</v>
          </cell>
          <cell r="E1249">
            <v>13720.247499999999</v>
          </cell>
          <cell r="F1249">
            <v>12819.807000000001</v>
          </cell>
        </row>
        <row r="1250">
          <cell r="A1250">
            <v>1002</v>
          </cell>
          <cell r="B1250">
            <v>4974</v>
          </cell>
          <cell r="C1250">
            <v>12972</v>
          </cell>
          <cell r="D1250">
            <v>11861.9265</v>
          </cell>
          <cell r="E1250">
            <v>13720.994999999999</v>
          </cell>
          <cell r="F1250">
            <v>12832.614</v>
          </cell>
        </row>
        <row r="1251">
          <cell r="A1251">
            <v>1003</v>
          </cell>
          <cell r="B1251">
            <v>4974</v>
          </cell>
          <cell r="C1251">
            <v>12972</v>
          </cell>
          <cell r="D1251">
            <v>11873.76475</v>
          </cell>
          <cell r="E1251">
            <v>13721.7425</v>
          </cell>
          <cell r="F1251">
            <v>12845.421</v>
          </cell>
        </row>
        <row r="1252">
          <cell r="A1252">
            <v>1004</v>
          </cell>
          <cell r="B1252">
            <v>4974</v>
          </cell>
          <cell r="C1252">
            <v>12972</v>
          </cell>
          <cell r="D1252">
            <v>11885.603000000001</v>
          </cell>
          <cell r="E1252">
            <v>13722.49</v>
          </cell>
          <cell r="F1252">
            <v>12858.228000000001</v>
          </cell>
        </row>
        <row r="1253">
          <cell r="A1253">
            <v>1005</v>
          </cell>
          <cell r="B1253">
            <v>4974</v>
          </cell>
          <cell r="C1253">
            <v>12972</v>
          </cell>
          <cell r="D1253">
            <v>11897.44125</v>
          </cell>
          <cell r="E1253">
            <v>13723.237499999999</v>
          </cell>
          <cell r="F1253">
            <v>12871.035</v>
          </cell>
        </row>
        <row r="1254">
          <cell r="A1254">
            <v>1006</v>
          </cell>
          <cell r="B1254">
            <v>4974</v>
          </cell>
          <cell r="C1254">
            <v>12972</v>
          </cell>
          <cell r="D1254">
            <v>11909.279500000001</v>
          </cell>
          <cell r="E1254">
            <v>13723.985000000001</v>
          </cell>
          <cell r="F1254">
            <v>12883.842000000001</v>
          </cell>
        </row>
        <row r="1255">
          <cell r="A1255">
            <v>1007</v>
          </cell>
          <cell r="B1255">
            <v>4974</v>
          </cell>
          <cell r="C1255">
            <v>12972</v>
          </cell>
          <cell r="D1255">
            <v>11921.117750000001</v>
          </cell>
          <cell r="E1255">
            <v>13724.7325</v>
          </cell>
          <cell r="F1255">
            <v>12896.649000000001</v>
          </cell>
        </row>
        <row r="1256">
          <cell r="A1256">
            <v>1008</v>
          </cell>
          <cell r="B1256">
            <v>4974</v>
          </cell>
          <cell r="C1256">
            <v>12972</v>
          </cell>
          <cell r="D1256">
            <v>11932.956</v>
          </cell>
          <cell r="E1256">
            <v>13725.48</v>
          </cell>
          <cell r="F1256">
            <v>12909.456</v>
          </cell>
        </row>
        <row r="1257">
          <cell r="A1257">
            <v>1009</v>
          </cell>
          <cell r="B1257">
            <v>4974</v>
          </cell>
          <cell r="C1257">
            <v>12972</v>
          </cell>
          <cell r="D1257">
            <v>11944.794250000001</v>
          </cell>
          <cell r="E1257">
            <v>13726.227500000001</v>
          </cell>
          <cell r="F1257">
            <v>12922.263000000001</v>
          </cell>
        </row>
        <row r="1258">
          <cell r="A1258">
            <v>1010</v>
          </cell>
          <cell r="B1258">
            <v>4974</v>
          </cell>
          <cell r="C1258">
            <v>12972</v>
          </cell>
          <cell r="D1258">
            <v>11956.6325</v>
          </cell>
          <cell r="E1258">
            <v>13726.975</v>
          </cell>
          <cell r="F1258">
            <v>12935.07</v>
          </cell>
        </row>
        <row r="1259">
          <cell r="A1259">
            <v>1011</v>
          </cell>
          <cell r="B1259">
            <v>4974</v>
          </cell>
          <cell r="C1259">
            <v>12972</v>
          </cell>
          <cell r="D1259">
            <v>11968.47075</v>
          </cell>
          <cell r="E1259">
            <v>13727.7225</v>
          </cell>
          <cell r="F1259">
            <v>12947.877</v>
          </cell>
        </row>
        <row r="1260">
          <cell r="A1260">
            <v>1012</v>
          </cell>
          <cell r="B1260">
            <v>4974</v>
          </cell>
          <cell r="C1260">
            <v>12972</v>
          </cell>
          <cell r="D1260">
            <v>11980.309000000001</v>
          </cell>
          <cell r="E1260">
            <v>13728.47</v>
          </cell>
          <cell r="F1260">
            <v>12960.684000000001</v>
          </cell>
        </row>
        <row r="1261">
          <cell r="A1261">
            <v>1013</v>
          </cell>
          <cell r="B1261">
            <v>4974</v>
          </cell>
          <cell r="C1261">
            <v>12972</v>
          </cell>
          <cell r="D1261">
            <v>11992.14725</v>
          </cell>
          <cell r="E1261">
            <v>13729.217500000001</v>
          </cell>
          <cell r="F1261">
            <v>12973.491</v>
          </cell>
        </row>
        <row r="1262">
          <cell r="A1262">
            <v>1014</v>
          </cell>
          <cell r="B1262">
            <v>4974</v>
          </cell>
          <cell r="C1262">
            <v>12972</v>
          </cell>
          <cell r="D1262">
            <v>12003.985500000001</v>
          </cell>
          <cell r="E1262">
            <v>13729.965</v>
          </cell>
          <cell r="F1262">
            <v>12986.298000000001</v>
          </cell>
        </row>
        <row r="1263">
          <cell r="A1263">
            <v>1015</v>
          </cell>
          <cell r="B1263">
            <v>4974</v>
          </cell>
          <cell r="C1263">
            <v>12972</v>
          </cell>
          <cell r="D1263">
            <v>12015.82375</v>
          </cell>
          <cell r="E1263">
            <v>13730.7125</v>
          </cell>
          <cell r="F1263">
            <v>12999.105</v>
          </cell>
        </row>
        <row r="1264">
          <cell r="A1264">
            <v>1016</v>
          </cell>
          <cell r="B1264">
            <v>4974</v>
          </cell>
          <cell r="C1264">
            <v>12972</v>
          </cell>
          <cell r="D1264">
            <v>12027.662</v>
          </cell>
          <cell r="E1264">
            <v>13731.46</v>
          </cell>
          <cell r="F1264">
            <v>13011.912</v>
          </cell>
        </row>
        <row r="1265">
          <cell r="A1265">
            <v>1017</v>
          </cell>
          <cell r="B1265">
            <v>4974</v>
          </cell>
          <cell r="C1265">
            <v>12972</v>
          </cell>
          <cell r="D1265">
            <v>12039.500250000001</v>
          </cell>
          <cell r="E1265">
            <v>13732.2075</v>
          </cell>
          <cell r="F1265">
            <v>13024.719000000001</v>
          </cell>
        </row>
        <row r="1266">
          <cell r="A1266">
            <v>1018</v>
          </cell>
          <cell r="B1266">
            <v>4974</v>
          </cell>
          <cell r="C1266">
            <v>12972</v>
          </cell>
          <cell r="D1266">
            <v>12051.3385</v>
          </cell>
          <cell r="E1266">
            <v>13732.955</v>
          </cell>
          <cell r="F1266">
            <v>13037.526</v>
          </cell>
        </row>
        <row r="1267">
          <cell r="A1267">
            <v>1019</v>
          </cell>
          <cell r="B1267">
            <v>4974</v>
          </cell>
          <cell r="C1267">
            <v>12972</v>
          </cell>
          <cell r="D1267">
            <v>12063.176750000001</v>
          </cell>
          <cell r="E1267">
            <v>13733.702499999999</v>
          </cell>
          <cell r="F1267">
            <v>13050.333000000001</v>
          </cell>
        </row>
        <row r="1268">
          <cell r="A1268">
            <v>1020</v>
          </cell>
          <cell r="B1268">
            <v>4974</v>
          </cell>
          <cell r="C1268">
            <v>12972</v>
          </cell>
          <cell r="D1268">
            <v>12075.015000000001</v>
          </cell>
          <cell r="E1268">
            <v>13734.45</v>
          </cell>
          <cell r="F1268">
            <v>13063.140000000001</v>
          </cell>
        </row>
        <row r="1269">
          <cell r="A1269">
            <v>1021</v>
          </cell>
          <cell r="B1269">
            <v>4974</v>
          </cell>
          <cell r="C1269">
            <v>12972</v>
          </cell>
          <cell r="D1269">
            <v>12086.85325</v>
          </cell>
          <cell r="E1269">
            <v>13735.1975</v>
          </cell>
          <cell r="F1269">
            <v>13075.947</v>
          </cell>
        </row>
        <row r="1270">
          <cell r="A1270">
            <v>1022</v>
          </cell>
          <cell r="B1270">
            <v>4974</v>
          </cell>
          <cell r="C1270">
            <v>12972</v>
          </cell>
          <cell r="D1270">
            <v>12098.691500000001</v>
          </cell>
          <cell r="E1270">
            <v>13735.945</v>
          </cell>
          <cell r="F1270">
            <v>13088.754000000001</v>
          </cell>
        </row>
        <row r="1271">
          <cell r="A1271">
            <v>1023</v>
          </cell>
          <cell r="B1271">
            <v>4974</v>
          </cell>
          <cell r="C1271">
            <v>12972</v>
          </cell>
          <cell r="D1271">
            <v>12110.52975</v>
          </cell>
          <cell r="E1271">
            <v>13736.692499999999</v>
          </cell>
          <cell r="F1271">
            <v>13101.561</v>
          </cell>
        </row>
        <row r="1272">
          <cell r="A1272">
            <v>1024</v>
          </cell>
          <cell r="B1272">
            <v>4974</v>
          </cell>
          <cell r="C1272">
            <v>12972</v>
          </cell>
          <cell r="D1272">
            <v>12122.368</v>
          </cell>
          <cell r="E1272">
            <v>13737.44</v>
          </cell>
          <cell r="F1272">
            <v>13114.368</v>
          </cell>
        </row>
        <row r="1273">
          <cell r="A1273">
            <v>1025</v>
          </cell>
          <cell r="B1273">
            <v>4974</v>
          </cell>
          <cell r="C1273">
            <v>12972</v>
          </cell>
          <cell r="D1273">
            <v>12134.206250000001</v>
          </cell>
          <cell r="E1273">
            <v>13738.1875</v>
          </cell>
          <cell r="F1273">
            <v>13127.175000000001</v>
          </cell>
        </row>
        <row r="1274">
          <cell r="A1274">
            <v>1026</v>
          </cell>
          <cell r="B1274">
            <v>4974</v>
          </cell>
          <cell r="C1274">
            <v>12972</v>
          </cell>
          <cell r="D1274">
            <v>12146.0445</v>
          </cell>
          <cell r="E1274">
            <v>13738.934999999999</v>
          </cell>
          <cell r="F1274">
            <v>13139.982</v>
          </cell>
        </row>
        <row r="1275">
          <cell r="A1275">
            <v>1027</v>
          </cell>
          <cell r="B1275">
            <v>4974</v>
          </cell>
          <cell r="C1275">
            <v>12972</v>
          </cell>
          <cell r="D1275">
            <v>12157.882750000001</v>
          </cell>
          <cell r="E1275">
            <v>13739.682499999999</v>
          </cell>
          <cell r="F1275">
            <v>13152.789000000001</v>
          </cell>
        </row>
        <row r="1276">
          <cell r="A1276">
            <v>1028</v>
          </cell>
          <cell r="B1276">
            <v>4974</v>
          </cell>
          <cell r="C1276">
            <v>12972</v>
          </cell>
          <cell r="D1276">
            <v>12169.721</v>
          </cell>
          <cell r="E1276">
            <v>13740.43</v>
          </cell>
          <cell r="F1276">
            <v>13165.596</v>
          </cell>
        </row>
        <row r="1277">
          <cell r="A1277">
            <v>1029</v>
          </cell>
          <cell r="B1277">
            <v>4974</v>
          </cell>
          <cell r="C1277">
            <v>12972</v>
          </cell>
          <cell r="D1277">
            <v>12181.55925</v>
          </cell>
          <cell r="E1277">
            <v>13741.1775</v>
          </cell>
          <cell r="F1277">
            <v>13178.403</v>
          </cell>
        </row>
        <row r="1278">
          <cell r="A1278">
            <v>1030</v>
          </cell>
          <cell r="B1278">
            <v>4974</v>
          </cell>
          <cell r="C1278">
            <v>12972</v>
          </cell>
          <cell r="D1278">
            <v>12193.397500000001</v>
          </cell>
          <cell r="E1278">
            <v>13741.924999999999</v>
          </cell>
          <cell r="F1278">
            <v>13191.210000000001</v>
          </cell>
        </row>
        <row r="1279">
          <cell r="A1279">
            <v>1031</v>
          </cell>
          <cell r="B1279">
            <v>4974</v>
          </cell>
          <cell r="C1279">
            <v>12972</v>
          </cell>
          <cell r="D1279">
            <v>12205.23575</v>
          </cell>
          <cell r="E1279">
            <v>13742.672500000001</v>
          </cell>
          <cell r="F1279">
            <v>13204.017</v>
          </cell>
        </row>
        <row r="1280">
          <cell r="A1280">
            <v>1032</v>
          </cell>
          <cell r="B1280">
            <v>4974</v>
          </cell>
          <cell r="C1280">
            <v>12972</v>
          </cell>
          <cell r="D1280">
            <v>12217.074000000001</v>
          </cell>
          <cell r="E1280">
            <v>13743.42</v>
          </cell>
          <cell r="F1280">
            <v>13216.824000000001</v>
          </cell>
        </row>
        <row r="1281">
          <cell r="A1281">
            <v>1033</v>
          </cell>
          <cell r="B1281">
            <v>4974</v>
          </cell>
          <cell r="C1281">
            <v>12972</v>
          </cell>
          <cell r="D1281">
            <v>12228.912250000001</v>
          </cell>
          <cell r="E1281">
            <v>13744.1675</v>
          </cell>
          <cell r="F1281">
            <v>13229.631000000001</v>
          </cell>
        </row>
        <row r="1282">
          <cell r="A1282">
            <v>1034</v>
          </cell>
          <cell r="B1282">
            <v>4974</v>
          </cell>
          <cell r="C1282">
            <v>12972</v>
          </cell>
          <cell r="D1282">
            <v>12240.7505</v>
          </cell>
          <cell r="E1282">
            <v>13744.915000000001</v>
          </cell>
          <cell r="F1282">
            <v>13242.438</v>
          </cell>
        </row>
        <row r="1283">
          <cell r="A1283">
            <v>1035</v>
          </cell>
          <cell r="B1283">
            <v>4974</v>
          </cell>
          <cell r="C1283">
            <v>12972</v>
          </cell>
          <cell r="D1283">
            <v>12252.588750000001</v>
          </cell>
          <cell r="E1283">
            <v>13745.6625</v>
          </cell>
          <cell r="F1283">
            <v>13255.245000000001</v>
          </cell>
        </row>
        <row r="1284">
          <cell r="A1284">
            <v>1036</v>
          </cell>
          <cell r="B1284">
            <v>4974</v>
          </cell>
          <cell r="C1284">
            <v>12972</v>
          </cell>
          <cell r="D1284">
            <v>12264.427</v>
          </cell>
          <cell r="E1284">
            <v>13746.41</v>
          </cell>
          <cell r="F1284">
            <v>13268.052</v>
          </cell>
        </row>
        <row r="1285">
          <cell r="A1285">
            <v>1037</v>
          </cell>
          <cell r="B1285">
            <v>4974</v>
          </cell>
          <cell r="C1285">
            <v>12972</v>
          </cell>
          <cell r="D1285">
            <v>12276.26525</v>
          </cell>
          <cell r="E1285">
            <v>13747.157499999999</v>
          </cell>
          <cell r="F1285">
            <v>13280.859</v>
          </cell>
        </row>
        <row r="1286">
          <cell r="A1286">
            <v>1038</v>
          </cell>
          <cell r="B1286">
            <v>4974</v>
          </cell>
          <cell r="C1286">
            <v>12972</v>
          </cell>
          <cell r="D1286">
            <v>12288.103500000001</v>
          </cell>
          <cell r="E1286">
            <v>13747.905000000001</v>
          </cell>
          <cell r="F1286">
            <v>13293.666000000001</v>
          </cell>
        </row>
        <row r="1287">
          <cell r="A1287">
            <v>1039</v>
          </cell>
          <cell r="B1287">
            <v>4974</v>
          </cell>
          <cell r="C1287">
            <v>12972</v>
          </cell>
          <cell r="D1287">
            <v>12299.94175</v>
          </cell>
          <cell r="E1287">
            <v>13748.6525</v>
          </cell>
          <cell r="F1287">
            <v>13306.473</v>
          </cell>
        </row>
        <row r="1288">
          <cell r="A1288">
            <v>1040</v>
          </cell>
          <cell r="B1288">
            <v>4974</v>
          </cell>
          <cell r="C1288">
            <v>12972</v>
          </cell>
          <cell r="D1288">
            <v>12311.78</v>
          </cell>
          <cell r="E1288">
            <v>13749.4</v>
          </cell>
          <cell r="F1288">
            <v>13319.28</v>
          </cell>
        </row>
        <row r="1289">
          <cell r="A1289">
            <v>1041</v>
          </cell>
          <cell r="B1289">
            <v>5149</v>
          </cell>
          <cell r="C1289">
            <v>13337</v>
          </cell>
          <cell r="D1289">
            <v>12323.61825</v>
          </cell>
          <cell r="E1289">
            <v>14115.147499999999</v>
          </cell>
          <cell r="F1289">
            <v>13332.087</v>
          </cell>
        </row>
        <row r="1290">
          <cell r="A1290">
            <v>1042</v>
          </cell>
          <cell r="B1290">
            <v>5149</v>
          </cell>
          <cell r="C1290">
            <v>13337</v>
          </cell>
          <cell r="D1290">
            <v>12335.4565</v>
          </cell>
          <cell r="E1290">
            <v>14115.895</v>
          </cell>
          <cell r="F1290">
            <v>13344.894</v>
          </cell>
        </row>
        <row r="1291">
          <cell r="A1291">
            <v>1043</v>
          </cell>
          <cell r="B1291">
            <v>5149</v>
          </cell>
          <cell r="C1291">
            <v>13337</v>
          </cell>
          <cell r="D1291">
            <v>12347.294750000001</v>
          </cell>
          <cell r="E1291">
            <v>14116.6425</v>
          </cell>
          <cell r="F1291">
            <v>13357.701000000001</v>
          </cell>
        </row>
        <row r="1292">
          <cell r="A1292">
            <v>1044</v>
          </cell>
          <cell r="B1292">
            <v>5149</v>
          </cell>
          <cell r="C1292">
            <v>13337</v>
          </cell>
          <cell r="D1292">
            <v>12359.133</v>
          </cell>
          <cell r="E1292">
            <v>14117.39</v>
          </cell>
          <cell r="F1292">
            <v>13370.508</v>
          </cell>
        </row>
        <row r="1293">
          <cell r="A1293">
            <v>1045</v>
          </cell>
          <cell r="B1293">
            <v>5149</v>
          </cell>
          <cell r="C1293">
            <v>13337</v>
          </cell>
          <cell r="D1293">
            <v>12370.971250000001</v>
          </cell>
          <cell r="E1293">
            <v>14118.137500000001</v>
          </cell>
          <cell r="F1293">
            <v>13383.315000000001</v>
          </cell>
        </row>
        <row r="1294">
          <cell r="A1294">
            <v>1046</v>
          </cell>
          <cell r="B1294">
            <v>5149</v>
          </cell>
          <cell r="C1294">
            <v>13337</v>
          </cell>
          <cell r="D1294">
            <v>12382.809500000001</v>
          </cell>
          <cell r="E1294">
            <v>14118.885</v>
          </cell>
          <cell r="F1294">
            <v>13396.122000000001</v>
          </cell>
        </row>
        <row r="1295">
          <cell r="A1295">
            <v>1047</v>
          </cell>
          <cell r="B1295">
            <v>5149</v>
          </cell>
          <cell r="C1295">
            <v>13337</v>
          </cell>
          <cell r="D1295">
            <v>12394.64775</v>
          </cell>
          <cell r="E1295">
            <v>14119.6325</v>
          </cell>
          <cell r="F1295">
            <v>13408.929</v>
          </cell>
        </row>
        <row r="1296">
          <cell r="A1296">
            <v>1048</v>
          </cell>
          <cell r="B1296">
            <v>5149</v>
          </cell>
          <cell r="C1296">
            <v>13337</v>
          </cell>
          <cell r="D1296">
            <v>12406.486000000001</v>
          </cell>
          <cell r="E1296">
            <v>14120.38</v>
          </cell>
          <cell r="F1296">
            <v>13421.736000000001</v>
          </cell>
        </row>
        <row r="1297">
          <cell r="A1297">
            <v>1049</v>
          </cell>
          <cell r="B1297">
            <v>5149</v>
          </cell>
          <cell r="C1297">
            <v>13337</v>
          </cell>
          <cell r="D1297">
            <v>12418.32425</v>
          </cell>
          <cell r="E1297">
            <v>14121.127500000001</v>
          </cell>
          <cell r="F1297">
            <v>13434.543</v>
          </cell>
        </row>
        <row r="1298">
          <cell r="A1298">
            <v>1050</v>
          </cell>
          <cell r="B1298">
            <v>5149</v>
          </cell>
          <cell r="C1298">
            <v>13337</v>
          </cell>
          <cell r="D1298">
            <v>12430.1625</v>
          </cell>
          <cell r="E1298">
            <v>14121.875</v>
          </cell>
          <cell r="F1298">
            <v>13447.35</v>
          </cell>
        </row>
        <row r="1299">
          <cell r="A1299">
            <v>1051</v>
          </cell>
          <cell r="B1299">
            <v>5149</v>
          </cell>
          <cell r="C1299">
            <v>13337</v>
          </cell>
          <cell r="D1299">
            <v>12442.000750000001</v>
          </cell>
          <cell r="E1299">
            <v>14122.622499999999</v>
          </cell>
          <cell r="F1299">
            <v>13460.157000000001</v>
          </cell>
        </row>
        <row r="1300">
          <cell r="A1300">
            <v>1052</v>
          </cell>
          <cell r="B1300">
            <v>5149</v>
          </cell>
          <cell r="C1300">
            <v>13337</v>
          </cell>
          <cell r="D1300">
            <v>12453.839</v>
          </cell>
          <cell r="E1300">
            <v>14123.369999999999</v>
          </cell>
          <cell r="F1300">
            <v>13472.964</v>
          </cell>
        </row>
        <row r="1301">
          <cell r="A1301">
            <v>1053</v>
          </cell>
          <cell r="B1301">
            <v>5149</v>
          </cell>
          <cell r="C1301">
            <v>13337</v>
          </cell>
          <cell r="D1301">
            <v>12465.677250000001</v>
          </cell>
          <cell r="E1301">
            <v>14124.1175</v>
          </cell>
          <cell r="F1301">
            <v>13485.771000000001</v>
          </cell>
        </row>
        <row r="1302">
          <cell r="A1302">
            <v>1054</v>
          </cell>
          <cell r="B1302">
            <v>5149</v>
          </cell>
          <cell r="C1302">
            <v>13337</v>
          </cell>
          <cell r="D1302">
            <v>12477.5155</v>
          </cell>
          <cell r="E1302">
            <v>14124.865</v>
          </cell>
          <cell r="F1302">
            <v>13498.578</v>
          </cell>
        </row>
        <row r="1303">
          <cell r="A1303">
            <v>1055</v>
          </cell>
          <cell r="B1303">
            <v>5149</v>
          </cell>
          <cell r="C1303">
            <v>13337</v>
          </cell>
          <cell r="D1303">
            <v>12489.35375</v>
          </cell>
          <cell r="E1303">
            <v>14125.612499999999</v>
          </cell>
          <cell r="F1303">
            <v>13511.385</v>
          </cell>
        </row>
        <row r="1304">
          <cell r="A1304">
            <v>1056</v>
          </cell>
          <cell r="B1304">
            <v>5149</v>
          </cell>
          <cell r="C1304">
            <v>13337</v>
          </cell>
          <cell r="D1304">
            <v>12501.192000000001</v>
          </cell>
          <cell r="E1304">
            <v>14126.36</v>
          </cell>
          <cell r="F1304">
            <v>13524.192000000001</v>
          </cell>
        </row>
        <row r="1305">
          <cell r="A1305">
            <v>1057</v>
          </cell>
          <cell r="B1305">
            <v>5149</v>
          </cell>
          <cell r="C1305">
            <v>13337</v>
          </cell>
          <cell r="D1305">
            <v>12513.03025</v>
          </cell>
          <cell r="E1305">
            <v>14127.1075</v>
          </cell>
          <cell r="F1305">
            <v>13536.999</v>
          </cell>
        </row>
        <row r="1306">
          <cell r="A1306">
            <v>1058</v>
          </cell>
          <cell r="B1306">
            <v>5149</v>
          </cell>
          <cell r="C1306">
            <v>13337</v>
          </cell>
          <cell r="D1306">
            <v>12524.8685</v>
          </cell>
          <cell r="E1306">
            <v>14127.855</v>
          </cell>
          <cell r="F1306">
            <v>13549.806</v>
          </cell>
        </row>
        <row r="1307">
          <cell r="A1307">
            <v>1059</v>
          </cell>
          <cell r="B1307">
            <v>5149</v>
          </cell>
          <cell r="C1307">
            <v>13337</v>
          </cell>
          <cell r="D1307">
            <v>12536.706750000001</v>
          </cell>
          <cell r="E1307">
            <v>14128.602500000001</v>
          </cell>
          <cell r="F1307">
            <v>13562.613000000001</v>
          </cell>
        </row>
        <row r="1308">
          <cell r="A1308">
            <v>1060</v>
          </cell>
          <cell r="B1308">
            <v>5149</v>
          </cell>
          <cell r="C1308">
            <v>13337</v>
          </cell>
          <cell r="D1308">
            <v>12548.545</v>
          </cell>
          <cell r="E1308">
            <v>14129.35</v>
          </cell>
          <cell r="F1308">
            <v>13575.42</v>
          </cell>
        </row>
        <row r="1309">
          <cell r="A1309">
            <v>1061</v>
          </cell>
          <cell r="B1309">
            <v>5149</v>
          </cell>
          <cell r="C1309">
            <v>13337</v>
          </cell>
          <cell r="D1309">
            <v>12560.383250000001</v>
          </cell>
          <cell r="E1309">
            <v>14130.0975</v>
          </cell>
          <cell r="F1309">
            <v>13588.227000000001</v>
          </cell>
        </row>
        <row r="1310">
          <cell r="A1310">
            <v>1062</v>
          </cell>
          <cell r="B1310">
            <v>5149</v>
          </cell>
          <cell r="C1310">
            <v>13337</v>
          </cell>
          <cell r="D1310">
            <v>12572.2215</v>
          </cell>
          <cell r="E1310">
            <v>14130.844999999999</v>
          </cell>
          <cell r="F1310">
            <v>13601.034</v>
          </cell>
        </row>
        <row r="1311">
          <cell r="A1311">
            <v>1063</v>
          </cell>
          <cell r="B1311">
            <v>5149</v>
          </cell>
          <cell r="C1311">
            <v>13337</v>
          </cell>
          <cell r="D1311">
            <v>12584.05975</v>
          </cell>
          <cell r="E1311">
            <v>14131.592500000001</v>
          </cell>
          <cell r="F1311">
            <v>13613.841</v>
          </cell>
        </row>
        <row r="1312">
          <cell r="A1312">
            <v>1064</v>
          </cell>
          <cell r="B1312">
            <v>5149</v>
          </cell>
          <cell r="C1312">
            <v>13337</v>
          </cell>
          <cell r="D1312">
            <v>12595.898000000001</v>
          </cell>
          <cell r="E1312">
            <v>14132.34</v>
          </cell>
          <cell r="F1312">
            <v>13626.648000000001</v>
          </cell>
        </row>
        <row r="1313">
          <cell r="A1313">
            <v>1065</v>
          </cell>
          <cell r="B1313">
            <v>5149</v>
          </cell>
          <cell r="C1313">
            <v>13337</v>
          </cell>
          <cell r="D1313">
            <v>12607.73625</v>
          </cell>
          <cell r="E1313">
            <v>14133.0875</v>
          </cell>
          <cell r="F1313">
            <v>13639.455</v>
          </cell>
        </row>
        <row r="1314">
          <cell r="A1314">
            <v>1066</v>
          </cell>
          <cell r="B1314">
            <v>5149</v>
          </cell>
          <cell r="C1314">
            <v>13337</v>
          </cell>
          <cell r="D1314">
            <v>12619.574500000001</v>
          </cell>
          <cell r="E1314">
            <v>14133.834999999999</v>
          </cell>
          <cell r="F1314">
            <v>13652.262000000001</v>
          </cell>
        </row>
        <row r="1315">
          <cell r="A1315">
            <v>1067</v>
          </cell>
          <cell r="B1315">
            <v>5149</v>
          </cell>
          <cell r="C1315">
            <v>13337</v>
          </cell>
          <cell r="D1315">
            <v>12631.41275</v>
          </cell>
          <cell r="E1315">
            <v>14134.5825</v>
          </cell>
          <cell r="F1315">
            <v>13665.069</v>
          </cell>
        </row>
        <row r="1316">
          <cell r="A1316">
            <v>1068</v>
          </cell>
          <cell r="B1316">
            <v>5149</v>
          </cell>
          <cell r="C1316">
            <v>13337</v>
          </cell>
          <cell r="D1316">
            <v>12643.251</v>
          </cell>
          <cell r="E1316">
            <v>14135.33</v>
          </cell>
          <cell r="F1316">
            <v>13677.876</v>
          </cell>
        </row>
        <row r="1317">
          <cell r="A1317">
            <v>1069</v>
          </cell>
          <cell r="B1317">
            <v>5149</v>
          </cell>
          <cell r="C1317">
            <v>13337</v>
          </cell>
          <cell r="D1317">
            <v>12655.089250000001</v>
          </cell>
          <cell r="E1317">
            <v>14136.077499999999</v>
          </cell>
          <cell r="F1317">
            <v>13690.683000000001</v>
          </cell>
        </row>
        <row r="1318">
          <cell r="A1318">
            <v>1070</v>
          </cell>
          <cell r="B1318">
            <v>5149</v>
          </cell>
          <cell r="C1318">
            <v>13337</v>
          </cell>
          <cell r="D1318">
            <v>12666.9275</v>
          </cell>
          <cell r="E1318">
            <v>14136.825000000001</v>
          </cell>
          <cell r="F1318">
            <v>13703.49</v>
          </cell>
        </row>
        <row r="1319">
          <cell r="A1319">
            <v>1071</v>
          </cell>
          <cell r="B1319">
            <v>5149</v>
          </cell>
          <cell r="C1319">
            <v>13337</v>
          </cell>
          <cell r="D1319">
            <v>12678.76575</v>
          </cell>
          <cell r="E1319">
            <v>14137.5725</v>
          </cell>
          <cell r="F1319">
            <v>13716.297</v>
          </cell>
        </row>
        <row r="1320">
          <cell r="A1320">
            <v>1072</v>
          </cell>
          <cell r="B1320">
            <v>5149</v>
          </cell>
          <cell r="C1320">
            <v>13337</v>
          </cell>
          <cell r="D1320">
            <v>12690.604000000001</v>
          </cell>
          <cell r="E1320">
            <v>14138.32</v>
          </cell>
          <cell r="F1320">
            <v>13729.104000000001</v>
          </cell>
        </row>
        <row r="1321">
          <cell r="A1321">
            <v>1073</v>
          </cell>
          <cell r="B1321">
            <v>5149</v>
          </cell>
          <cell r="C1321">
            <v>13337</v>
          </cell>
          <cell r="D1321">
            <v>12702.44225</v>
          </cell>
          <cell r="E1321">
            <v>14139.067499999999</v>
          </cell>
          <cell r="F1321">
            <v>13741.911</v>
          </cell>
        </row>
        <row r="1322">
          <cell r="A1322">
            <v>1074</v>
          </cell>
          <cell r="B1322">
            <v>5149</v>
          </cell>
          <cell r="C1322">
            <v>13337</v>
          </cell>
          <cell r="D1322">
            <v>12714.280500000001</v>
          </cell>
          <cell r="E1322">
            <v>14139.815000000001</v>
          </cell>
          <cell r="F1322">
            <v>13754.718000000001</v>
          </cell>
        </row>
        <row r="1323">
          <cell r="A1323">
            <v>1075</v>
          </cell>
          <cell r="B1323">
            <v>5149</v>
          </cell>
          <cell r="C1323">
            <v>13337</v>
          </cell>
          <cell r="D1323">
            <v>12726.11875</v>
          </cell>
          <cell r="E1323">
            <v>14140.5625</v>
          </cell>
          <cell r="F1323">
            <v>13767.525</v>
          </cell>
        </row>
        <row r="1324">
          <cell r="A1324">
            <v>1076</v>
          </cell>
          <cell r="B1324">
            <v>5149</v>
          </cell>
          <cell r="C1324">
            <v>13337</v>
          </cell>
          <cell r="D1324">
            <v>12737.957</v>
          </cell>
          <cell r="E1324">
            <v>14141.31</v>
          </cell>
          <cell r="F1324">
            <v>13780.332</v>
          </cell>
        </row>
        <row r="1325">
          <cell r="A1325">
            <v>1077</v>
          </cell>
          <cell r="B1325">
            <v>5149</v>
          </cell>
          <cell r="C1325">
            <v>13337</v>
          </cell>
          <cell r="D1325">
            <v>12749.795250000001</v>
          </cell>
          <cell r="E1325">
            <v>14142.057499999999</v>
          </cell>
          <cell r="F1325">
            <v>13793.139000000001</v>
          </cell>
        </row>
        <row r="1326">
          <cell r="A1326">
            <v>1078</v>
          </cell>
          <cell r="B1326">
            <v>5149</v>
          </cell>
          <cell r="C1326">
            <v>13337</v>
          </cell>
          <cell r="D1326">
            <v>12761.6335</v>
          </cell>
          <cell r="E1326">
            <v>14142.805</v>
          </cell>
          <cell r="F1326">
            <v>13805.946</v>
          </cell>
        </row>
        <row r="1327">
          <cell r="A1327">
            <v>1079</v>
          </cell>
          <cell r="B1327">
            <v>5149</v>
          </cell>
          <cell r="C1327">
            <v>13337</v>
          </cell>
          <cell r="D1327">
            <v>12773.471750000001</v>
          </cell>
          <cell r="E1327">
            <v>14143.5525</v>
          </cell>
          <cell r="F1327">
            <v>13818.753000000001</v>
          </cell>
        </row>
        <row r="1328">
          <cell r="A1328">
            <v>1080</v>
          </cell>
          <cell r="B1328">
            <v>5149</v>
          </cell>
          <cell r="C1328">
            <v>13337</v>
          </cell>
          <cell r="D1328">
            <v>12785.310000000001</v>
          </cell>
          <cell r="E1328">
            <v>14144.3</v>
          </cell>
          <cell r="F1328">
            <v>13831.560000000001</v>
          </cell>
        </row>
        <row r="1329">
          <cell r="A1329">
            <v>1081</v>
          </cell>
          <cell r="B1329">
            <v>5324</v>
          </cell>
          <cell r="C1329">
            <v>13702</v>
          </cell>
          <cell r="D1329">
            <v>12797.14825</v>
          </cell>
          <cell r="E1329">
            <v>14510.047500000001</v>
          </cell>
          <cell r="F1329">
            <v>13844.367</v>
          </cell>
        </row>
        <row r="1330">
          <cell r="A1330">
            <v>1082</v>
          </cell>
          <cell r="B1330">
            <v>5324</v>
          </cell>
          <cell r="C1330">
            <v>13702</v>
          </cell>
          <cell r="D1330">
            <v>12808.986500000001</v>
          </cell>
          <cell r="E1330">
            <v>14510.795</v>
          </cell>
          <cell r="F1330">
            <v>13857.174000000001</v>
          </cell>
        </row>
        <row r="1331">
          <cell r="A1331">
            <v>1083</v>
          </cell>
          <cell r="B1331">
            <v>5324</v>
          </cell>
          <cell r="C1331">
            <v>13702</v>
          </cell>
          <cell r="D1331">
            <v>12820.82475</v>
          </cell>
          <cell r="E1331">
            <v>14511.5425</v>
          </cell>
          <cell r="F1331">
            <v>13869.981</v>
          </cell>
        </row>
        <row r="1332">
          <cell r="A1332">
            <v>1084</v>
          </cell>
          <cell r="B1332">
            <v>5324</v>
          </cell>
          <cell r="C1332">
            <v>13702</v>
          </cell>
          <cell r="D1332">
            <v>12832.663</v>
          </cell>
          <cell r="E1332">
            <v>14512.29</v>
          </cell>
          <cell r="F1332">
            <v>13882.788</v>
          </cell>
        </row>
        <row r="1333">
          <cell r="A1333">
            <v>1085</v>
          </cell>
          <cell r="B1333">
            <v>5324</v>
          </cell>
          <cell r="C1333">
            <v>13702</v>
          </cell>
          <cell r="D1333">
            <v>12844.501250000001</v>
          </cell>
          <cell r="E1333">
            <v>14513.0375</v>
          </cell>
          <cell r="F1333">
            <v>13895.595000000001</v>
          </cell>
        </row>
        <row r="1334">
          <cell r="A1334">
            <v>1086</v>
          </cell>
          <cell r="B1334">
            <v>5324</v>
          </cell>
          <cell r="C1334">
            <v>13702</v>
          </cell>
          <cell r="D1334">
            <v>12856.3395</v>
          </cell>
          <cell r="E1334">
            <v>14513.785</v>
          </cell>
          <cell r="F1334">
            <v>13908.402</v>
          </cell>
        </row>
        <row r="1335">
          <cell r="A1335">
            <v>1087</v>
          </cell>
          <cell r="B1335">
            <v>5324</v>
          </cell>
          <cell r="C1335">
            <v>13702</v>
          </cell>
          <cell r="D1335">
            <v>12868.177750000001</v>
          </cell>
          <cell r="E1335">
            <v>14514.532499999999</v>
          </cell>
          <cell r="F1335">
            <v>13921.209000000001</v>
          </cell>
        </row>
        <row r="1336">
          <cell r="A1336">
            <v>1088</v>
          </cell>
          <cell r="B1336">
            <v>5324</v>
          </cell>
          <cell r="C1336">
            <v>13702</v>
          </cell>
          <cell r="D1336">
            <v>12880.016</v>
          </cell>
          <cell r="E1336">
            <v>14515.28</v>
          </cell>
          <cell r="F1336">
            <v>13934.016</v>
          </cell>
        </row>
        <row r="1337">
          <cell r="A1337">
            <v>1089</v>
          </cell>
          <cell r="B1337">
            <v>5324</v>
          </cell>
          <cell r="C1337">
            <v>13702</v>
          </cell>
          <cell r="D1337">
            <v>12891.85425</v>
          </cell>
          <cell r="E1337">
            <v>14516.0275</v>
          </cell>
          <cell r="F1337">
            <v>13946.823</v>
          </cell>
        </row>
        <row r="1338">
          <cell r="A1338">
            <v>1090</v>
          </cell>
          <cell r="B1338">
            <v>5324</v>
          </cell>
          <cell r="C1338">
            <v>13702</v>
          </cell>
          <cell r="D1338">
            <v>12903.692500000001</v>
          </cell>
          <cell r="E1338">
            <v>14516.775</v>
          </cell>
          <cell r="F1338">
            <v>13959.630000000001</v>
          </cell>
        </row>
        <row r="1339">
          <cell r="A1339">
            <v>1091</v>
          </cell>
          <cell r="B1339">
            <v>5324</v>
          </cell>
          <cell r="C1339">
            <v>13702</v>
          </cell>
          <cell r="D1339">
            <v>12915.53075</v>
          </cell>
          <cell r="E1339">
            <v>14517.522499999999</v>
          </cell>
          <cell r="F1339">
            <v>13972.437</v>
          </cell>
        </row>
        <row r="1340">
          <cell r="A1340">
            <v>1092</v>
          </cell>
          <cell r="B1340">
            <v>5324</v>
          </cell>
          <cell r="C1340">
            <v>13702</v>
          </cell>
          <cell r="D1340">
            <v>12927.369000000001</v>
          </cell>
          <cell r="E1340">
            <v>14518.27</v>
          </cell>
          <cell r="F1340">
            <v>13985.244000000001</v>
          </cell>
        </row>
        <row r="1341">
          <cell r="A1341">
            <v>1093</v>
          </cell>
          <cell r="B1341">
            <v>5324</v>
          </cell>
          <cell r="C1341">
            <v>13702</v>
          </cell>
          <cell r="D1341">
            <v>12939.207250000001</v>
          </cell>
          <cell r="E1341">
            <v>14519.0175</v>
          </cell>
          <cell r="F1341">
            <v>13998.051000000001</v>
          </cell>
        </row>
        <row r="1342">
          <cell r="A1342">
            <v>1094</v>
          </cell>
          <cell r="B1342">
            <v>5324</v>
          </cell>
          <cell r="C1342">
            <v>13702</v>
          </cell>
          <cell r="D1342">
            <v>12951.0455</v>
          </cell>
          <cell r="E1342">
            <v>14519.764999999999</v>
          </cell>
          <cell r="F1342">
            <v>14010.858</v>
          </cell>
        </row>
        <row r="1343">
          <cell r="A1343">
            <v>1095</v>
          </cell>
          <cell r="B1343">
            <v>5324</v>
          </cell>
          <cell r="C1343">
            <v>13702</v>
          </cell>
          <cell r="D1343">
            <v>12962.883750000001</v>
          </cell>
          <cell r="E1343">
            <v>14520.512500000001</v>
          </cell>
          <cell r="F1343">
            <v>14023.665000000001</v>
          </cell>
        </row>
        <row r="1344">
          <cell r="A1344">
            <v>1096</v>
          </cell>
          <cell r="B1344">
            <v>5324</v>
          </cell>
          <cell r="C1344">
            <v>13702</v>
          </cell>
          <cell r="D1344">
            <v>12974.722</v>
          </cell>
          <cell r="E1344">
            <v>14521.26</v>
          </cell>
          <cell r="F1344">
            <v>14036.472</v>
          </cell>
        </row>
        <row r="1345">
          <cell r="A1345">
            <v>1097</v>
          </cell>
          <cell r="B1345">
            <v>5324</v>
          </cell>
          <cell r="C1345">
            <v>13702</v>
          </cell>
          <cell r="D1345">
            <v>12986.56025</v>
          </cell>
          <cell r="E1345">
            <v>14522.0075</v>
          </cell>
          <cell r="F1345">
            <v>14049.279</v>
          </cell>
        </row>
        <row r="1346">
          <cell r="A1346">
            <v>1098</v>
          </cell>
          <cell r="B1346">
            <v>5324</v>
          </cell>
          <cell r="C1346">
            <v>13702</v>
          </cell>
          <cell r="D1346">
            <v>12998.398500000001</v>
          </cell>
          <cell r="E1346">
            <v>14522.754999999999</v>
          </cell>
          <cell r="F1346">
            <v>14062.086000000001</v>
          </cell>
        </row>
        <row r="1347">
          <cell r="A1347">
            <v>1099</v>
          </cell>
          <cell r="B1347">
            <v>5324</v>
          </cell>
          <cell r="C1347">
            <v>13702</v>
          </cell>
          <cell r="D1347">
            <v>13010.23675</v>
          </cell>
          <cell r="E1347">
            <v>14523.502500000001</v>
          </cell>
          <cell r="F1347">
            <v>14074.893</v>
          </cell>
        </row>
        <row r="1348">
          <cell r="A1348">
            <v>1100</v>
          </cell>
          <cell r="B1348">
            <v>5324</v>
          </cell>
          <cell r="C1348">
            <v>13702</v>
          </cell>
          <cell r="D1348">
            <v>13022.075000000001</v>
          </cell>
          <cell r="E1348">
            <v>14524.25</v>
          </cell>
          <cell r="F1348">
            <v>14087.7</v>
          </cell>
        </row>
        <row r="1349">
          <cell r="A1349">
            <v>1101</v>
          </cell>
          <cell r="B1349">
            <v>5324</v>
          </cell>
          <cell r="C1349">
            <v>13702</v>
          </cell>
          <cell r="D1349">
            <v>13033.91325</v>
          </cell>
          <cell r="E1349">
            <v>14524.997499999999</v>
          </cell>
          <cell r="F1349">
            <v>14100.507</v>
          </cell>
        </row>
        <row r="1350">
          <cell r="A1350">
            <v>1102</v>
          </cell>
          <cell r="B1350">
            <v>5324</v>
          </cell>
          <cell r="C1350">
            <v>13702</v>
          </cell>
          <cell r="D1350">
            <v>13045.7515</v>
          </cell>
          <cell r="E1350">
            <v>14525.744999999999</v>
          </cell>
          <cell r="F1350">
            <v>14113.314</v>
          </cell>
        </row>
        <row r="1351">
          <cell r="A1351">
            <v>1103</v>
          </cell>
          <cell r="B1351">
            <v>5324</v>
          </cell>
          <cell r="C1351">
            <v>13702</v>
          </cell>
          <cell r="D1351">
            <v>13057.589750000001</v>
          </cell>
          <cell r="E1351">
            <v>14526.4925</v>
          </cell>
          <cell r="F1351">
            <v>14126.121000000001</v>
          </cell>
        </row>
        <row r="1352">
          <cell r="A1352">
            <v>1104</v>
          </cell>
          <cell r="B1352">
            <v>5324</v>
          </cell>
          <cell r="C1352">
            <v>13702</v>
          </cell>
          <cell r="D1352">
            <v>13069.428</v>
          </cell>
          <cell r="E1352">
            <v>14527.24</v>
          </cell>
          <cell r="F1352">
            <v>14138.928</v>
          </cell>
        </row>
        <row r="1353">
          <cell r="A1353">
            <v>1105</v>
          </cell>
          <cell r="B1353">
            <v>5324</v>
          </cell>
          <cell r="C1353">
            <v>13702</v>
          </cell>
          <cell r="D1353">
            <v>13081.266250000001</v>
          </cell>
          <cell r="E1353">
            <v>14527.987499999999</v>
          </cell>
          <cell r="F1353">
            <v>14151.735000000001</v>
          </cell>
        </row>
        <row r="1354">
          <cell r="A1354">
            <v>1106</v>
          </cell>
          <cell r="B1354">
            <v>5324</v>
          </cell>
          <cell r="C1354">
            <v>13702</v>
          </cell>
          <cell r="D1354">
            <v>13093.104500000001</v>
          </cell>
          <cell r="E1354">
            <v>14528.735000000001</v>
          </cell>
          <cell r="F1354">
            <v>14164.542000000001</v>
          </cell>
        </row>
        <row r="1355">
          <cell r="A1355">
            <v>1107</v>
          </cell>
          <cell r="B1355">
            <v>5324</v>
          </cell>
          <cell r="C1355">
            <v>13702</v>
          </cell>
          <cell r="D1355">
            <v>13104.94275</v>
          </cell>
          <cell r="E1355">
            <v>14529.4825</v>
          </cell>
          <cell r="F1355">
            <v>14177.349</v>
          </cell>
        </row>
        <row r="1356">
          <cell r="A1356">
            <v>1108</v>
          </cell>
          <cell r="B1356">
            <v>5324</v>
          </cell>
          <cell r="C1356">
            <v>13702</v>
          </cell>
          <cell r="D1356">
            <v>13116.781000000001</v>
          </cell>
          <cell r="E1356">
            <v>14530.23</v>
          </cell>
          <cell r="F1356">
            <v>14190.156000000001</v>
          </cell>
        </row>
        <row r="1357">
          <cell r="A1357">
            <v>1109</v>
          </cell>
          <cell r="B1357">
            <v>5324</v>
          </cell>
          <cell r="C1357">
            <v>13702</v>
          </cell>
          <cell r="D1357">
            <v>13128.61925</v>
          </cell>
          <cell r="E1357">
            <v>14530.977500000001</v>
          </cell>
          <cell r="F1357">
            <v>14202.963</v>
          </cell>
        </row>
        <row r="1358">
          <cell r="A1358">
            <v>1110</v>
          </cell>
          <cell r="B1358">
            <v>5324</v>
          </cell>
          <cell r="C1358">
            <v>13702</v>
          </cell>
          <cell r="D1358">
            <v>13140.4575</v>
          </cell>
          <cell r="E1358">
            <v>14531.725</v>
          </cell>
          <cell r="F1358">
            <v>14215.77</v>
          </cell>
        </row>
        <row r="1359">
          <cell r="A1359">
            <v>1111</v>
          </cell>
          <cell r="B1359">
            <v>5324</v>
          </cell>
          <cell r="C1359">
            <v>13702</v>
          </cell>
          <cell r="D1359">
            <v>13152.295750000001</v>
          </cell>
          <cell r="E1359">
            <v>14532.4725</v>
          </cell>
          <cell r="F1359">
            <v>14228.577000000001</v>
          </cell>
        </row>
        <row r="1360">
          <cell r="A1360">
            <v>1112</v>
          </cell>
          <cell r="B1360">
            <v>5324</v>
          </cell>
          <cell r="C1360">
            <v>13702</v>
          </cell>
          <cell r="D1360">
            <v>13164.134</v>
          </cell>
          <cell r="E1360">
            <v>14533.22</v>
          </cell>
          <cell r="F1360">
            <v>14241.384</v>
          </cell>
        </row>
        <row r="1361">
          <cell r="A1361">
            <v>1113</v>
          </cell>
          <cell r="B1361">
            <v>5324</v>
          </cell>
          <cell r="C1361">
            <v>13702</v>
          </cell>
          <cell r="D1361">
            <v>13175.972250000001</v>
          </cell>
          <cell r="E1361">
            <v>14533.967500000001</v>
          </cell>
          <cell r="F1361">
            <v>14254.191000000001</v>
          </cell>
        </row>
        <row r="1362">
          <cell r="A1362">
            <v>1114</v>
          </cell>
          <cell r="B1362">
            <v>5324</v>
          </cell>
          <cell r="C1362">
            <v>13702</v>
          </cell>
          <cell r="D1362">
            <v>13187.8105</v>
          </cell>
          <cell r="E1362">
            <v>14534.715</v>
          </cell>
          <cell r="F1362">
            <v>14266.998</v>
          </cell>
        </row>
        <row r="1363">
          <cell r="A1363">
            <v>1115</v>
          </cell>
          <cell r="B1363">
            <v>5324</v>
          </cell>
          <cell r="C1363">
            <v>13702</v>
          </cell>
          <cell r="D1363">
            <v>13199.64875</v>
          </cell>
          <cell r="E1363">
            <v>14535.4625</v>
          </cell>
          <cell r="F1363">
            <v>14279.805</v>
          </cell>
        </row>
        <row r="1364">
          <cell r="A1364">
            <v>1116</v>
          </cell>
          <cell r="B1364">
            <v>5324</v>
          </cell>
          <cell r="C1364">
            <v>13702</v>
          </cell>
          <cell r="D1364">
            <v>13211.487000000001</v>
          </cell>
          <cell r="E1364">
            <v>14536.21</v>
          </cell>
          <cell r="F1364">
            <v>14292.612000000001</v>
          </cell>
        </row>
        <row r="1365">
          <cell r="A1365">
            <v>1117</v>
          </cell>
          <cell r="B1365">
            <v>5324</v>
          </cell>
          <cell r="C1365">
            <v>13702</v>
          </cell>
          <cell r="D1365">
            <v>13223.32525</v>
          </cell>
          <cell r="E1365">
            <v>14536.9575</v>
          </cell>
          <cell r="F1365">
            <v>14305.419</v>
          </cell>
        </row>
        <row r="1366">
          <cell r="A1366">
            <v>1118</v>
          </cell>
          <cell r="B1366">
            <v>5324</v>
          </cell>
          <cell r="C1366">
            <v>13702</v>
          </cell>
          <cell r="D1366">
            <v>13235.163500000001</v>
          </cell>
          <cell r="E1366">
            <v>14537.705</v>
          </cell>
          <cell r="F1366">
            <v>14318.226000000001</v>
          </cell>
        </row>
        <row r="1367">
          <cell r="A1367">
            <v>1119</v>
          </cell>
          <cell r="B1367">
            <v>5324</v>
          </cell>
          <cell r="C1367">
            <v>13702</v>
          </cell>
          <cell r="D1367">
            <v>13247.001750000001</v>
          </cell>
          <cell r="E1367">
            <v>14538.452499999999</v>
          </cell>
          <cell r="F1367">
            <v>14331.033000000001</v>
          </cell>
        </row>
        <row r="1368">
          <cell r="A1368">
            <v>1120</v>
          </cell>
          <cell r="B1368">
            <v>5324</v>
          </cell>
          <cell r="C1368">
            <v>13702</v>
          </cell>
          <cell r="D1368">
            <v>13258.84</v>
          </cell>
          <cell r="E1368">
            <v>14539.2</v>
          </cell>
          <cell r="F1368">
            <v>14343.84</v>
          </cell>
        </row>
        <row r="1369">
          <cell r="A1369">
            <v>1121</v>
          </cell>
          <cell r="B1369">
            <v>5499</v>
          </cell>
          <cell r="C1369">
            <v>14067</v>
          </cell>
          <cell r="D1369">
            <v>13270.678250000001</v>
          </cell>
          <cell r="E1369">
            <v>14904.9475</v>
          </cell>
          <cell r="F1369">
            <v>14356.647000000001</v>
          </cell>
        </row>
        <row r="1370">
          <cell r="A1370">
            <v>1122</v>
          </cell>
          <cell r="B1370">
            <v>5499</v>
          </cell>
          <cell r="C1370">
            <v>14067</v>
          </cell>
          <cell r="D1370">
            <v>13282.5165</v>
          </cell>
          <cell r="E1370">
            <v>14905.695</v>
          </cell>
          <cell r="F1370">
            <v>14369.454</v>
          </cell>
        </row>
        <row r="1371">
          <cell r="A1371">
            <v>1123</v>
          </cell>
          <cell r="B1371">
            <v>5499</v>
          </cell>
          <cell r="C1371">
            <v>14067</v>
          </cell>
          <cell r="D1371">
            <v>13294.35475</v>
          </cell>
          <cell r="E1371">
            <v>14906.442499999999</v>
          </cell>
          <cell r="F1371">
            <v>14382.261</v>
          </cell>
        </row>
        <row r="1372">
          <cell r="A1372">
            <v>1124</v>
          </cell>
          <cell r="B1372">
            <v>5499</v>
          </cell>
          <cell r="C1372">
            <v>14067</v>
          </cell>
          <cell r="D1372">
            <v>13306.193000000001</v>
          </cell>
          <cell r="E1372">
            <v>14907.19</v>
          </cell>
          <cell r="F1372">
            <v>14395.068000000001</v>
          </cell>
        </row>
        <row r="1373">
          <cell r="A1373">
            <v>1125</v>
          </cell>
          <cell r="B1373">
            <v>5499</v>
          </cell>
          <cell r="C1373">
            <v>14067</v>
          </cell>
          <cell r="D1373">
            <v>13318.03125</v>
          </cell>
          <cell r="E1373">
            <v>14907.9375</v>
          </cell>
          <cell r="F1373">
            <v>14407.875</v>
          </cell>
        </row>
        <row r="1374">
          <cell r="A1374">
            <v>1126</v>
          </cell>
          <cell r="B1374">
            <v>5499</v>
          </cell>
          <cell r="C1374">
            <v>14067</v>
          </cell>
          <cell r="D1374">
            <v>13329.869500000001</v>
          </cell>
          <cell r="E1374">
            <v>14908.684999999999</v>
          </cell>
          <cell r="F1374">
            <v>14420.682000000001</v>
          </cell>
        </row>
        <row r="1375">
          <cell r="A1375">
            <v>1127</v>
          </cell>
          <cell r="B1375">
            <v>5499</v>
          </cell>
          <cell r="C1375">
            <v>14067</v>
          </cell>
          <cell r="D1375">
            <v>13341.70775</v>
          </cell>
          <cell r="E1375">
            <v>14909.432499999999</v>
          </cell>
          <cell r="F1375">
            <v>14433.489</v>
          </cell>
        </row>
        <row r="1376">
          <cell r="A1376">
            <v>1128</v>
          </cell>
          <cell r="B1376">
            <v>5499</v>
          </cell>
          <cell r="C1376">
            <v>14067</v>
          </cell>
          <cell r="D1376">
            <v>13353.546</v>
          </cell>
          <cell r="E1376">
            <v>14910.18</v>
          </cell>
          <cell r="F1376">
            <v>14446.296</v>
          </cell>
        </row>
        <row r="1377">
          <cell r="A1377">
            <v>1129</v>
          </cell>
          <cell r="B1377">
            <v>5499</v>
          </cell>
          <cell r="C1377">
            <v>14067</v>
          </cell>
          <cell r="D1377">
            <v>13365.384250000001</v>
          </cell>
          <cell r="E1377">
            <v>14910.9275</v>
          </cell>
          <cell r="F1377">
            <v>14459.103000000001</v>
          </cell>
        </row>
        <row r="1378">
          <cell r="A1378">
            <v>1130</v>
          </cell>
          <cell r="B1378">
            <v>5499</v>
          </cell>
          <cell r="C1378">
            <v>14067</v>
          </cell>
          <cell r="D1378">
            <v>13377.2225</v>
          </cell>
          <cell r="E1378">
            <v>14911.674999999999</v>
          </cell>
          <cell r="F1378">
            <v>14471.91</v>
          </cell>
        </row>
        <row r="1379">
          <cell r="A1379">
            <v>1131</v>
          </cell>
          <cell r="B1379">
            <v>5499</v>
          </cell>
          <cell r="C1379">
            <v>14067</v>
          </cell>
          <cell r="D1379">
            <v>13389.060750000001</v>
          </cell>
          <cell r="E1379">
            <v>14912.422500000001</v>
          </cell>
          <cell r="F1379">
            <v>14484.717000000001</v>
          </cell>
        </row>
        <row r="1380">
          <cell r="A1380">
            <v>1132</v>
          </cell>
          <cell r="B1380">
            <v>5499</v>
          </cell>
          <cell r="C1380">
            <v>14067</v>
          </cell>
          <cell r="D1380">
            <v>13400.899000000001</v>
          </cell>
          <cell r="E1380">
            <v>14913.17</v>
          </cell>
          <cell r="F1380">
            <v>14497.524000000001</v>
          </cell>
        </row>
        <row r="1381">
          <cell r="A1381">
            <v>1133</v>
          </cell>
          <cell r="B1381">
            <v>5499</v>
          </cell>
          <cell r="C1381">
            <v>14067</v>
          </cell>
          <cell r="D1381">
            <v>13412.73725</v>
          </cell>
          <cell r="E1381">
            <v>14913.9175</v>
          </cell>
          <cell r="F1381">
            <v>14510.331</v>
          </cell>
        </row>
        <row r="1382">
          <cell r="A1382">
            <v>1134</v>
          </cell>
          <cell r="B1382">
            <v>5499</v>
          </cell>
          <cell r="C1382">
            <v>14067</v>
          </cell>
          <cell r="D1382">
            <v>13424.575500000001</v>
          </cell>
          <cell r="E1382">
            <v>14914.665000000001</v>
          </cell>
          <cell r="F1382">
            <v>14523.138000000001</v>
          </cell>
        </row>
        <row r="1383">
          <cell r="A1383">
            <v>1135</v>
          </cell>
          <cell r="B1383">
            <v>5499</v>
          </cell>
          <cell r="C1383">
            <v>14067</v>
          </cell>
          <cell r="D1383">
            <v>13436.41375</v>
          </cell>
          <cell r="E1383">
            <v>14915.4125</v>
          </cell>
          <cell r="F1383">
            <v>14535.945</v>
          </cell>
        </row>
        <row r="1384">
          <cell r="A1384">
            <v>1136</v>
          </cell>
          <cell r="B1384">
            <v>5499</v>
          </cell>
          <cell r="C1384">
            <v>14067</v>
          </cell>
          <cell r="D1384">
            <v>13448.252</v>
          </cell>
          <cell r="E1384">
            <v>14916.16</v>
          </cell>
          <cell r="F1384">
            <v>14548.752</v>
          </cell>
        </row>
        <row r="1385">
          <cell r="A1385">
            <v>1137</v>
          </cell>
          <cell r="B1385">
            <v>5499</v>
          </cell>
          <cell r="C1385">
            <v>14067</v>
          </cell>
          <cell r="D1385">
            <v>13460.090250000001</v>
          </cell>
          <cell r="E1385">
            <v>14916.907499999999</v>
          </cell>
          <cell r="F1385">
            <v>14561.559000000001</v>
          </cell>
        </row>
        <row r="1386">
          <cell r="A1386">
            <v>1138</v>
          </cell>
          <cell r="B1386">
            <v>5499</v>
          </cell>
          <cell r="C1386">
            <v>14067</v>
          </cell>
          <cell r="D1386">
            <v>13471.9285</v>
          </cell>
          <cell r="E1386">
            <v>14917.655000000001</v>
          </cell>
          <cell r="F1386">
            <v>14574.366</v>
          </cell>
        </row>
        <row r="1387">
          <cell r="A1387">
            <v>1139</v>
          </cell>
          <cell r="B1387">
            <v>5499</v>
          </cell>
          <cell r="C1387">
            <v>14067</v>
          </cell>
          <cell r="D1387">
            <v>13483.766750000001</v>
          </cell>
          <cell r="E1387">
            <v>14918.4025</v>
          </cell>
          <cell r="F1387">
            <v>14587.173000000001</v>
          </cell>
        </row>
        <row r="1388">
          <cell r="A1388">
            <v>1140</v>
          </cell>
          <cell r="B1388">
            <v>5499</v>
          </cell>
          <cell r="C1388">
            <v>14067</v>
          </cell>
          <cell r="D1388">
            <v>13495.605</v>
          </cell>
          <cell r="E1388">
            <v>14919.15</v>
          </cell>
          <cell r="F1388">
            <v>14599.98</v>
          </cell>
        </row>
        <row r="1389">
          <cell r="A1389">
            <v>1141</v>
          </cell>
          <cell r="B1389">
            <v>5499</v>
          </cell>
          <cell r="C1389">
            <v>14067</v>
          </cell>
          <cell r="D1389">
            <v>13507.44325</v>
          </cell>
          <cell r="E1389">
            <v>14919.897499999999</v>
          </cell>
          <cell r="F1389">
            <v>14612.787</v>
          </cell>
        </row>
        <row r="1390">
          <cell r="A1390">
            <v>1142</v>
          </cell>
          <cell r="B1390">
            <v>5499</v>
          </cell>
          <cell r="C1390">
            <v>14067</v>
          </cell>
          <cell r="D1390">
            <v>13519.281500000001</v>
          </cell>
          <cell r="E1390">
            <v>14920.645</v>
          </cell>
          <cell r="F1390">
            <v>14625.594000000001</v>
          </cell>
        </row>
        <row r="1391">
          <cell r="A1391">
            <v>1143</v>
          </cell>
          <cell r="B1391">
            <v>5499</v>
          </cell>
          <cell r="C1391">
            <v>14067</v>
          </cell>
          <cell r="D1391">
            <v>13531.11975</v>
          </cell>
          <cell r="E1391">
            <v>14921.3925</v>
          </cell>
          <cell r="F1391">
            <v>14638.401</v>
          </cell>
        </row>
        <row r="1392">
          <cell r="A1392">
            <v>1144</v>
          </cell>
          <cell r="B1392">
            <v>5499</v>
          </cell>
          <cell r="C1392">
            <v>14067</v>
          </cell>
          <cell r="D1392">
            <v>13542.958000000001</v>
          </cell>
          <cell r="E1392">
            <v>14922.14</v>
          </cell>
          <cell r="F1392">
            <v>14651.208000000001</v>
          </cell>
        </row>
        <row r="1393">
          <cell r="A1393">
            <v>1145</v>
          </cell>
          <cell r="B1393">
            <v>5499</v>
          </cell>
          <cell r="C1393">
            <v>14067</v>
          </cell>
          <cell r="D1393">
            <v>13554.796250000001</v>
          </cell>
          <cell r="E1393">
            <v>14922.887500000001</v>
          </cell>
          <cell r="F1393">
            <v>14664.015000000001</v>
          </cell>
        </row>
        <row r="1394">
          <cell r="A1394">
            <v>1146</v>
          </cell>
          <cell r="B1394">
            <v>5499</v>
          </cell>
          <cell r="C1394">
            <v>14067</v>
          </cell>
          <cell r="D1394">
            <v>13566.6345</v>
          </cell>
          <cell r="E1394">
            <v>14923.635</v>
          </cell>
          <cell r="F1394">
            <v>14676.822</v>
          </cell>
        </row>
        <row r="1395">
          <cell r="A1395">
            <v>1147</v>
          </cell>
          <cell r="B1395">
            <v>5499</v>
          </cell>
          <cell r="C1395">
            <v>14067</v>
          </cell>
          <cell r="D1395">
            <v>13578.472750000001</v>
          </cell>
          <cell r="E1395">
            <v>14924.3825</v>
          </cell>
          <cell r="F1395">
            <v>14689.629000000001</v>
          </cell>
        </row>
        <row r="1396">
          <cell r="A1396">
            <v>1148</v>
          </cell>
          <cell r="B1396">
            <v>5499</v>
          </cell>
          <cell r="C1396">
            <v>14067</v>
          </cell>
          <cell r="D1396">
            <v>13590.311</v>
          </cell>
          <cell r="E1396">
            <v>14925.13</v>
          </cell>
          <cell r="F1396">
            <v>14702.436</v>
          </cell>
        </row>
        <row r="1397">
          <cell r="A1397">
            <v>1149</v>
          </cell>
          <cell r="B1397">
            <v>5499</v>
          </cell>
          <cell r="C1397">
            <v>14067</v>
          </cell>
          <cell r="D1397">
            <v>13602.14925</v>
          </cell>
          <cell r="E1397">
            <v>14925.877500000001</v>
          </cell>
          <cell r="F1397">
            <v>14715.243</v>
          </cell>
        </row>
        <row r="1398">
          <cell r="A1398">
            <v>1150</v>
          </cell>
          <cell r="B1398">
            <v>5499</v>
          </cell>
          <cell r="C1398">
            <v>14067</v>
          </cell>
          <cell r="D1398">
            <v>13613.987500000001</v>
          </cell>
          <cell r="E1398">
            <v>14926.625</v>
          </cell>
          <cell r="F1398">
            <v>14728.050000000001</v>
          </cell>
        </row>
        <row r="1399">
          <cell r="A1399">
            <v>1151</v>
          </cell>
          <cell r="B1399">
            <v>5499</v>
          </cell>
          <cell r="C1399">
            <v>14067</v>
          </cell>
          <cell r="D1399">
            <v>13625.82575</v>
          </cell>
          <cell r="E1399">
            <v>14927.372499999999</v>
          </cell>
          <cell r="F1399">
            <v>14740.857</v>
          </cell>
        </row>
        <row r="1400">
          <cell r="A1400">
            <v>1152</v>
          </cell>
          <cell r="B1400">
            <v>5499</v>
          </cell>
          <cell r="C1400">
            <v>14067</v>
          </cell>
          <cell r="D1400">
            <v>13637.664000000001</v>
          </cell>
          <cell r="E1400">
            <v>14928.119999999999</v>
          </cell>
          <cell r="F1400">
            <v>14753.664000000001</v>
          </cell>
        </row>
        <row r="1401">
          <cell r="A1401">
            <v>1153</v>
          </cell>
          <cell r="B1401">
            <v>5499</v>
          </cell>
          <cell r="C1401">
            <v>14067</v>
          </cell>
          <cell r="D1401">
            <v>13649.50225</v>
          </cell>
          <cell r="E1401">
            <v>14928.8675</v>
          </cell>
          <cell r="F1401">
            <v>14766.471</v>
          </cell>
        </row>
        <row r="1402">
          <cell r="A1402">
            <v>1154</v>
          </cell>
          <cell r="B1402">
            <v>5499</v>
          </cell>
          <cell r="C1402">
            <v>14067</v>
          </cell>
          <cell r="D1402">
            <v>13661.3405</v>
          </cell>
          <cell r="E1402">
            <v>14929.615</v>
          </cell>
          <cell r="F1402">
            <v>14779.278</v>
          </cell>
        </row>
        <row r="1403">
          <cell r="A1403">
            <v>1155</v>
          </cell>
          <cell r="B1403">
            <v>5499</v>
          </cell>
          <cell r="C1403">
            <v>14067</v>
          </cell>
          <cell r="D1403">
            <v>13673.178750000001</v>
          </cell>
          <cell r="E1403">
            <v>14930.362499999999</v>
          </cell>
          <cell r="F1403">
            <v>14792.085000000001</v>
          </cell>
        </row>
        <row r="1404">
          <cell r="A1404">
            <v>1156</v>
          </cell>
          <cell r="B1404">
            <v>5499</v>
          </cell>
          <cell r="C1404">
            <v>14067</v>
          </cell>
          <cell r="D1404">
            <v>13685.017</v>
          </cell>
          <cell r="E1404">
            <v>14931.11</v>
          </cell>
          <cell r="F1404">
            <v>14804.892</v>
          </cell>
        </row>
        <row r="1405">
          <cell r="A1405">
            <v>1157</v>
          </cell>
          <cell r="B1405">
            <v>5499</v>
          </cell>
          <cell r="C1405">
            <v>14067</v>
          </cell>
          <cell r="D1405">
            <v>13696.855250000001</v>
          </cell>
          <cell r="E1405">
            <v>14931.8575</v>
          </cell>
          <cell r="F1405">
            <v>14817.699000000001</v>
          </cell>
        </row>
        <row r="1406">
          <cell r="A1406">
            <v>1158</v>
          </cell>
          <cell r="B1406">
            <v>5499</v>
          </cell>
          <cell r="C1406">
            <v>14067</v>
          </cell>
          <cell r="D1406">
            <v>13708.693500000001</v>
          </cell>
          <cell r="E1406">
            <v>14932.605</v>
          </cell>
          <cell r="F1406">
            <v>14830.506000000001</v>
          </cell>
        </row>
        <row r="1407">
          <cell r="A1407">
            <v>1159</v>
          </cell>
          <cell r="B1407">
            <v>5499</v>
          </cell>
          <cell r="C1407">
            <v>14067</v>
          </cell>
          <cell r="D1407">
            <v>13720.53175</v>
          </cell>
          <cell r="E1407">
            <v>14933.352500000001</v>
          </cell>
          <cell r="F1407">
            <v>14843.313</v>
          </cell>
        </row>
        <row r="1408">
          <cell r="A1408">
            <v>1160</v>
          </cell>
          <cell r="B1408">
            <v>5499</v>
          </cell>
          <cell r="C1408">
            <v>14067</v>
          </cell>
          <cell r="D1408">
            <v>13732.37</v>
          </cell>
          <cell r="E1408">
            <v>14934.1</v>
          </cell>
          <cell r="F1408">
            <v>14856.12</v>
          </cell>
        </row>
        <row r="1409">
          <cell r="A1409">
            <v>1161</v>
          </cell>
          <cell r="B1409">
            <v>5674</v>
          </cell>
          <cell r="C1409">
            <v>14432</v>
          </cell>
          <cell r="D1409">
            <v>13744.20825</v>
          </cell>
          <cell r="E1409">
            <v>15299.8475</v>
          </cell>
          <cell r="F1409">
            <v>14868.927</v>
          </cell>
        </row>
        <row r="1410">
          <cell r="A1410">
            <v>1162</v>
          </cell>
          <cell r="B1410">
            <v>5674</v>
          </cell>
          <cell r="C1410">
            <v>14432</v>
          </cell>
          <cell r="D1410">
            <v>13756.0465</v>
          </cell>
          <cell r="E1410">
            <v>15300.594999999999</v>
          </cell>
          <cell r="F1410">
            <v>14881.734</v>
          </cell>
        </row>
        <row r="1411">
          <cell r="A1411">
            <v>1163</v>
          </cell>
          <cell r="B1411">
            <v>5674</v>
          </cell>
          <cell r="C1411">
            <v>14432</v>
          </cell>
          <cell r="D1411">
            <v>13767.884750000001</v>
          </cell>
          <cell r="E1411">
            <v>15301.342500000001</v>
          </cell>
          <cell r="F1411">
            <v>14894.541000000001</v>
          </cell>
        </row>
        <row r="1412">
          <cell r="A1412">
            <v>1164</v>
          </cell>
          <cell r="B1412">
            <v>5674</v>
          </cell>
          <cell r="C1412">
            <v>14432</v>
          </cell>
          <cell r="D1412">
            <v>13779.723</v>
          </cell>
          <cell r="E1412">
            <v>15302.09</v>
          </cell>
          <cell r="F1412">
            <v>14907.348</v>
          </cell>
        </row>
        <row r="1413">
          <cell r="A1413">
            <v>1165</v>
          </cell>
          <cell r="B1413">
            <v>5674</v>
          </cell>
          <cell r="C1413">
            <v>14432</v>
          </cell>
          <cell r="D1413">
            <v>13791.561250000001</v>
          </cell>
          <cell r="E1413">
            <v>15302.8375</v>
          </cell>
          <cell r="F1413">
            <v>14920.155000000001</v>
          </cell>
        </row>
        <row r="1414">
          <cell r="A1414">
            <v>1166</v>
          </cell>
          <cell r="B1414">
            <v>5674</v>
          </cell>
          <cell r="C1414">
            <v>14432</v>
          </cell>
          <cell r="D1414">
            <v>13803.399500000001</v>
          </cell>
          <cell r="E1414">
            <v>15303.584999999999</v>
          </cell>
          <cell r="F1414">
            <v>14932.962000000001</v>
          </cell>
        </row>
        <row r="1415">
          <cell r="A1415">
            <v>1167</v>
          </cell>
          <cell r="B1415">
            <v>5674</v>
          </cell>
          <cell r="C1415">
            <v>14432</v>
          </cell>
          <cell r="D1415">
            <v>13815.23775</v>
          </cell>
          <cell r="E1415">
            <v>15304.3325</v>
          </cell>
          <cell r="F1415">
            <v>14945.769</v>
          </cell>
        </row>
        <row r="1416">
          <cell r="A1416">
            <v>1168</v>
          </cell>
          <cell r="B1416">
            <v>5674</v>
          </cell>
          <cell r="C1416">
            <v>14432</v>
          </cell>
          <cell r="D1416">
            <v>13827.076000000001</v>
          </cell>
          <cell r="E1416">
            <v>15305.08</v>
          </cell>
          <cell r="F1416">
            <v>14958.576000000001</v>
          </cell>
        </row>
        <row r="1417">
          <cell r="A1417">
            <v>1169</v>
          </cell>
          <cell r="B1417">
            <v>5674</v>
          </cell>
          <cell r="C1417">
            <v>14432</v>
          </cell>
          <cell r="D1417">
            <v>13838.91425</v>
          </cell>
          <cell r="E1417">
            <v>15305.827499999999</v>
          </cell>
          <cell r="F1417">
            <v>14971.383</v>
          </cell>
        </row>
        <row r="1418">
          <cell r="A1418">
            <v>1170</v>
          </cell>
          <cell r="B1418">
            <v>5674</v>
          </cell>
          <cell r="C1418">
            <v>14432</v>
          </cell>
          <cell r="D1418">
            <v>13850.752500000001</v>
          </cell>
          <cell r="E1418">
            <v>15306.575000000001</v>
          </cell>
          <cell r="F1418">
            <v>14984.19</v>
          </cell>
        </row>
        <row r="1419">
          <cell r="A1419">
            <v>1171</v>
          </cell>
          <cell r="B1419">
            <v>5674</v>
          </cell>
          <cell r="C1419">
            <v>14432</v>
          </cell>
          <cell r="D1419">
            <v>13862.590750000001</v>
          </cell>
          <cell r="E1419">
            <v>15307.3225</v>
          </cell>
          <cell r="F1419">
            <v>14996.997000000001</v>
          </cell>
        </row>
        <row r="1420">
          <cell r="A1420">
            <v>1172</v>
          </cell>
          <cell r="B1420">
            <v>5674</v>
          </cell>
          <cell r="C1420">
            <v>14432</v>
          </cell>
          <cell r="D1420">
            <v>13874.429</v>
          </cell>
          <cell r="E1420">
            <v>15308.07</v>
          </cell>
          <cell r="F1420">
            <v>15009.804</v>
          </cell>
        </row>
        <row r="1421">
          <cell r="A1421">
            <v>1173</v>
          </cell>
          <cell r="B1421">
            <v>5674</v>
          </cell>
          <cell r="C1421">
            <v>14432</v>
          </cell>
          <cell r="D1421">
            <v>13886.267250000001</v>
          </cell>
          <cell r="E1421">
            <v>15308.817499999999</v>
          </cell>
          <cell r="F1421">
            <v>15022.611000000001</v>
          </cell>
        </row>
        <row r="1422">
          <cell r="A1422">
            <v>1174</v>
          </cell>
          <cell r="B1422">
            <v>5674</v>
          </cell>
          <cell r="C1422">
            <v>14432</v>
          </cell>
          <cell r="D1422">
            <v>13898.1055</v>
          </cell>
          <cell r="E1422">
            <v>15309.565000000001</v>
          </cell>
          <cell r="F1422">
            <v>15035.418</v>
          </cell>
        </row>
        <row r="1423">
          <cell r="A1423">
            <v>1175</v>
          </cell>
          <cell r="B1423">
            <v>5674</v>
          </cell>
          <cell r="C1423">
            <v>14432</v>
          </cell>
          <cell r="D1423">
            <v>13909.94375</v>
          </cell>
          <cell r="E1423">
            <v>15310.3125</v>
          </cell>
          <cell r="F1423">
            <v>15048.225</v>
          </cell>
        </row>
        <row r="1424">
          <cell r="A1424">
            <v>1176</v>
          </cell>
          <cell r="B1424">
            <v>5674</v>
          </cell>
          <cell r="C1424">
            <v>14432</v>
          </cell>
          <cell r="D1424">
            <v>13921.782000000001</v>
          </cell>
          <cell r="E1424">
            <v>15311.06</v>
          </cell>
          <cell r="F1424">
            <v>15061.032000000001</v>
          </cell>
        </row>
        <row r="1425">
          <cell r="A1425">
            <v>1177</v>
          </cell>
          <cell r="B1425">
            <v>5674</v>
          </cell>
          <cell r="C1425">
            <v>14432</v>
          </cell>
          <cell r="D1425">
            <v>13933.62025</v>
          </cell>
          <cell r="E1425">
            <v>15311.807499999999</v>
          </cell>
          <cell r="F1425">
            <v>15073.839</v>
          </cell>
        </row>
        <row r="1426">
          <cell r="A1426">
            <v>1178</v>
          </cell>
          <cell r="B1426">
            <v>5674</v>
          </cell>
          <cell r="C1426">
            <v>14432</v>
          </cell>
          <cell r="D1426">
            <v>13945.458500000001</v>
          </cell>
          <cell r="E1426">
            <v>15312.555</v>
          </cell>
          <cell r="F1426">
            <v>15086.646000000001</v>
          </cell>
        </row>
        <row r="1427">
          <cell r="A1427">
            <v>1179</v>
          </cell>
          <cell r="B1427">
            <v>5674</v>
          </cell>
          <cell r="C1427">
            <v>14432</v>
          </cell>
          <cell r="D1427">
            <v>13957.296750000001</v>
          </cell>
          <cell r="E1427">
            <v>15313.3025</v>
          </cell>
          <cell r="F1427">
            <v>15099.453000000001</v>
          </cell>
        </row>
        <row r="1428">
          <cell r="A1428">
            <v>1180</v>
          </cell>
          <cell r="B1428">
            <v>5674</v>
          </cell>
          <cell r="C1428">
            <v>14432</v>
          </cell>
          <cell r="D1428">
            <v>13969.135</v>
          </cell>
          <cell r="E1428">
            <v>15314.05</v>
          </cell>
          <cell r="F1428">
            <v>15112.26</v>
          </cell>
        </row>
        <row r="1429">
          <cell r="A1429">
            <v>1181</v>
          </cell>
          <cell r="B1429">
            <v>5674</v>
          </cell>
          <cell r="C1429">
            <v>14432</v>
          </cell>
          <cell r="D1429">
            <v>13980.973250000001</v>
          </cell>
          <cell r="E1429">
            <v>15314.797500000001</v>
          </cell>
          <cell r="F1429">
            <v>15125.067000000001</v>
          </cell>
        </row>
        <row r="1430">
          <cell r="A1430">
            <v>1182</v>
          </cell>
          <cell r="B1430">
            <v>5674</v>
          </cell>
          <cell r="C1430">
            <v>14432</v>
          </cell>
          <cell r="D1430">
            <v>13992.8115</v>
          </cell>
          <cell r="E1430">
            <v>15315.545</v>
          </cell>
          <cell r="F1430">
            <v>15137.874</v>
          </cell>
        </row>
        <row r="1431">
          <cell r="A1431">
            <v>1183</v>
          </cell>
          <cell r="B1431">
            <v>5674</v>
          </cell>
          <cell r="C1431">
            <v>14432</v>
          </cell>
          <cell r="D1431">
            <v>14004.64975</v>
          </cell>
          <cell r="E1431">
            <v>15316.2925</v>
          </cell>
          <cell r="F1431">
            <v>15150.681</v>
          </cell>
        </row>
        <row r="1432">
          <cell r="A1432">
            <v>1184</v>
          </cell>
          <cell r="B1432">
            <v>5674</v>
          </cell>
          <cell r="C1432">
            <v>14432</v>
          </cell>
          <cell r="D1432">
            <v>14016.488000000001</v>
          </cell>
          <cell r="E1432">
            <v>15317.04</v>
          </cell>
          <cell r="F1432">
            <v>15163.488000000001</v>
          </cell>
        </row>
        <row r="1433">
          <cell r="A1433">
            <v>1185</v>
          </cell>
          <cell r="B1433">
            <v>5674</v>
          </cell>
          <cell r="C1433">
            <v>14432</v>
          </cell>
          <cell r="D1433">
            <v>14028.32625</v>
          </cell>
          <cell r="E1433">
            <v>15317.7875</v>
          </cell>
          <cell r="F1433">
            <v>15176.295</v>
          </cell>
        </row>
        <row r="1434">
          <cell r="A1434">
            <v>1186</v>
          </cell>
          <cell r="B1434">
            <v>5674</v>
          </cell>
          <cell r="C1434">
            <v>14432</v>
          </cell>
          <cell r="D1434">
            <v>14040.164500000001</v>
          </cell>
          <cell r="E1434">
            <v>15318.535</v>
          </cell>
          <cell r="F1434">
            <v>15189.102000000001</v>
          </cell>
        </row>
        <row r="1435">
          <cell r="A1435">
            <v>1187</v>
          </cell>
          <cell r="B1435">
            <v>5674</v>
          </cell>
          <cell r="C1435">
            <v>14432</v>
          </cell>
          <cell r="D1435">
            <v>14052.00275</v>
          </cell>
          <cell r="E1435">
            <v>15319.282499999999</v>
          </cell>
          <cell r="F1435">
            <v>15201.909</v>
          </cell>
        </row>
        <row r="1436">
          <cell r="A1436">
            <v>1188</v>
          </cell>
          <cell r="B1436">
            <v>5674</v>
          </cell>
          <cell r="C1436">
            <v>14432</v>
          </cell>
          <cell r="D1436">
            <v>14063.841</v>
          </cell>
          <cell r="E1436">
            <v>15320.03</v>
          </cell>
          <cell r="F1436">
            <v>15214.716</v>
          </cell>
        </row>
        <row r="1437">
          <cell r="A1437">
            <v>1189</v>
          </cell>
          <cell r="B1437">
            <v>5674</v>
          </cell>
          <cell r="C1437">
            <v>14432</v>
          </cell>
          <cell r="D1437">
            <v>14075.679250000001</v>
          </cell>
          <cell r="E1437">
            <v>15320.7775</v>
          </cell>
          <cell r="F1437">
            <v>15227.523000000001</v>
          </cell>
        </row>
        <row r="1438">
          <cell r="A1438">
            <v>1190</v>
          </cell>
          <cell r="B1438">
            <v>5674</v>
          </cell>
          <cell r="C1438">
            <v>14432</v>
          </cell>
          <cell r="D1438">
            <v>14087.5175</v>
          </cell>
          <cell r="E1438">
            <v>15321.525</v>
          </cell>
          <cell r="F1438">
            <v>15240.33</v>
          </cell>
        </row>
        <row r="1439">
          <cell r="A1439">
            <v>1191</v>
          </cell>
          <cell r="B1439">
            <v>5674</v>
          </cell>
          <cell r="C1439">
            <v>14432</v>
          </cell>
          <cell r="D1439">
            <v>14099.355750000001</v>
          </cell>
          <cell r="E1439">
            <v>15322.272499999999</v>
          </cell>
          <cell r="F1439">
            <v>15253.137000000001</v>
          </cell>
        </row>
        <row r="1440">
          <cell r="A1440">
            <v>1192</v>
          </cell>
          <cell r="B1440">
            <v>5674</v>
          </cell>
          <cell r="C1440">
            <v>14432</v>
          </cell>
          <cell r="D1440">
            <v>14111.194000000001</v>
          </cell>
          <cell r="E1440">
            <v>15323.02</v>
          </cell>
          <cell r="F1440">
            <v>15265.944000000001</v>
          </cell>
        </row>
        <row r="1441">
          <cell r="A1441">
            <v>1193</v>
          </cell>
          <cell r="B1441">
            <v>5674</v>
          </cell>
          <cell r="C1441">
            <v>14432</v>
          </cell>
          <cell r="D1441">
            <v>14123.03225</v>
          </cell>
          <cell r="E1441">
            <v>15323.7675</v>
          </cell>
          <cell r="F1441">
            <v>15278.751</v>
          </cell>
        </row>
        <row r="1442">
          <cell r="A1442">
            <v>1194</v>
          </cell>
          <cell r="B1442">
            <v>5674</v>
          </cell>
          <cell r="C1442">
            <v>14432</v>
          </cell>
          <cell r="D1442">
            <v>14134.870500000001</v>
          </cell>
          <cell r="E1442">
            <v>15324.514999999999</v>
          </cell>
          <cell r="F1442">
            <v>15291.558000000001</v>
          </cell>
        </row>
        <row r="1443">
          <cell r="A1443">
            <v>1195</v>
          </cell>
          <cell r="B1443">
            <v>5674</v>
          </cell>
          <cell r="C1443">
            <v>14432</v>
          </cell>
          <cell r="D1443">
            <v>14146.70875</v>
          </cell>
          <cell r="E1443">
            <v>15325.262500000001</v>
          </cell>
          <cell r="F1443">
            <v>15304.365</v>
          </cell>
        </row>
        <row r="1444">
          <cell r="A1444">
            <v>1196</v>
          </cell>
          <cell r="B1444">
            <v>5674</v>
          </cell>
          <cell r="C1444">
            <v>14432</v>
          </cell>
          <cell r="D1444">
            <v>14158.547</v>
          </cell>
          <cell r="E1444">
            <v>15326.01</v>
          </cell>
          <cell r="F1444">
            <v>15317.172</v>
          </cell>
        </row>
        <row r="1445">
          <cell r="A1445">
            <v>1197</v>
          </cell>
          <cell r="B1445">
            <v>5674</v>
          </cell>
          <cell r="C1445">
            <v>14432</v>
          </cell>
          <cell r="D1445">
            <v>14170.385250000001</v>
          </cell>
          <cell r="E1445">
            <v>15326.7575</v>
          </cell>
          <cell r="F1445">
            <v>15329.979000000001</v>
          </cell>
        </row>
        <row r="1446">
          <cell r="A1446">
            <v>1198</v>
          </cell>
          <cell r="B1446">
            <v>5674</v>
          </cell>
          <cell r="C1446">
            <v>14432</v>
          </cell>
          <cell r="D1446">
            <v>14182.2235</v>
          </cell>
          <cell r="E1446">
            <v>15327.504999999999</v>
          </cell>
          <cell r="F1446">
            <v>15342.786</v>
          </cell>
        </row>
        <row r="1447">
          <cell r="A1447">
            <v>1199</v>
          </cell>
          <cell r="B1447">
            <v>5674</v>
          </cell>
          <cell r="C1447">
            <v>14432</v>
          </cell>
          <cell r="D1447">
            <v>14194.061750000001</v>
          </cell>
          <cell r="E1447">
            <v>15328.252500000001</v>
          </cell>
          <cell r="F1447">
            <v>15355.593000000001</v>
          </cell>
        </row>
        <row r="1448">
          <cell r="A1448">
            <v>1200</v>
          </cell>
          <cell r="B1448">
            <v>5674</v>
          </cell>
          <cell r="C1448">
            <v>14432</v>
          </cell>
          <cell r="D1448">
            <v>14205.9</v>
          </cell>
          <cell r="E1448">
            <v>15329</v>
          </cell>
          <cell r="F1448">
            <v>15368.4</v>
          </cell>
        </row>
        <row r="1449">
          <cell r="A1449">
            <v>1201</v>
          </cell>
          <cell r="B1449">
            <v>5849</v>
          </cell>
          <cell r="C1449">
            <v>14797</v>
          </cell>
          <cell r="D1449">
            <v>14217.73825</v>
          </cell>
          <cell r="E1449">
            <v>15694.747499999999</v>
          </cell>
          <cell r="F1449">
            <v>15381.207</v>
          </cell>
        </row>
        <row r="1450">
          <cell r="A1450">
            <v>1202</v>
          </cell>
          <cell r="B1450">
            <v>5849</v>
          </cell>
          <cell r="C1450">
            <v>14797</v>
          </cell>
          <cell r="D1450">
            <v>14229.576500000001</v>
          </cell>
          <cell r="E1450">
            <v>15695.494999999999</v>
          </cell>
          <cell r="F1450">
            <v>15394.014000000001</v>
          </cell>
        </row>
        <row r="1451">
          <cell r="A1451">
            <v>1203</v>
          </cell>
          <cell r="B1451">
            <v>5849</v>
          </cell>
          <cell r="C1451">
            <v>14797</v>
          </cell>
          <cell r="D1451">
            <v>14241.41475</v>
          </cell>
          <cell r="E1451">
            <v>15696.2425</v>
          </cell>
          <cell r="F1451">
            <v>15406.821</v>
          </cell>
        </row>
        <row r="1452">
          <cell r="A1452">
            <v>1204</v>
          </cell>
          <cell r="B1452">
            <v>5849</v>
          </cell>
          <cell r="C1452">
            <v>14797</v>
          </cell>
          <cell r="D1452">
            <v>14253.253000000001</v>
          </cell>
          <cell r="E1452">
            <v>15696.99</v>
          </cell>
          <cell r="F1452">
            <v>15419.628000000001</v>
          </cell>
        </row>
        <row r="1453">
          <cell r="A1453">
            <v>1205</v>
          </cell>
          <cell r="B1453">
            <v>5849</v>
          </cell>
          <cell r="C1453">
            <v>14797</v>
          </cell>
          <cell r="D1453">
            <v>14265.091250000001</v>
          </cell>
          <cell r="E1453">
            <v>15697.737499999999</v>
          </cell>
          <cell r="F1453">
            <v>15432.435000000001</v>
          </cell>
        </row>
        <row r="1454">
          <cell r="A1454">
            <v>1206</v>
          </cell>
          <cell r="B1454">
            <v>5849</v>
          </cell>
          <cell r="C1454">
            <v>14797</v>
          </cell>
          <cell r="D1454">
            <v>14276.9295</v>
          </cell>
          <cell r="E1454">
            <v>15698.485000000001</v>
          </cell>
          <cell r="F1454">
            <v>15445.242</v>
          </cell>
        </row>
        <row r="1455">
          <cell r="A1455">
            <v>1207</v>
          </cell>
          <cell r="B1455">
            <v>5849</v>
          </cell>
          <cell r="C1455">
            <v>14797</v>
          </cell>
          <cell r="D1455">
            <v>14288.767750000001</v>
          </cell>
          <cell r="E1455">
            <v>15699.2325</v>
          </cell>
          <cell r="F1455">
            <v>15458.049000000001</v>
          </cell>
        </row>
        <row r="1456">
          <cell r="A1456">
            <v>1208</v>
          </cell>
          <cell r="B1456">
            <v>5849</v>
          </cell>
          <cell r="C1456">
            <v>14797</v>
          </cell>
          <cell r="D1456">
            <v>14300.606</v>
          </cell>
          <cell r="E1456">
            <v>15699.98</v>
          </cell>
          <cell r="F1456">
            <v>15470.856</v>
          </cell>
        </row>
        <row r="1457">
          <cell r="A1457">
            <v>1209</v>
          </cell>
          <cell r="B1457">
            <v>5849</v>
          </cell>
          <cell r="C1457">
            <v>14797</v>
          </cell>
          <cell r="D1457">
            <v>14312.44425</v>
          </cell>
          <cell r="E1457">
            <v>15700.727500000001</v>
          </cell>
          <cell r="F1457">
            <v>15483.663</v>
          </cell>
        </row>
        <row r="1458">
          <cell r="A1458">
            <v>1210</v>
          </cell>
          <cell r="B1458">
            <v>5849</v>
          </cell>
          <cell r="C1458">
            <v>14797</v>
          </cell>
          <cell r="D1458">
            <v>14324.282500000001</v>
          </cell>
          <cell r="E1458">
            <v>15701.475</v>
          </cell>
          <cell r="F1458">
            <v>15496.470000000001</v>
          </cell>
        </row>
        <row r="1459">
          <cell r="A1459">
            <v>1211</v>
          </cell>
          <cell r="B1459">
            <v>5849</v>
          </cell>
          <cell r="C1459">
            <v>14797</v>
          </cell>
          <cell r="D1459">
            <v>14336.12075</v>
          </cell>
          <cell r="E1459">
            <v>15702.2225</v>
          </cell>
          <cell r="F1459">
            <v>15509.277</v>
          </cell>
        </row>
        <row r="1460">
          <cell r="A1460">
            <v>1212</v>
          </cell>
          <cell r="B1460">
            <v>5849</v>
          </cell>
          <cell r="C1460">
            <v>14797</v>
          </cell>
          <cell r="D1460">
            <v>14347.959000000001</v>
          </cell>
          <cell r="E1460">
            <v>15702.97</v>
          </cell>
          <cell r="F1460">
            <v>15522.084000000001</v>
          </cell>
        </row>
        <row r="1461">
          <cell r="A1461">
            <v>1213</v>
          </cell>
          <cell r="B1461">
            <v>5849</v>
          </cell>
          <cell r="C1461">
            <v>14797</v>
          </cell>
          <cell r="D1461">
            <v>14359.79725</v>
          </cell>
          <cell r="E1461">
            <v>15703.717500000001</v>
          </cell>
          <cell r="F1461">
            <v>15534.891</v>
          </cell>
        </row>
        <row r="1462">
          <cell r="A1462">
            <v>1214</v>
          </cell>
          <cell r="B1462">
            <v>5849</v>
          </cell>
          <cell r="C1462">
            <v>14797</v>
          </cell>
          <cell r="D1462">
            <v>14371.6355</v>
          </cell>
          <cell r="E1462">
            <v>15704.465</v>
          </cell>
          <cell r="F1462">
            <v>15547.698</v>
          </cell>
        </row>
        <row r="1463">
          <cell r="A1463">
            <v>1215</v>
          </cell>
          <cell r="B1463">
            <v>5849</v>
          </cell>
          <cell r="C1463">
            <v>14797</v>
          </cell>
          <cell r="D1463">
            <v>14383.473750000001</v>
          </cell>
          <cell r="E1463">
            <v>15705.2125</v>
          </cell>
          <cell r="F1463">
            <v>15560.505000000001</v>
          </cell>
        </row>
        <row r="1464">
          <cell r="A1464">
            <v>1216</v>
          </cell>
          <cell r="B1464">
            <v>5849</v>
          </cell>
          <cell r="C1464">
            <v>14797</v>
          </cell>
          <cell r="D1464">
            <v>14395.312</v>
          </cell>
          <cell r="E1464">
            <v>15705.96</v>
          </cell>
          <cell r="F1464">
            <v>15573.312</v>
          </cell>
        </row>
        <row r="1465">
          <cell r="A1465">
            <v>1217</v>
          </cell>
          <cell r="B1465">
            <v>5849</v>
          </cell>
          <cell r="C1465">
            <v>14797</v>
          </cell>
          <cell r="D1465">
            <v>14407.150250000001</v>
          </cell>
          <cell r="E1465">
            <v>15706.7075</v>
          </cell>
          <cell r="F1465">
            <v>15586.119000000001</v>
          </cell>
        </row>
        <row r="1466">
          <cell r="A1466">
            <v>1218</v>
          </cell>
          <cell r="B1466">
            <v>5849</v>
          </cell>
          <cell r="C1466">
            <v>14797</v>
          </cell>
          <cell r="D1466">
            <v>14418.988500000001</v>
          </cell>
          <cell r="E1466">
            <v>15707.455</v>
          </cell>
          <cell r="F1466">
            <v>15598.926000000001</v>
          </cell>
        </row>
        <row r="1467">
          <cell r="A1467">
            <v>1219</v>
          </cell>
          <cell r="B1467">
            <v>5849</v>
          </cell>
          <cell r="C1467">
            <v>14797</v>
          </cell>
          <cell r="D1467">
            <v>14430.82675</v>
          </cell>
          <cell r="E1467">
            <v>15708.202499999999</v>
          </cell>
          <cell r="F1467">
            <v>15611.733</v>
          </cell>
        </row>
        <row r="1468">
          <cell r="A1468">
            <v>1220</v>
          </cell>
          <cell r="B1468">
            <v>5849</v>
          </cell>
          <cell r="C1468">
            <v>14797</v>
          </cell>
          <cell r="D1468">
            <v>14442.665000000001</v>
          </cell>
          <cell r="E1468">
            <v>15708.95</v>
          </cell>
          <cell r="F1468">
            <v>15624.54</v>
          </cell>
        </row>
        <row r="1469">
          <cell r="A1469">
            <v>1221</v>
          </cell>
          <cell r="B1469">
            <v>5849</v>
          </cell>
          <cell r="C1469">
            <v>14797</v>
          </cell>
          <cell r="D1469">
            <v>14454.50325</v>
          </cell>
          <cell r="E1469">
            <v>15709.6975</v>
          </cell>
          <cell r="F1469">
            <v>15637.347</v>
          </cell>
        </row>
        <row r="1470">
          <cell r="A1470">
            <v>1222</v>
          </cell>
          <cell r="B1470">
            <v>5849</v>
          </cell>
          <cell r="C1470">
            <v>14797</v>
          </cell>
          <cell r="D1470">
            <v>14466.3415</v>
          </cell>
          <cell r="E1470">
            <v>15710.445</v>
          </cell>
          <cell r="F1470">
            <v>15650.154</v>
          </cell>
        </row>
        <row r="1471">
          <cell r="A1471">
            <v>1223</v>
          </cell>
          <cell r="B1471">
            <v>5849</v>
          </cell>
          <cell r="C1471">
            <v>14797</v>
          </cell>
          <cell r="D1471">
            <v>14478.179750000001</v>
          </cell>
          <cell r="E1471">
            <v>15711.192499999999</v>
          </cell>
          <cell r="F1471">
            <v>15662.961000000001</v>
          </cell>
        </row>
        <row r="1472">
          <cell r="A1472">
            <v>1224</v>
          </cell>
          <cell r="B1472">
            <v>5849</v>
          </cell>
          <cell r="C1472">
            <v>14797</v>
          </cell>
          <cell r="D1472">
            <v>14490.018</v>
          </cell>
          <cell r="E1472">
            <v>15711.94</v>
          </cell>
          <cell r="F1472">
            <v>15675.768</v>
          </cell>
        </row>
        <row r="1473">
          <cell r="A1473">
            <v>1225</v>
          </cell>
          <cell r="B1473">
            <v>5849</v>
          </cell>
          <cell r="C1473">
            <v>14797</v>
          </cell>
          <cell r="D1473">
            <v>14501.856250000001</v>
          </cell>
          <cell r="E1473">
            <v>15712.6875</v>
          </cell>
          <cell r="F1473">
            <v>15688.575000000001</v>
          </cell>
        </row>
        <row r="1474">
          <cell r="A1474">
            <v>1226</v>
          </cell>
          <cell r="B1474">
            <v>5849</v>
          </cell>
          <cell r="C1474">
            <v>14797</v>
          </cell>
          <cell r="D1474">
            <v>14513.6945</v>
          </cell>
          <cell r="E1474">
            <v>15713.434999999999</v>
          </cell>
          <cell r="F1474">
            <v>15701.382</v>
          </cell>
        </row>
        <row r="1475">
          <cell r="A1475">
            <v>1227</v>
          </cell>
          <cell r="B1475">
            <v>5849</v>
          </cell>
          <cell r="C1475">
            <v>14797</v>
          </cell>
          <cell r="D1475">
            <v>14525.53275</v>
          </cell>
          <cell r="E1475">
            <v>15714.182499999999</v>
          </cell>
          <cell r="F1475">
            <v>15714.189</v>
          </cell>
        </row>
        <row r="1476">
          <cell r="A1476">
            <v>1228</v>
          </cell>
          <cell r="B1476">
            <v>5849</v>
          </cell>
          <cell r="C1476">
            <v>14797</v>
          </cell>
          <cell r="D1476">
            <v>14537.371000000001</v>
          </cell>
          <cell r="E1476">
            <v>15714.93</v>
          </cell>
          <cell r="F1476">
            <v>15726.996000000001</v>
          </cell>
        </row>
        <row r="1477">
          <cell r="A1477">
            <v>1229</v>
          </cell>
          <cell r="B1477">
            <v>5849</v>
          </cell>
          <cell r="C1477">
            <v>14797</v>
          </cell>
          <cell r="D1477">
            <v>14549.20925</v>
          </cell>
          <cell r="E1477">
            <v>15715.6775</v>
          </cell>
          <cell r="F1477">
            <v>15739.803</v>
          </cell>
        </row>
        <row r="1478">
          <cell r="A1478">
            <v>1230</v>
          </cell>
          <cell r="B1478">
            <v>5849</v>
          </cell>
          <cell r="C1478">
            <v>14797</v>
          </cell>
          <cell r="D1478">
            <v>14561.047500000001</v>
          </cell>
          <cell r="E1478">
            <v>15716.424999999999</v>
          </cell>
          <cell r="F1478">
            <v>15752.61</v>
          </cell>
        </row>
        <row r="1479">
          <cell r="A1479">
            <v>1231</v>
          </cell>
          <cell r="B1479">
            <v>5849</v>
          </cell>
          <cell r="C1479">
            <v>14797</v>
          </cell>
          <cell r="D1479">
            <v>14572.885750000001</v>
          </cell>
          <cell r="E1479">
            <v>15717.172500000001</v>
          </cell>
          <cell r="F1479">
            <v>15765.417000000001</v>
          </cell>
        </row>
        <row r="1480">
          <cell r="A1480">
            <v>1232</v>
          </cell>
          <cell r="B1480">
            <v>5849</v>
          </cell>
          <cell r="C1480">
            <v>14797</v>
          </cell>
          <cell r="D1480">
            <v>14584.724</v>
          </cell>
          <cell r="E1480">
            <v>15717.92</v>
          </cell>
          <cell r="F1480">
            <v>15778.224</v>
          </cell>
        </row>
        <row r="1481">
          <cell r="A1481">
            <v>1233</v>
          </cell>
          <cell r="B1481">
            <v>5849</v>
          </cell>
          <cell r="C1481">
            <v>14797</v>
          </cell>
          <cell r="D1481">
            <v>14596.562250000001</v>
          </cell>
          <cell r="E1481">
            <v>15718.6675</v>
          </cell>
          <cell r="F1481">
            <v>15791.031000000001</v>
          </cell>
        </row>
        <row r="1482">
          <cell r="A1482">
            <v>1234</v>
          </cell>
          <cell r="B1482">
            <v>5849</v>
          </cell>
          <cell r="C1482">
            <v>14797</v>
          </cell>
          <cell r="D1482">
            <v>14608.4005</v>
          </cell>
          <cell r="E1482">
            <v>15719.415000000001</v>
          </cell>
          <cell r="F1482">
            <v>15803.838</v>
          </cell>
        </row>
        <row r="1483">
          <cell r="A1483">
            <v>1235</v>
          </cell>
          <cell r="B1483">
            <v>5849</v>
          </cell>
          <cell r="C1483">
            <v>14797</v>
          </cell>
          <cell r="D1483">
            <v>14620.23875</v>
          </cell>
          <cell r="E1483">
            <v>15720.1625</v>
          </cell>
          <cell r="F1483">
            <v>15816.645</v>
          </cell>
        </row>
        <row r="1484">
          <cell r="A1484">
            <v>1236</v>
          </cell>
          <cell r="B1484">
            <v>5849</v>
          </cell>
          <cell r="C1484">
            <v>14797</v>
          </cell>
          <cell r="D1484">
            <v>14632.077000000001</v>
          </cell>
          <cell r="E1484">
            <v>15720.91</v>
          </cell>
          <cell r="F1484">
            <v>15829.452000000001</v>
          </cell>
        </row>
        <row r="1485">
          <cell r="A1485">
            <v>1237</v>
          </cell>
          <cell r="B1485">
            <v>5849</v>
          </cell>
          <cell r="C1485">
            <v>14797</v>
          </cell>
          <cell r="D1485">
            <v>14643.91525</v>
          </cell>
          <cell r="E1485">
            <v>15721.657499999999</v>
          </cell>
          <cell r="F1485">
            <v>15842.259</v>
          </cell>
        </row>
        <row r="1486">
          <cell r="A1486">
            <v>1238</v>
          </cell>
          <cell r="B1486">
            <v>5849</v>
          </cell>
          <cell r="C1486">
            <v>14797</v>
          </cell>
          <cell r="D1486">
            <v>14655.753500000001</v>
          </cell>
          <cell r="E1486">
            <v>15722.405000000001</v>
          </cell>
          <cell r="F1486">
            <v>15855.066000000001</v>
          </cell>
        </row>
        <row r="1487">
          <cell r="A1487">
            <v>1239</v>
          </cell>
          <cell r="B1487">
            <v>5849</v>
          </cell>
          <cell r="C1487">
            <v>14797</v>
          </cell>
          <cell r="D1487">
            <v>14667.59175</v>
          </cell>
          <cell r="E1487">
            <v>15723.1525</v>
          </cell>
          <cell r="F1487">
            <v>15867.873</v>
          </cell>
        </row>
        <row r="1488">
          <cell r="A1488">
            <v>1240</v>
          </cell>
          <cell r="B1488">
            <v>5849</v>
          </cell>
          <cell r="C1488">
            <v>14797</v>
          </cell>
          <cell r="D1488">
            <v>14679.43</v>
          </cell>
          <cell r="E1488">
            <v>15723.9</v>
          </cell>
          <cell r="F1488">
            <v>15880.68</v>
          </cell>
        </row>
        <row r="1489">
          <cell r="A1489">
            <v>1241</v>
          </cell>
          <cell r="B1489">
            <v>6024</v>
          </cell>
          <cell r="C1489">
            <v>15162</v>
          </cell>
          <cell r="D1489">
            <v>14691.268250000001</v>
          </cell>
          <cell r="E1489">
            <v>16089.647499999999</v>
          </cell>
          <cell r="F1489">
            <v>15893.487000000001</v>
          </cell>
        </row>
        <row r="1490">
          <cell r="A1490">
            <v>1242</v>
          </cell>
          <cell r="B1490">
            <v>6024</v>
          </cell>
          <cell r="C1490">
            <v>15162</v>
          </cell>
          <cell r="D1490">
            <v>14703.1065</v>
          </cell>
          <cell r="E1490">
            <v>16090.395</v>
          </cell>
          <cell r="F1490">
            <v>15906.294</v>
          </cell>
        </row>
        <row r="1491">
          <cell r="A1491">
            <v>1243</v>
          </cell>
          <cell r="B1491">
            <v>6024</v>
          </cell>
          <cell r="C1491">
            <v>15162</v>
          </cell>
          <cell r="D1491">
            <v>14714.944750000001</v>
          </cell>
          <cell r="E1491">
            <v>16091.1425</v>
          </cell>
          <cell r="F1491">
            <v>15919.101000000001</v>
          </cell>
        </row>
        <row r="1492">
          <cell r="A1492">
            <v>1244</v>
          </cell>
          <cell r="B1492">
            <v>6024</v>
          </cell>
          <cell r="C1492">
            <v>15162</v>
          </cell>
          <cell r="D1492">
            <v>14726.783000000001</v>
          </cell>
          <cell r="E1492">
            <v>16091.89</v>
          </cell>
          <cell r="F1492">
            <v>15931.908000000001</v>
          </cell>
        </row>
        <row r="1493">
          <cell r="A1493">
            <v>1245</v>
          </cell>
          <cell r="B1493">
            <v>6024</v>
          </cell>
          <cell r="C1493">
            <v>15162</v>
          </cell>
          <cell r="D1493">
            <v>14738.62125</v>
          </cell>
          <cell r="E1493">
            <v>16092.637500000001</v>
          </cell>
          <cell r="F1493">
            <v>15944.715</v>
          </cell>
        </row>
        <row r="1494">
          <cell r="A1494">
            <v>1246</v>
          </cell>
          <cell r="B1494">
            <v>6024</v>
          </cell>
          <cell r="C1494">
            <v>15162</v>
          </cell>
          <cell r="D1494">
            <v>14750.459500000001</v>
          </cell>
          <cell r="E1494">
            <v>16093.385</v>
          </cell>
          <cell r="F1494">
            <v>15957.522000000001</v>
          </cell>
        </row>
        <row r="1495">
          <cell r="A1495">
            <v>1247</v>
          </cell>
          <cell r="B1495">
            <v>6024</v>
          </cell>
          <cell r="C1495">
            <v>15162</v>
          </cell>
          <cell r="D1495">
            <v>14762.29775</v>
          </cell>
          <cell r="E1495">
            <v>16094.1325</v>
          </cell>
          <cell r="F1495">
            <v>15970.329</v>
          </cell>
        </row>
        <row r="1496">
          <cell r="A1496">
            <v>1248</v>
          </cell>
          <cell r="B1496">
            <v>6024</v>
          </cell>
          <cell r="C1496">
            <v>15162</v>
          </cell>
          <cell r="D1496">
            <v>14774.136</v>
          </cell>
          <cell r="E1496">
            <v>16094.88</v>
          </cell>
          <cell r="F1496">
            <v>15983.136</v>
          </cell>
        </row>
        <row r="1497">
          <cell r="A1497">
            <v>1249</v>
          </cell>
          <cell r="B1497">
            <v>6024</v>
          </cell>
          <cell r="C1497">
            <v>15162</v>
          </cell>
          <cell r="D1497">
            <v>14785.974250000001</v>
          </cell>
          <cell r="E1497">
            <v>16095.627500000001</v>
          </cell>
          <cell r="F1497">
            <v>15995.943000000001</v>
          </cell>
        </row>
        <row r="1498">
          <cell r="A1498">
            <v>1250</v>
          </cell>
          <cell r="B1498">
            <v>6024</v>
          </cell>
          <cell r="C1498">
            <v>15162</v>
          </cell>
          <cell r="D1498">
            <v>14797.8125</v>
          </cell>
          <cell r="E1498">
            <v>16096.375</v>
          </cell>
          <cell r="F1498">
            <v>16008.75</v>
          </cell>
        </row>
        <row r="1499">
          <cell r="A1499">
            <v>1251</v>
          </cell>
          <cell r="B1499">
            <v>6024</v>
          </cell>
          <cell r="C1499">
            <v>15162</v>
          </cell>
          <cell r="D1499">
            <v>14809.650750000001</v>
          </cell>
          <cell r="E1499">
            <v>16097.122499999999</v>
          </cell>
          <cell r="F1499">
            <v>16021.557000000001</v>
          </cell>
        </row>
        <row r="1500">
          <cell r="A1500">
            <v>1252</v>
          </cell>
          <cell r="B1500">
            <v>6024</v>
          </cell>
          <cell r="C1500">
            <v>15162</v>
          </cell>
          <cell r="D1500">
            <v>14821.489</v>
          </cell>
          <cell r="E1500">
            <v>16097.869999999999</v>
          </cell>
          <cell r="F1500">
            <v>16034.364</v>
          </cell>
        </row>
        <row r="1501">
          <cell r="A1501">
            <v>1253</v>
          </cell>
          <cell r="B1501">
            <v>6024</v>
          </cell>
          <cell r="C1501">
            <v>15162</v>
          </cell>
          <cell r="D1501">
            <v>14833.32725</v>
          </cell>
          <cell r="E1501">
            <v>16098.6175</v>
          </cell>
          <cell r="F1501">
            <v>16047.171</v>
          </cell>
        </row>
        <row r="1502">
          <cell r="A1502">
            <v>1254</v>
          </cell>
          <cell r="B1502">
            <v>6024</v>
          </cell>
          <cell r="C1502">
            <v>15162</v>
          </cell>
          <cell r="D1502">
            <v>14845.165500000001</v>
          </cell>
          <cell r="E1502">
            <v>16099.365</v>
          </cell>
          <cell r="F1502">
            <v>16059.978000000001</v>
          </cell>
        </row>
        <row r="1503">
          <cell r="A1503">
            <v>1255</v>
          </cell>
          <cell r="B1503">
            <v>6024</v>
          </cell>
          <cell r="C1503">
            <v>15162</v>
          </cell>
          <cell r="D1503">
            <v>14857.00375</v>
          </cell>
          <cell r="E1503">
            <v>16100.112499999999</v>
          </cell>
          <cell r="F1503">
            <v>16072.785</v>
          </cell>
        </row>
        <row r="1504">
          <cell r="A1504">
            <v>1256</v>
          </cell>
          <cell r="B1504">
            <v>6024</v>
          </cell>
          <cell r="C1504">
            <v>15162</v>
          </cell>
          <cell r="D1504">
            <v>14868.842000000001</v>
          </cell>
          <cell r="E1504">
            <v>16100.86</v>
          </cell>
          <cell r="F1504">
            <v>16085.592000000001</v>
          </cell>
        </row>
        <row r="1505">
          <cell r="A1505">
            <v>1257</v>
          </cell>
          <cell r="B1505">
            <v>6024</v>
          </cell>
          <cell r="C1505">
            <v>15162</v>
          </cell>
          <cell r="D1505">
            <v>14880.680250000001</v>
          </cell>
          <cell r="E1505">
            <v>16101.6075</v>
          </cell>
          <cell r="F1505">
            <v>16098.399000000001</v>
          </cell>
        </row>
        <row r="1506">
          <cell r="A1506">
            <v>1258</v>
          </cell>
          <cell r="B1506">
            <v>6024</v>
          </cell>
          <cell r="C1506">
            <v>15162</v>
          </cell>
          <cell r="D1506">
            <v>14892.5185</v>
          </cell>
          <cell r="E1506">
            <v>16102.355</v>
          </cell>
          <cell r="F1506">
            <v>16111.206</v>
          </cell>
        </row>
        <row r="1507">
          <cell r="A1507">
            <v>1259</v>
          </cell>
          <cell r="B1507">
            <v>6024</v>
          </cell>
          <cell r="C1507">
            <v>15162</v>
          </cell>
          <cell r="D1507">
            <v>14904.356750000001</v>
          </cell>
          <cell r="E1507">
            <v>16103.102500000001</v>
          </cell>
          <cell r="F1507">
            <v>16124.013000000001</v>
          </cell>
        </row>
        <row r="1508">
          <cell r="A1508">
            <v>1260</v>
          </cell>
          <cell r="B1508">
            <v>6024</v>
          </cell>
          <cell r="C1508">
            <v>15162</v>
          </cell>
          <cell r="D1508">
            <v>14916.195</v>
          </cell>
          <cell r="E1508">
            <v>16103.85</v>
          </cell>
          <cell r="F1508">
            <v>16136.82</v>
          </cell>
        </row>
        <row r="1509">
          <cell r="A1509">
            <v>1261</v>
          </cell>
          <cell r="B1509">
            <v>6024</v>
          </cell>
          <cell r="C1509">
            <v>15162</v>
          </cell>
          <cell r="D1509">
            <v>14928.03325</v>
          </cell>
          <cell r="E1509">
            <v>16104.5975</v>
          </cell>
          <cell r="F1509">
            <v>16149.627</v>
          </cell>
        </row>
        <row r="1510">
          <cell r="A1510">
            <v>1262</v>
          </cell>
          <cell r="B1510">
            <v>6024</v>
          </cell>
          <cell r="C1510">
            <v>15162</v>
          </cell>
          <cell r="D1510">
            <v>14939.871500000001</v>
          </cell>
          <cell r="E1510">
            <v>16105.344999999999</v>
          </cell>
          <cell r="F1510">
            <v>16162.434000000001</v>
          </cell>
        </row>
        <row r="1511">
          <cell r="A1511">
            <v>1263</v>
          </cell>
          <cell r="B1511">
            <v>6024</v>
          </cell>
          <cell r="C1511">
            <v>15162</v>
          </cell>
          <cell r="D1511">
            <v>14951.70975</v>
          </cell>
          <cell r="E1511">
            <v>16106.092500000001</v>
          </cell>
          <cell r="F1511">
            <v>16175.241</v>
          </cell>
        </row>
        <row r="1512">
          <cell r="A1512">
            <v>1264</v>
          </cell>
          <cell r="B1512">
            <v>6024</v>
          </cell>
          <cell r="C1512">
            <v>15162</v>
          </cell>
          <cell r="D1512">
            <v>14963.548000000001</v>
          </cell>
          <cell r="E1512">
            <v>16106.84</v>
          </cell>
          <cell r="F1512">
            <v>16188.048000000001</v>
          </cell>
        </row>
        <row r="1513">
          <cell r="A1513">
            <v>1265</v>
          </cell>
          <cell r="B1513">
            <v>6024</v>
          </cell>
          <cell r="C1513">
            <v>15162</v>
          </cell>
          <cell r="D1513">
            <v>14975.386250000001</v>
          </cell>
          <cell r="E1513">
            <v>16107.5875</v>
          </cell>
          <cell r="F1513">
            <v>16200.855000000001</v>
          </cell>
        </row>
        <row r="1514">
          <cell r="A1514">
            <v>1266</v>
          </cell>
          <cell r="B1514">
            <v>6024</v>
          </cell>
          <cell r="C1514">
            <v>15162</v>
          </cell>
          <cell r="D1514">
            <v>14987.2245</v>
          </cell>
          <cell r="E1514">
            <v>16108.334999999999</v>
          </cell>
          <cell r="F1514">
            <v>16213.662</v>
          </cell>
        </row>
        <row r="1515">
          <cell r="A1515">
            <v>1267</v>
          </cell>
          <cell r="B1515">
            <v>6024</v>
          </cell>
          <cell r="C1515">
            <v>15162</v>
          </cell>
          <cell r="D1515">
            <v>14999.062750000001</v>
          </cell>
          <cell r="E1515">
            <v>16109.0825</v>
          </cell>
          <cell r="F1515">
            <v>16226.469000000001</v>
          </cell>
        </row>
        <row r="1516">
          <cell r="A1516">
            <v>1268</v>
          </cell>
          <cell r="B1516">
            <v>6024</v>
          </cell>
          <cell r="C1516">
            <v>15162</v>
          </cell>
          <cell r="D1516">
            <v>15010.901</v>
          </cell>
          <cell r="E1516">
            <v>16109.83</v>
          </cell>
          <cell r="F1516">
            <v>16239.276</v>
          </cell>
        </row>
        <row r="1517">
          <cell r="A1517">
            <v>1269</v>
          </cell>
          <cell r="B1517">
            <v>6024</v>
          </cell>
          <cell r="C1517">
            <v>15162</v>
          </cell>
          <cell r="D1517">
            <v>15022.739250000001</v>
          </cell>
          <cell r="E1517">
            <v>16110.577499999999</v>
          </cell>
          <cell r="F1517">
            <v>16252.083000000001</v>
          </cell>
        </row>
        <row r="1518">
          <cell r="A1518">
            <v>1270</v>
          </cell>
          <cell r="B1518">
            <v>6024</v>
          </cell>
          <cell r="C1518">
            <v>15162</v>
          </cell>
          <cell r="D1518">
            <v>15034.577500000001</v>
          </cell>
          <cell r="E1518">
            <v>16111.325000000001</v>
          </cell>
          <cell r="F1518">
            <v>16264.890000000001</v>
          </cell>
        </row>
        <row r="1519">
          <cell r="A1519">
            <v>1271</v>
          </cell>
          <cell r="B1519">
            <v>6024</v>
          </cell>
          <cell r="C1519">
            <v>15162</v>
          </cell>
          <cell r="D1519">
            <v>15046.41575</v>
          </cell>
          <cell r="E1519">
            <v>16112.0725</v>
          </cell>
          <cell r="F1519">
            <v>16277.697</v>
          </cell>
        </row>
        <row r="1520">
          <cell r="A1520">
            <v>1272</v>
          </cell>
          <cell r="B1520">
            <v>6024</v>
          </cell>
          <cell r="C1520">
            <v>15162</v>
          </cell>
          <cell r="D1520">
            <v>15058.254000000001</v>
          </cell>
          <cell r="E1520">
            <v>16112.82</v>
          </cell>
          <cell r="F1520">
            <v>16290.504000000001</v>
          </cell>
        </row>
        <row r="1521">
          <cell r="A1521">
            <v>1273</v>
          </cell>
          <cell r="B1521">
            <v>6024</v>
          </cell>
          <cell r="C1521">
            <v>15162</v>
          </cell>
          <cell r="D1521">
            <v>15070.09225</v>
          </cell>
          <cell r="E1521">
            <v>16113.567499999999</v>
          </cell>
          <cell r="F1521">
            <v>16303.311</v>
          </cell>
        </row>
        <row r="1522">
          <cell r="A1522">
            <v>1274</v>
          </cell>
          <cell r="B1522">
            <v>6024</v>
          </cell>
          <cell r="C1522">
            <v>15162</v>
          </cell>
          <cell r="D1522">
            <v>15081.9305</v>
          </cell>
          <cell r="E1522">
            <v>16114.315000000001</v>
          </cell>
          <cell r="F1522">
            <v>16316.118</v>
          </cell>
        </row>
        <row r="1523">
          <cell r="A1523">
            <v>1275</v>
          </cell>
          <cell r="B1523">
            <v>6024</v>
          </cell>
          <cell r="C1523">
            <v>15162</v>
          </cell>
          <cell r="D1523">
            <v>15093.768750000001</v>
          </cell>
          <cell r="E1523">
            <v>16115.0625</v>
          </cell>
          <cell r="F1523">
            <v>16328.925000000001</v>
          </cell>
        </row>
        <row r="1524">
          <cell r="A1524">
            <v>1276</v>
          </cell>
          <cell r="B1524">
            <v>6024</v>
          </cell>
          <cell r="C1524">
            <v>15162</v>
          </cell>
          <cell r="D1524">
            <v>15105.607</v>
          </cell>
          <cell r="E1524">
            <v>16115.81</v>
          </cell>
          <cell r="F1524">
            <v>16341.732</v>
          </cell>
        </row>
        <row r="1525">
          <cell r="A1525">
            <v>1277</v>
          </cell>
          <cell r="B1525">
            <v>6024</v>
          </cell>
          <cell r="C1525">
            <v>15162</v>
          </cell>
          <cell r="D1525">
            <v>15117.445250000001</v>
          </cell>
          <cell r="E1525">
            <v>16116.557499999999</v>
          </cell>
          <cell r="F1525">
            <v>16354.539000000001</v>
          </cell>
        </row>
        <row r="1526">
          <cell r="A1526">
            <v>1278</v>
          </cell>
          <cell r="B1526">
            <v>6024</v>
          </cell>
          <cell r="C1526">
            <v>15162</v>
          </cell>
          <cell r="D1526">
            <v>15129.283500000001</v>
          </cell>
          <cell r="E1526">
            <v>16117.305</v>
          </cell>
          <cell r="F1526">
            <v>16367.346000000001</v>
          </cell>
        </row>
        <row r="1527">
          <cell r="A1527">
            <v>1279</v>
          </cell>
          <cell r="B1527">
            <v>6024</v>
          </cell>
          <cell r="C1527">
            <v>15162</v>
          </cell>
          <cell r="D1527">
            <v>15141.12175</v>
          </cell>
          <cell r="E1527">
            <v>16118.0525</v>
          </cell>
          <cell r="F1527">
            <v>16380.153</v>
          </cell>
        </row>
        <row r="1528">
          <cell r="A1528">
            <v>1280</v>
          </cell>
          <cell r="B1528">
            <v>6024</v>
          </cell>
          <cell r="C1528">
            <v>15162</v>
          </cell>
          <cell r="D1528">
            <v>15152.960000000001</v>
          </cell>
          <cell r="E1528">
            <v>16118.8</v>
          </cell>
          <cell r="F1528">
            <v>16392.96</v>
          </cell>
        </row>
        <row r="1529">
          <cell r="A1529">
            <v>1281</v>
          </cell>
          <cell r="B1529">
            <v>6199</v>
          </cell>
          <cell r="C1529">
            <v>15527</v>
          </cell>
          <cell r="D1529">
            <v>15164.79825</v>
          </cell>
          <cell r="E1529">
            <v>16484.547500000001</v>
          </cell>
          <cell r="F1529">
            <v>16405.767</v>
          </cell>
        </row>
        <row r="1530">
          <cell r="A1530">
            <v>1282</v>
          </cell>
          <cell r="B1530">
            <v>6199</v>
          </cell>
          <cell r="C1530">
            <v>15527</v>
          </cell>
          <cell r="D1530">
            <v>15176.636500000001</v>
          </cell>
          <cell r="E1530">
            <v>16485.294999999998</v>
          </cell>
          <cell r="F1530">
            <v>16418.574000000001</v>
          </cell>
        </row>
        <row r="1531">
          <cell r="A1531">
            <v>1283</v>
          </cell>
          <cell r="B1531">
            <v>6199</v>
          </cell>
          <cell r="C1531">
            <v>15527</v>
          </cell>
          <cell r="D1531">
            <v>15188.474750000001</v>
          </cell>
          <cell r="E1531">
            <v>16486.0425</v>
          </cell>
          <cell r="F1531">
            <v>16431.381000000001</v>
          </cell>
        </row>
        <row r="1532">
          <cell r="A1532">
            <v>1284</v>
          </cell>
          <cell r="B1532">
            <v>6199</v>
          </cell>
          <cell r="C1532">
            <v>15527</v>
          </cell>
          <cell r="D1532">
            <v>15200.313</v>
          </cell>
          <cell r="E1532">
            <v>16486.79</v>
          </cell>
          <cell r="F1532">
            <v>16444.188000000002</v>
          </cell>
        </row>
        <row r="1533">
          <cell r="A1533">
            <v>1285</v>
          </cell>
          <cell r="B1533">
            <v>6199</v>
          </cell>
          <cell r="C1533">
            <v>15527</v>
          </cell>
          <cell r="D1533">
            <v>15212.151250000001</v>
          </cell>
          <cell r="E1533">
            <v>16487.537499999999</v>
          </cell>
          <cell r="F1533">
            <v>16456.994999999999</v>
          </cell>
        </row>
        <row r="1534">
          <cell r="A1534">
            <v>1286</v>
          </cell>
          <cell r="B1534">
            <v>6199</v>
          </cell>
          <cell r="C1534">
            <v>15527</v>
          </cell>
          <cell r="D1534">
            <v>15223.9895</v>
          </cell>
          <cell r="E1534">
            <v>16488.285</v>
          </cell>
          <cell r="F1534">
            <v>16469.802</v>
          </cell>
        </row>
        <row r="1535">
          <cell r="A1535">
            <v>1287</v>
          </cell>
          <cell r="B1535">
            <v>6199</v>
          </cell>
          <cell r="C1535">
            <v>15527</v>
          </cell>
          <cell r="D1535">
            <v>15235.82775</v>
          </cell>
          <cell r="E1535">
            <v>16489.032500000001</v>
          </cell>
          <cell r="F1535">
            <v>16482.609</v>
          </cell>
        </row>
        <row r="1536">
          <cell r="A1536">
            <v>1288</v>
          </cell>
          <cell r="B1536">
            <v>6199</v>
          </cell>
          <cell r="C1536">
            <v>15527</v>
          </cell>
          <cell r="D1536">
            <v>15247.666000000001</v>
          </cell>
          <cell r="E1536">
            <v>16489.78</v>
          </cell>
          <cell r="F1536">
            <v>16495.416000000001</v>
          </cell>
        </row>
        <row r="1537">
          <cell r="A1537">
            <v>1289</v>
          </cell>
          <cell r="B1537">
            <v>6199</v>
          </cell>
          <cell r="C1537">
            <v>15527</v>
          </cell>
          <cell r="D1537">
            <v>15259.50425</v>
          </cell>
          <cell r="E1537">
            <v>16490.5275</v>
          </cell>
          <cell r="F1537">
            <v>16508.223000000002</v>
          </cell>
        </row>
        <row r="1538">
          <cell r="A1538">
            <v>1290</v>
          </cell>
          <cell r="B1538">
            <v>6199</v>
          </cell>
          <cell r="C1538">
            <v>15527</v>
          </cell>
          <cell r="D1538">
            <v>15271.342500000001</v>
          </cell>
          <cell r="E1538">
            <v>16491.275000000001</v>
          </cell>
          <cell r="F1538">
            <v>16521.03</v>
          </cell>
        </row>
        <row r="1539">
          <cell r="A1539">
            <v>1291</v>
          </cell>
          <cell r="B1539">
            <v>6199</v>
          </cell>
          <cell r="C1539">
            <v>15527</v>
          </cell>
          <cell r="D1539">
            <v>15283.180750000001</v>
          </cell>
          <cell r="E1539">
            <v>16492.022499999999</v>
          </cell>
          <cell r="F1539">
            <v>16533.837</v>
          </cell>
        </row>
        <row r="1540">
          <cell r="A1540">
            <v>1292</v>
          </cell>
          <cell r="B1540">
            <v>6199</v>
          </cell>
          <cell r="C1540">
            <v>15527</v>
          </cell>
          <cell r="D1540">
            <v>15295.019</v>
          </cell>
          <cell r="E1540">
            <v>16492.77</v>
          </cell>
          <cell r="F1540">
            <v>16546.644</v>
          </cell>
        </row>
        <row r="1541">
          <cell r="A1541">
            <v>1293</v>
          </cell>
          <cell r="B1541">
            <v>6199</v>
          </cell>
          <cell r="C1541">
            <v>15527</v>
          </cell>
          <cell r="D1541">
            <v>15306.857250000001</v>
          </cell>
          <cell r="E1541">
            <v>16493.517500000002</v>
          </cell>
          <cell r="F1541">
            <v>16559.451000000001</v>
          </cell>
        </row>
        <row r="1542">
          <cell r="A1542">
            <v>1294</v>
          </cell>
          <cell r="B1542">
            <v>6199</v>
          </cell>
          <cell r="C1542">
            <v>15527</v>
          </cell>
          <cell r="D1542">
            <v>15318.6955</v>
          </cell>
          <cell r="E1542">
            <v>16494.264999999999</v>
          </cell>
          <cell r="F1542">
            <v>16572.258000000002</v>
          </cell>
        </row>
        <row r="1543">
          <cell r="A1543">
            <v>1295</v>
          </cell>
          <cell r="B1543">
            <v>6199</v>
          </cell>
          <cell r="C1543">
            <v>15527</v>
          </cell>
          <cell r="D1543">
            <v>15330.533750000001</v>
          </cell>
          <cell r="E1543">
            <v>16495.012500000001</v>
          </cell>
          <cell r="F1543">
            <v>16585.064999999999</v>
          </cell>
        </row>
        <row r="1544">
          <cell r="A1544">
            <v>1296</v>
          </cell>
          <cell r="B1544">
            <v>6199</v>
          </cell>
          <cell r="C1544">
            <v>15527</v>
          </cell>
          <cell r="D1544">
            <v>15342.372000000001</v>
          </cell>
          <cell r="E1544">
            <v>16495.759999999998</v>
          </cell>
          <cell r="F1544">
            <v>16597.871999999999</v>
          </cell>
        </row>
        <row r="1545">
          <cell r="A1545">
            <v>1297</v>
          </cell>
          <cell r="B1545">
            <v>6199</v>
          </cell>
          <cell r="C1545">
            <v>15527</v>
          </cell>
          <cell r="D1545">
            <v>15354.21025</v>
          </cell>
          <cell r="E1545">
            <v>16496.5075</v>
          </cell>
          <cell r="F1545">
            <v>16610.679</v>
          </cell>
        </row>
        <row r="1546">
          <cell r="A1546">
            <v>1298</v>
          </cell>
          <cell r="B1546">
            <v>6199</v>
          </cell>
          <cell r="C1546">
            <v>15527</v>
          </cell>
          <cell r="D1546">
            <v>15366.048500000001</v>
          </cell>
          <cell r="E1546">
            <v>16497.255000000001</v>
          </cell>
          <cell r="F1546">
            <v>16623.486000000001</v>
          </cell>
        </row>
        <row r="1547">
          <cell r="A1547">
            <v>1299</v>
          </cell>
          <cell r="B1547">
            <v>6199</v>
          </cell>
          <cell r="C1547">
            <v>15527</v>
          </cell>
          <cell r="D1547">
            <v>15377.88675</v>
          </cell>
          <cell r="E1547">
            <v>16498.002499999999</v>
          </cell>
          <cell r="F1547">
            <v>16636.293000000001</v>
          </cell>
        </row>
        <row r="1548">
          <cell r="A1548">
            <v>1300</v>
          </cell>
          <cell r="B1548">
            <v>6199</v>
          </cell>
          <cell r="C1548">
            <v>15527</v>
          </cell>
          <cell r="D1548">
            <v>15389.725</v>
          </cell>
          <cell r="E1548">
            <v>16498.75</v>
          </cell>
          <cell r="F1548">
            <v>16649.100000000002</v>
          </cell>
        </row>
        <row r="1549">
          <cell r="A1549">
            <v>1301</v>
          </cell>
          <cell r="B1549">
            <v>6199</v>
          </cell>
          <cell r="C1549">
            <v>15527</v>
          </cell>
          <cell r="D1549">
            <v>15401.563250000001</v>
          </cell>
          <cell r="E1549">
            <v>16499.497500000001</v>
          </cell>
          <cell r="F1549">
            <v>16661.906999999999</v>
          </cell>
        </row>
        <row r="1550">
          <cell r="A1550">
            <v>1302</v>
          </cell>
          <cell r="B1550">
            <v>6199</v>
          </cell>
          <cell r="C1550">
            <v>15527</v>
          </cell>
          <cell r="D1550">
            <v>15413.4015</v>
          </cell>
          <cell r="E1550">
            <v>16500.244999999999</v>
          </cell>
          <cell r="F1550">
            <v>16674.714</v>
          </cell>
        </row>
        <row r="1551">
          <cell r="A1551">
            <v>1303</v>
          </cell>
          <cell r="B1551">
            <v>6199</v>
          </cell>
          <cell r="C1551">
            <v>15527</v>
          </cell>
          <cell r="D1551">
            <v>15425.239750000001</v>
          </cell>
          <cell r="E1551">
            <v>16500.9925</v>
          </cell>
          <cell r="F1551">
            <v>16687.521000000001</v>
          </cell>
        </row>
        <row r="1552">
          <cell r="A1552">
            <v>1304</v>
          </cell>
          <cell r="B1552">
            <v>6199</v>
          </cell>
          <cell r="C1552">
            <v>15527</v>
          </cell>
          <cell r="D1552">
            <v>15437.078000000001</v>
          </cell>
          <cell r="E1552">
            <v>16501.740000000002</v>
          </cell>
          <cell r="F1552">
            <v>16700.328000000001</v>
          </cell>
        </row>
        <row r="1553">
          <cell r="A1553">
            <v>1305</v>
          </cell>
          <cell r="B1553">
            <v>6199</v>
          </cell>
          <cell r="C1553">
            <v>15527</v>
          </cell>
          <cell r="D1553">
            <v>15448.91625</v>
          </cell>
          <cell r="E1553">
            <v>16502.487499999999</v>
          </cell>
          <cell r="F1553">
            <v>16713.135000000002</v>
          </cell>
        </row>
        <row r="1554">
          <cell r="A1554">
            <v>1306</v>
          </cell>
          <cell r="B1554">
            <v>6199</v>
          </cell>
          <cell r="C1554">
            <v>15527</v>
          </cell>
          <cell r="D1554">
            <v>15460.754500000001</v>
          </cell>
          <cell r="E1554">
            <v>16503.235000000001</v>
          </cell>
          <cell r="F1554">
            <v>16725.941999999999</v>
          </cell>
        </row>
        <row r="1555">
          <cell r="A1555">
            <v>1307</v>
          </cell>
          <cell r="B1555">
            <v>6199</v>
          </cell>
          <cell r="C1555">
            <v>15527</v>
          </cell>
          <cell r="D1555">
            <v>15472.59275</v>
          </cell>
          <cell r="E1555">
            <v>16503.982499999998</v>
          </cell>
          <cell r="F1555">
            <v>16738.749</v>
          </cell>
        </row>
        <row r="1556">
          <cell r="A1556">
            <v>1308</v>
          </cell>
          <cell r="B1556">
            <v>6199</v>
          </cell>
          <cell r="C1556">
            <v>15527</v>
          </cell>
          <cell r="D1556">
            <v>15484.431</v>
          </cell>
          <cell r="E1556">
            <v>16504.73</v>
          </cell>
          <cell r="F1556">
            <v>16751.556</v>
          </cell>
        </row>
        <row r="1557">
          <cell r="A1557">
            <v>1309</v>
          </cell>
          <cell r="B1557">
            <v>6199</v>
          </cell>
          <cell r="C1557">
            <v>15527</v>
          </cell>
          <cell r="D1557">
            <v>15496.269250000001</v>
          </cell>
          <cell r="E1557">
            <v>16505.477500000001</v>
          </cell>
          <cell r="F1557">
            <v>16764.363000000001</v>
          </cell>
        </row>
        <row r="1558">
          <cell r="A1558">
            <v>1310</v>
          </cell>
          <cell r="B1558">
            <v>6199</v>
          </cell>
          <cell r="C1558">
            <v>15527</v>
          </cell>
          <cell r="D1558">
            <v>15508.1075</v>
          </cell>
          <cell r="E1558">
            <v>16506.224999999999</v>
          </cell>
          <cell r="F1558">
            <v>16777.170000000002</v>
          </cell>
        </row>
        <row r="1559">
          <cell r="A1559">
            <v>1311</v>
          </cell>
          <cell r="B1559">
            <v>6199</v>
          </cell>
          <cell r="C1559">
            <v>15527</v>
          </cell>
          <cell r="D1559">
            <v>15519.945750000001</v>
          </cell>
          <cell r="E1559">
            <v>16506.9725</v>
          </cell>
          <cell r="F1559">
            <v>16789.976999999999</v>
          </cell>
        </row>
        <row r="1560">
          <cell r="A1560">
            <v>1312</v>
          </cell>
          <cell r="B1560">
            <v>6199</v>
          </cell>
          <cell r="C1560">
            <v>15527</v>
          </cell>
          <cell r="D1560">
            <v>15531.784</v>
          </cell>
          <cell r="E1560">
            <v>16507.72</v>
          </cell>
          <cell r="F1560">
            <v>16802.784</v>
          </cell>
        </row>
        <row r="1561">
          <cell r="A1561">
            <v>1313</v>
          </cell>
          <cell r="B1561">
            <v>6199</v>
          </cell>
          <cell r="C1561">
            <v>15527</v>
          </cell>
          <cell r="D1561">
            <v>15543.62225</v>
          </cell>
          <cell r="E1561">
            <v>16508.467499999999</v>
          </cell>
          <cell r="F1561">
            <v>16815.591</v>
          </cell>
        </row>
        <row r="1562">
          <cell r="A1562">
            <v>1314</v>
          </cell>
          <cell r="B1562">
            <v>6199</v>
          </cell>
          <cell r="C1562">
            <v>15527</v>
          </cell>
          <cell r="D1562">
            <v>15555.460500000001</v>
          </cell>
          <cell r="E1562">
            <v>16509.215</v>
          </cell>
          <cell r="F1562">
            <v>16828.398000000001</v>
          </cell>
        </row>
        <row r="1563">
          <cell r="A1563">
            <v>1315</v>
          </cell>
          <cell r="B1563">
            <v>6199</v>
          </cell>
          <cell r="C1563">
            <v>15527</v>
          </cell>
          <cell r="D1563">
            <v>15567.29875</v>
          </cell>
          <cell r="E1563">
            <v>16509.962500000001</v>
          </cell>
          <cell r="F1563">
            <v>16841.205000000002</v>
          </cell>
        </row>
        <row r="1564">
          <cell r="A1564">
            <v>1316</v>
          </cell>
          <cell r="B1564">
            <v>6199</v>
          </cell>
          <cell r="C1564">
            <v>15527</v>
          </cell>
          <cell r="D1564">
            <v>15579.137000000001</v>
          </cell>
          <cell r="E1564">
            <v>16510.71</v>
          </cell>
          <cell r="F1564">
            <v>16854.011999999999</v>
          </cell>
        </row>
        <row r="1565">
          <cell r="A1565">
            <v>1317</v>
          </cell>
          <cell r="B1565">
            <v>6199</v>
          </cell>
          <cell r="C1565">
            <v>15527</v>
          </cell>
          <cell r="D1565">
            <v>15590.975250000001</v>
          </cell>
          <cell r="E1565">
            <v>16511.4575</v>
          </cell>
          <cell r="F1565">
            <v>16866.819</v>
          </cell>
        </row>
        <row r="1566">
          <cell r="A1566">
            <v>1318</v>
          </cell>
          <cell r="B1566">
            <v>6199</v>
          </cell>
          <cell r="C1566">
            <v>15527</v>
          </cell>
          <cell r="D1566">
            <v>15602.8135</v>
          </cell>
          <cell r="E1566">
            <v>16512.205000000002</v>
          </cell>
          <cell r="F1566">
            <v>16879.626</v>
          </cell>
        </row>
        <row r="1567">
          <cell r="A1567">
            <v>1319</v>
          </cell>
          <cell r="B1567">
            <v>6199</v>
          </cell>
          <cell r="C1567">
            <v>15527</v>
          </cell>
          <cell r="D1567">
            <v>15614.651750000001</v>
          </cell>
          <cell r="E1567">
            <v>16512.952499999999</v>
          </cell>
          <cell r="F1567">
            <v>16892.433000000001</v>
          </cell>
        </row>
        <row r="1568">
          <cell r="A1568">
            <v>1320</v>
          </cell>
          <cell r="B1568">
            <v>6199</v>
          </cell>
          <cell r="C1568">
            <v>15527</v>
          </cell>
          <cell r="D1568">
            <v>15626.49</v>
          </cell>
          <cell r="E1568">
            <v>16513.7</v>
          </cell>
          <cell r="F1568">
            <v>16905.240000000002</v>
          </cell>
        </row>
        <row r="1569">
          <cell r="A1569">
            <v>1321</v>
          </cell>
          <cell r="B1569">
            <v>6374</v>
          </cell>
          <cell r="C1569">
            <v>15892</v>
          </cell>
          <cell r="D1569">
            <v>15638.32825</v>
          </cell>
          <cell r="E1569">
            <v>16879.447499999998</v>
          </cell>
          <cell r="F1569">
            <v>16918.047000000002</v>
          </cell>
        </row>
        <row r="1570">
          <cell r="A1570">
            <v>1322</v>
          </cell>
          <cell r="B1570">
            <v>6374</v>
          </cell>
          <cell r="C1570">
            <v>15892</v>
          </cell>
          <cell r="D1570">
            <v>15650.166500000001</v>
          </cell>
          <cell r="E1570">
            <v>16880.195</v>
          </cell>
          <cell r="F1570">
            <v>16930.853999999999</v>
          </cell>
        </row>
        <row r="1571">
          <cell r="A1571">
            <v>1323</v>
          </cell>
          <cell r="B1571">
            <v>6374</v>
          </cell>
          <cell r="C1571">
            <v>15892</v>
          </cell>
          <cell r="D1571">
            <v>15662.00475</v>
          </cell>
          <cell r="E1571">
            <v>16880.942500000001</v>
          </cell>
          <cell r="F1571">
            <v>16943.661</v>
          </cell>
        </row>
        <row r="1572">
          <cell r="A1572">
            <v>1324</v>
          </cell>
          <cell r="B1572">
            <v>6374</v>
          </cell>
          <cell r="C1572">
            <v>15892</v>
          </cell>
          <cell r="D1572">
            <v>15673.843000000001</v>
          </cell>
          <cell r="E1572">
            <v>16881.689999999999</v>
          </cell>
          <cell r="F1572">
            <v>16956.468000000001</v>
          </cell>
        </row>
        <row r="1573">
          <cell r="A1573">
            <v>1325</v>
          </cell>
          <cell r="B1573">
            <v>6374</v>
          </cell>
          <cell r="C1573">
            <v>15892</v>
          </cell>
          <cell r="D1573">
            <v>15685.68125</v>
          </cell>
          <cell r="E1573">
            <v>16882.4375</v>
          </cell>
          <cell r="F1573">
            <v>16969.275000000001</v>
          </cell>
        </row>
        <row r="1574">
          <cell r="A1574">
            <v>1326</v>
          </cell>
          <cell r="B1574">
            <v>6374</v>
          </cell>
          <cell r="C1574">
            <v>15892</v>
          </cell>
          <cell r="D1574">
            <v>15697.5195</v>
          </cell>
          <cell r="E1574">
            <v>16883.185000000001</v>
          </cell>
          <cell r="F1574">
            <v>16982.082000000002</v>
          </cell>
        </row>
        <row r="1575">
          <cell r="A1575">
            <v>1327</v>
          </cell>
          <cell r="B1575">
            <v>6374</v>
          </cell>
          <cell r="C1575">
            <v>15892</v>
          </cell>
          <cell r="D1575">
            <v>15709.357750000001</v>
          </cell>
          <cell r="E1575">
            <v>16883.932499999999</v>
          </cell>
          <cell r="F1575">
            <v>16994.888999999999</v>
          </cell>
        </row>
        <row r="1576">
          <cell r="A1576">
            <v>1328</v>
          </cell>
          <cell r="B1576">
            <v>6374</v>
          </cell>
          <cell r="C1576">
            <v>15892</v>
          </cell>
          <cell r="D1576">
            <v>15721.196</v>
          </cell>
          <cell r="E1576">
            <v>16884.68</v>
          </cell>
          <cell r="F1576">
            <v>17007.696</v>
          </cell>
        </row>
        <row r="1577">
          <cell r="A1577">
            <v>1329</v>
          </cell>
          <cell r="B1577">
            <v>6374</v>
          </cell>
          <cell r="C1577">
            <v>15892</v>
          </cell>
          <cell r="D1577">
            <v>15733.034250000001</v>
          </cell>
          <cell r="E1577">
            <v>16885.427500000002</v>
          </cell>
          <cell r="F1577">
            <v>17020.503000000001</v>
          </cell>
        </row>
        <row r="1578">
          <cell r="A1578">
            <v>1330</v>
          </cell>
          <cell r="B1578">
            <v>6374</v>
          </cell>
          <cell r="C1578">
            <v>15892</v>
          </cell>
          <cell r="D1578">
            <v>15744.872500000001</v>
          </cell>
          <cell r="E1578">
            <v>16886.174999999999</v>
          </cell>
          <cell r="F1578">
            <v>17033.310000000001</v>
          </cell>
        </row>
        <row r="1579">
          <cell r="A1579">
            <v>1331</v>
          </cell>
          <cell r="B1579">
            <v>6374</v>
          </cell>
          <cell r="C1579">
            <v>15892</v>
          </cell>
          <cell r="D1579">
            <v>15756.71075</v>
          </cell>
          <cell r="E1579">
            <v>16886.922500000001</v>
          </cell>
          <cell r="F1579">
            <v>17046.117000000002</v>
          </cell>
        </row>
        <row r="1580">
          <cell r="A1580">
            <v>1332</v>
          </cell>
          <cell r="B1580">
            <v>6374</v>
          </cell>
          <cell r="C1580">
            <v>15892</v>
          </cell>
          <cell r="D1580">
            <v>15768.549000000001</v>
          </cell>
          <cell r="E1580">
            <v>16887.669999999998</v>
          </cell>
          <cell r="F1580">
            <v>17058.923999999999</v>
          </cell>
        </row>
        <row r="1581">
          <cell r="A1581">
            <v>1333</v>
          </cell>
          <cell r="B1581">
            <v>6374</v>
          </cell>
          <cell r="C1581">
            <v>15892</v>
          </cell>
          <cell r="D1581">
            <v>15780.38725</v>
          </cell>
          <cell r="E1581">
            <v>16888.4175</v>
          </cell>
          <cell r="F1581">
            <v>17071.731</v>
          </cell>
        </row>
        <row r="1582">
          <cell r="A1582">
            <v>1334</v>
          </cell>
          <cell r="B1582">
            <v>6374</v>
          </cell>
          <cell r="C1582">
            <v>15892</v>
          </cell>
          <cell r="D1582">
            <v>15792.2255</v>
          </cell>
          <cell r="E1582">
            <v>16889.165000000001</v>
          </cell>
          <cell r="F1582">
            <v>17084.538</v>
          </cell>
        </row>
        <row r="1583">
          <cell r="A1583">
            <v>1335</v>
          </cell>
          <cell r="B1583">
            <v>6374</v>
          </cell>
          <cell r="C1583">
            <v>15892</v>
          </cell>
          <cell r="D1583">
            <v>15804.063750000001</v>
          </cell>
          <cell r="E1583">
            <v>16889.912499999999</v>
          </cell>
          <cell r="F1583">
            <v>17097.345000000001</v>
          </cell>
        </row>
        <row r="1584">
          <cell r="A1584">
            <v>1336</v>
          </cell>
          <cell r="B1584">
            <v>6374</v>
          </cell>
          <cell r="C1584">
            <v>15892</v>
          </cell>
          <cell r="D1584">
            <v>15815.902</v>
          </cell>
          <cell r="E1584">
            <v>16890.66</v>
          </cell>
          <cell r="F1584">
            <v>17110.152000000002</v>
          </cell>
        </row>
        <row r="1585">
          <cell r="A1585">
            <v>1337</v>
          </cell>
          <cell r="B1585">
            <v>6374</v>
          </cell>
          <cell r="C1585">
            <v>15892</v>
          </cell>
          <cell r="D1585">
            <v>15827.740250000001</v>
          </cell>
          <cell r="E1585">
            <v>16891.407500000001</v>
          </cell>
          <cell r="F1585">
            <v>17122.958999999999</v>
          </cell>
        </row>
        <row r="1586">
          <cell r="A1586">
            <v>1338</v>
          </cell>
          <cell r="B1586">
            <v>6374</v>
          </cell>
          <cell r="C1586">
            <v>15892</v>
          </cell>
          <cell r="D1586">
            <v>15839.5785</v>
          </cell>
          <cell r="E1586">
            <v>16892.154999999999</v>
          </cell>
          <cell r="F1586">
            <v>17135.766</v>
          </cell>
        </row>
        <row r="1587">
          <cell r="A1587">
            <v>1339</v>
          </cell>
          <cell r="B1587">
            <v>6374</v>
          </cell>
          <cell r="C1587">
            <v>15892</v>
          </cell>
          <cell r="D1587">
            <v>15851.41675</v>
          </cell>
          <cell r="E1587">
            <v>16892.9025</v>
          </cell>
          <cell r="F1587">
            <v>17148.573</v>
          </cell>
        </row>
        <row r="1588">
          <cell r="A1588">
            <v>1340</v>
          </cell>
          <cell r="B1588">
            <v>6374</v>
          </cell>
          <cell r="C1588">
            <v>15892</v>
          </cell>
          <cell r="D1588">
            <v>15863.255000000001</v>
          </cell>
          <cell r="E1588">
            <v>16893.650000000001</v>
          </cell>
          <cell r="F1588">
            <v>17161.38</v>
          </cell>
        </row>
        <row r="1589">
          <cell r="A1589">
            <v>1341</v>
          </cell>
          <cell r="B1589">
            <v>6374</v>
          </cell>
          <cell r="C1589">
            <v>15892</v>
          </cell>
          <cell r="D1589">
            <v>15875.09325</v>
          </cell>
          <cell r="E1589">
            <v>16894.397499999999</v>
          </cell>
          <cell r="F1589">
            <v>17174.187000000002</v>
          </cell>
        </row>
        <row r="1590">
          <cell r="A1590">
            <v>1342</v>
          </cell>
          <cell r="B1590">
            <v>6374</v>
          </cell>
          <cell r="C1590">
            <v>15892</v>
          </cell>
          <cell r="D1590">
            <v>15886.931500000001</v>
          </cell>
          <cell r="E1590">
            <v>16895.145</v>
          </cell>
          <cell r="F1590">
            <v>17186.993999999999</v>
          </cell>
        </row>
        <row r="1591">
          <cell r="A1591">
            <v>1343</v>
          </cell>
          <cell r="B1591">
            <v>6374</v>
          </cell>
          <cell r="C1591">
            <v>15892</v>
          </cell>
          <cell r="D1591">
            <v>15898.769750000001</v>
          </cell>
          <cell r="E1591">
            <v>16895.892500000002</v>
          </cell>
          <cell r="F1591">
            <v>17199.800999999999</v>
          </cell>
        </row>
        <row r="1592">
          <cell r="A1592">
            <v>1344</v>
          </cell>
          <cell r="B1592">
            <v>6374</v>
          </cell>
          <cell r="C1592">
            <v>15892</v>
          </cell>
          <cell r="D1592">
            <v>15910.608</v>
          </cell>
          <cell r="E1592">
            <v>16896.64</v>
          </cell>
          <cell r="F1592">
            <v>17212.608</v>
          </cell>
        </row>
        <row r="1593">
          <cell r="A1593">
            <v>1345</v>
          </cell>
          <cell r="B1593">
            <v>6374</v>
          </cell>
          <cell r="C1593">
            <v>15892</v>
          </cell>
          <cell r="D1593">
            <v>15922.446250000001</v>
          </cell>
          <cell r="E1593">
            <v>16897.387500000001</v>
          </cell>
          <cell r="F1593">
            <v>17225.415000000001</v>
          </cell>
        </row>
        <row r="1594">
          <cell r="A1594">
            <v>1346</v>
          </cell>
          <cell r="B1594">
            <v>6374</v>
          </cell>
          <cell r="C1594">
            <v>15892</v>
          </cell>
          <cell r="D1594">
            <v>15934.2845</v>
          </cell>
          <cell r="E1594">
            <v>16898.134999999998</v>
          </cell>
          <cell r="F1594">
            <v>17238.222000000002</v>
          </cell>
        </row>
        <row r="1595">
          <cell r="A1595">
            <v>1347</v>
          </cell>
          <cell r="B1595">
            <v>6374</v>
          </cell>
          <cell r="C1595">
            <v>15892</v>
          </cell>
          <cell r="D1595">
            <v>15946.12275</v>
          </cell>
          <cell r="E1595">
            <v>16898.8825</v>
          </cell>
          <cell r="F1595">
            <v>17251.029000000002</v>
          </cell>
        </row>
        <row r="1596">
          <cell r="A1596">
            <v>1348</v>
          </cell>
          <cell r="B1596">
            <v>6374</v>
          </cell>
          <cell r="C1596">
            <v>15892</v>
          </cell>
          <cell r="D1596">
            <v>15957.961000000001</v>
          </cell>
          <cell r="E1596">
            <v>16899.63</v>
          </cell>
          <cell r="F1596">
            <v>17263.835999999999</v>
          </cell>
        </row>
        <row r="1597">
          <cell r="A1597">
            <v>1349</v>
          </cell>
          <cell r="B1597">
            <v>6374</v>
          </cell>
          <cell r="C1597">
            <v>15892</v>
          </cell>
          <cell r="D1597">
            <v>15969.79925</v>
          </cell>
          <cell r="E1597">
            <v>16900.377499999999</v>
          </cell>
          <cell r="F1597">
            <v>17276.643</v>
          </cell>
        </row>
        <row r="1598">
          <cell r="A1598">
            <v>1350</v>
          </cell>
          <cell r="B1598">
            <v>6374</v>
          </cell>
          <cell r="C1598">
            <v>15892</v>
          </cell>
          <cell r="D1598">
            <v>15981.637500000001</v>
          </cell>
          <cell r="E1598">
            <v>16901.125</v>
          </cell>
          <cell r="F1598">
            <v>17289.45</v>
          </cell>
        </row>
        <row r="1599">
          <cell r="A1599">
            <v>1351</v>
          </cell>
          <cell r="B1599">
            <v>6374</v>
          </cell>
          <cell r="C1599">
            <v>15892</v>
          </cell>
          <cell r="D1599">
            <v>15993.475750000001</v>
          </cell>
          <cell r="E1599">
            <v>16901.872500000001</v>
          </cell>
          <cell r="F1599">
            <v>17302.257000000001</v>
          </cell>
        </row>
        <row r="1600">
          <cell r="A1600">
            <v>1352</v>
          </cell>
          <cell r="B1600">
            <v>6374</v>
          </cell>
          <cell r="C1600">
            <v>15892</v>
          </cell>
          <cell r="D1600">
            <v>16005.314</v>
          </cell>
          <cell r="E1600">
            <v>16902.62</v>
          </cell>
          <cell r="F1600">
            <v>17315.064000000002</v>
          </cell>
        </row>
        <row r="1601">
          <cell r="A1601">
            <v>1353</v>
          </cell>
          <cell r="B1601">
            <v>6374</v>
          </cell>
          <cell r="C1601">
            <v>15892</v>
          </cell>
          <cell r="D1601">
            <v>16017.152250000001</v>
          </cell>
          <cell r="E1601">
            <v>16903.3675</v>
          </cell>
          <cell r="F1601">
            <v>17327.870999999999</v>
          </cell>
        </row>
        <row r="1602">
          <cell r="A1602">
            <v>1354</v>
          </cell>
          <cell r="B1602">
            <v>6374</v>
          </cell>
          <cell r="C1602">
            <v>15892</v>
          </cell>
          <cell r="D1602">
            <v>16028.9905</v>
          </cell>
          <cell r="E1602">
            <v>16904.115000000002</v>
          </cell>
          <cell r="F1602">
            <v>17340.678</v>
          </cell>
        </row>
        <row r="1603">
          <cell r="A1603">
            <v>1355</v>
          </cell>
          <cell r="B1603">
            <v>6374</v>
          </cell>
          <cell r="C1603">
            <v>15892</v>
          </cell>
          <cell r="D1603">
            <v>16040.828750000001</v>
          </cell>
          <cell r="E1603">
            <v>16904.862499999999</v>
          </cell>
          <cell r="F1603">
            <v>17353.485000000001</v>
          </cell>
        </row>
        <row r="1604">
          <cell r="A1604">
            <v>1356</v>
          </cell>
          <cell r="B1604">
            <v>6374</v>
          </cell>
          <cell r="C1604">
            <v>15892</v>
          </cell>
          <cell r="D1604">
            <v>16052.667000000001</v>
          </cell>
          <cell r="E1604">
            <v>16905.61</v>
          </cell>
          <cell r="F1604">
            <v>17366.292000000001</v>
          </cell>
        </row>
        <row r="1605">
          <cell r="A1605">
            <v>1357</v>
          </cell>
          <cell r="B1605">
            <v>6374</v>
          </cell>
          <cell r="C1605">
            <v>15892</v>
          </cell>
          <cell r="D1605">
            <v>16064.50525</v>
          </cell>
          <cell r="E1605">
            <v>16906.357499999998</v>
          </cell>
          <cell r="F1605">
            <v>17379.099000000002</v>
          </cell>
        </row>
        <row r="1606">
          <cell r="A1606">
            <v>1358</v>
          </cell>
          <cell r="B1606">
            <v>6374</v>
          </cell>
          <cell r="C1606">
            <v>15892</v>
          </cell>
          <cell r="D1606">
            <v>16076.343500000001</v>
          </cell>
          <cell r="E1606">
            <v>16907.105</v>
          </cell>
          <cell r="F1606">
            <v>17391.905999999999</v>
          </cell>
        </row>
        <row r="1607">
          <cell r="A1607">
            <v>1359</v>
          </cell>
          <cell r="B1607">
            <v>6374</v>
          </cell>
          <cell r="C1607">
            <v>15892</v>
          </cell>
          <cell r="D1607">
            <v>16088.18175</v>
          </cell>
          <cell r="E1607">
            <v>16907.852500000001</v>
          </cell>
          <cell r="F1607">
            <v>17404.713</v>
          </cell>
        </row>
        <row r="1608">
          <cell r="A1608">
            <v>1360</v>
          </cell>
          <cell r="B1608">
            <v>6374</v>
          </cell>
          <cell r="C1608">
            <v>15892</v>
          </cell>
          <cell r="D1608">
            <v>16100.02</v>
          </cell>
          <cell r="E1608">
            <v>16908.599999999999</v>
          </cell>
          <cell r="F1608">
            <v>17417.52</v>
          </cell>
        </row>
        <row r="1609">
          <cell r="A1609">
            <v>1361</v>
          </cell>
          <cell r="B1609">
            <v>6549</v>
          </cell>
          <cell r="C1609">
            <v>16257</v>
          </cell>
          <cell r="D1609">
            <v>16111.858250000001</v>
          </cell>
          <cell r="E1609">
            <v>17274.3475</v>
          </cell>
          <cell r="F1609">
            <v>17430.327000000001</v>
          </cell>
        </row>
        <row r="1610">
          <cell r="A1610">
            <v>1362</v>
          </cell>
          <cell r="B1610">
            <v>6549</v>
          </cell>
          <cell r="C1610">
            <v>16257</v>
          </cell>
          <cell r="D1610">
            <v>16123.6965</v>
          </cell>
          <cell r="E1610">
            <v>17275.095000000001</v>
          </cell>
          <cell r="F1610">
            <v>17443.134000000002</v>
          </cell>
        </row>
        <row r="1611">
          <cell r="A1611">
            <v>1363</v>
          </cell>
          <cell r="B1611">
            <v>6549</v>
          </cell>
          <cell r="C1611">
            <v>16257</v>
          </cell>
          <cell r="D1611">
            <v>16135.534750000001</v>
          </cell>
          <cell r="E1611">
            <v>17275.842499999999</v>
          </cell>
          <cell r="F1611">
            <v>17455.940999999999</v>
          </cell>
        </row>
        <row r="1612">
          <cell r="A1612">
            <v>1364</v>
          </cell>
          <cell r="B1612">
            <v>6549</v>
          </cell>
          <cell r="C1612">
            <v>16257</v>
          </cell>
          <cell r="D1612">
            <v>16147.373000000001</v>
          </cell>
          <cell r="E1612">
            <v>17276.59</v>
          </cell>
          <cell r="F1612">
            <v>17468.748</v>
          </cell>
        </row>
        <row r="1613">
          <cell r="A1613">
            <v>1365</v>
          </cell>
          <cell r="B1613">
            <v>6549</v>
          </cell>
          <cell r="C1613">
            <v>16257</v>
          </cell>
          <cell r="D1613">
            <v>16159.21125</v>
          </cell>
          <cell r="E1613">
            <v>17277.337500000001</v>
          </cell>
          <cell r="F1613">
            <v>17481.555</v>
          </cell>
        </row>
        <row r="1614">
          <cell r="A1614">
            <v>1366</v>
          </cell>
          <cell r="B1614">
            <v>6549</v>
          </cell>
          <cell r="C1614">
            <v>16257</v>
          </cell>
          <cell r="D1614">
            <v>16171.049500000001</v>
          </cell>
          <cell r="E1614">
            <v>17278.084999999999</v>
          </cell>
          <cell r="F1614">
            <v>17494.362000000001</v>
          </cell>
        </row>
        <row r="1615">
          <cell r="A1615">
            <v>1367</v>
          </cell>
          <cell r="B1615">
            <v>6549</v>
          </cell>
          <cell r="C1615">
            <v>16257</v>
          </cell>
          <cell r="D1615">
            <v>16182.88775</v>
          </cell>
          <cell r="E1615">
            <v>17278.8325</v>
          </cell>
          <cell r="F1615">
            <v>17507.169000000002</v>
          </cell>
        </row>
        <row r="1616">
          <cell r="A1616">
            <v>1368</v>
          </cell>
          <cell r="B1616">
            <v>6549</v>
          </cell>
          <cell r="C1616">
            <v>16257</v>
          </cell>
          <cell r="D1616">
            <v>16194.726000000001</v>
          </cell>
          <cell r="E1616">
            <v>17279.580000000002</v>
          </cell>
          <cell r="F1616">
            <v>17519.975999999999</v>
          </cell>
        </row>
        <row r="1617">
          <cell r="A1617">
            <v>1369</v>
          </cell>
          <cell r="B1617">
            <v>6549</v>
          </cell>
          <cell r="C1617">
            <v>16257</v>
          </cell>
          <cell r="D1617">
            <v>16206.564250000001</v>
          </cell>
          <cell r="E1617">
            <v>17280.327499999999</v>
          </cell>
          <cell r="F1617">
            <v>17532.782999999999</v>
          </cell>
        </row>
        <row r="1618">
          <cell r="A1618">
            <v>1370</v>
          </cell>
          <cell r="B1618">
            <v>6549</v>
          </cell>
          <cell r="C1618">
            <v>16257</v>
          </cell>
          <cell r="D1618">
            <v>16218.4025</v>
          </cell>
          <cell r="E1618">
            <v>17281.075000000001</v>
          </cell>
          <cell r="F1618">
            <v>17545.59</v>
          </cell>
        </row>
        <row r="1619">
          <cell r="A1619">
            <v>1371</v>
          </cell>
          <cell r="B1619">
            <v>6549</v>
          </cell>
          <cell r="C1619">
            <v>16257</v>
          </cell>
          <cell r="D1619">
            <v>16230.240750000001</v>
          </cell>
          <cell r="E1619">
            <v>17281.822499999998</v>
          </cell>
          <cell r="F1619">
            <v>17558.397000000001</v>
          </cell>
        </row>
        <row r="1620">
          <cell r="A1620">
            <v>1372</v>
          </cell>
          <cell r="B1620">
            <v>6549</v>
          </cell>
          <cell r="C1620">
            <v>16257</v>
          </cell>
          <cell r="D1620">
            <v>16242.079</v>
          </cell>
          <cell r="E1620">
            <v>17282.57</v>
          </cell>
          <cell r="F1620">
            <v>17571.204000000002</v>
          </cell>
        </row>
        <row r="1621">
          <cell r="A1621">
            <v>1373</v>
          </cell>
          <cell r="B1621">
            <v>6549</v>
          </cell>
          <cell r="C1621">
            <v>16257</v>
          </cell>
          <cell r="D1621">
            <v>16253.91725</v>
          </cell>
          <cell r="E1621">
            <v>17283.317500000001</v>
          </cell>
          <cell r="F1621">
            <v>17584.011000000002</v>
          </cell>
        </row>
        <row r="1622">
          <cell r="A1622">
            <v>1374</v>
          </cell>
          <cell r="B1622">
            <v>6549</v>
          </cell>
          <cell r="C1622">
            <v>16257</v>
          </cell>
          <cell r="D1622">
            <v>16265.755500000001</v>
          </cell>
          <cell r="E1622">
            <v>17284.064999999999</v>
          </cell>
          <cell r="F1622">
            <v>17596.817999999999</v>
          </cell>
        </row>
        <row r="1623">
          <cell r="A1623">
            <v>1375</v>
          </cell>
          <cell r="B1623">
            <v>6549</v>
          </cell>
          <cell r="C1623">
            <v>16257</v>
          </cell>
          <cell r="D1623">
            <v>16277.59375</v>
          </cell>
          <cell r="E1623">
            <v>17284.8125</v>
          </cell>
          <cell r="F1623">
            <v>17609.625</v>
          </cell>
        </row>
        <row r="1624">
          <cell r="A1624">
            <v>1376</v>
          </cell>
          <cell r="B1624">
            <v>6549</v>
          </cell>
          <cell r="C1624">
            <v>16257</v>
          </cell>
          <cell r="D1624">
            <v>16289.432000000001</v>
          </cell>
          <cell r="E1624">
            <v>17285.560000000001</v>
          </cell>
          <cell r="F1624">
            <v>17622.432000000001</v>
          </cell>
        </row>
        <row r="1625">
          <cell r="A1625">
            <v>1377</v>
          </cell>
          <cell r="B1625">
            <v>6549</v>
          </cell>
          <cell r="C1625">
            <v>16257</v>
          </cell>
          <cell r="D1625">
            <v>16301.270250000001</v>
          </cell>
          <cell r="E1625">
            <v>17286.307499999999</v>
          </cell>
          <cell r="F1625">
            <v>17635.239000000001</v>
          </cell>
        </row>
        <row r="1626">
          <cell r="A1626">
            <v>1378</v>
          </cell>
          <cell r="B1626">
            <v>6549</v>
          </cell>
          <cell r="C1626">
            <v>16257</v>
          </cell>
          <cell r="D1626">
            <v>16313.1085</v>
          </cell>
          <cell r="E1626">
            <v>17287.055</v>
          </cell>
          <cell r="F1626">
            <v>17648.046000000002</v>
          </cell>
        </row>
        <row r="1627">
          <cell r="A1627">
            <v>1379</v>
          </cell>
          <cell r="B1627">
            <v>6549</v>
          </cell>
          <cell r="C1627">
            <v>16257</v>
          </cell>
          <cell r="D1627">
            <v>16324.946750000001</v>
          </cell>
          <cell r="E1627">
            <v>17287.802500000002</v>
          </cell>
          <cell r="F1627">
            <v>17660.852999999999</v>
          </cell>
        </row>
        <row r="1628">
          <cell r="A1628">
            <v>1380</v>
          </cell>
          <cell r="B1628">
            <v>6549</v>
          </cell>
          <cell r="C1628">
            <v>16257</v>
          </cell>
          <cell r="D1628">
            <v>16336.785</v>
          </cell>
          <cell r="E1628">
            <v>17288.55</v>
          </cell>
          <cell r="F1628">
            <v>17673.66</v>
          </cell>
        </row>
        <row r="1629">
          <cell r="A1629">
            <v>1381</v>
          </cell>
          <cell r="B1629">
            <v>6549</v>
          </cell>
          <cell r="C1629">
            <v>16257</v>
          </cell>
          <cell r="D1629">
            <v>16348.623250000001</v>
          </cell>
          <cell r="E1629">
            <v>17289.297500000001</v>
          </cell>
          <cell r="F1629">
            <v>17686.467000000001</v>
          </cell>
        </row>
        <row r="1630">
          <cell r="A1630">
            <v>1382</v>
          </cell>
          <cell r="B1630">
            <v>6549</v>
          </cell>
          <cell r="C1630">
            <v>16257</v>
          </cell>
          <cell r="D1630">
            <v>16360.461500000001</v>
          </cell>
          <cell r="E1630">
            <v>17290.044999999998</v>
          </cell>
          <cell r="F1630">
            <v>17699.274000000001</v>
          </cell>
        </row>
        <row r="1631">
          <cell r="A1631">
            <v>1383</v>
          </cell>
          <cell r="B1631">
            <v>6549</v>
          </cell>
          <cell r="C1631">
            <v>16257</v>
          </cell>
          <cell r="D1631">
            <v>16372.29975</v>
          </cell>
          <cell r="E1631">
            <v>17290.7925</v>
          </cell>
          <cell r="F1631">
            <v>17712.081000000002</v>
          </cell>
        </row>
        <row r="1632">
          <cell r="A1632">
            <v>1384</v>
          </cell>
          <cell r="B1632">
            <v>6549</v>
          </cell>
          <cell r="C1632">
            <v>16257</v>
          </cell>
          <cell r="D1632">
            <v>16384.137999999999</v>
          </cell>
          <cell r="E1632">
            <v>17291.54</v>
          </cell>
          <cell r="F1632">
            <v>17724.887999999999</v>
          </cell>
        </row>
        <row r="1633">
          <cell r="A1633">
            <v>1385</v>
          </cell>
          <cell r="B1633">
            <v>6549</v>
          </cell>
          <cell r="C1633">
            <v>16257</v>
          </cell>
          <cell r="D1633">
            <v>16395.97625</v>
          </cell>
          <cell r="E1633">
            <v>17292.287499999999</v>
          </cell>
          <cell r="F1633">
            <v>17737.695</v>
          </cell>
        </row>
        <row r="1634">
          <cell r="A1634">
            <v>1386</v>
          </cell>
          <cell r="B1634">
            <v>6549</v>
          </cell>
          <cell r="C1634">
            <v>16257</v>
          </cell>
          <cell r="D1634">
            <v>16407.8145</v>
          </cell>
          <cell r="E1634">
            <v>17293.035</v>
          </cell>
          <cell r="F1634">
            <v>17750.502</v>
          </cell>
        </row>
        <row r="1635">
          <cell r="A1635">
            <v>1387</v>
          </cell>
          <cell r="B1635">
            <v>6549</v>
          </cell>
          <cell r="C1635">
            <v>16257</v>
          </cell>
          <cell r="D1635">
            <v>16419.652750000001</v>
          </cell>
          <cell r="E1635">
            <v>17293.782500000001</v>
          </cell>
          <cell r="F1635">
            <v>17763.309000000001</v>
          </cell>
        </row>
        <row r="1636">
          <cell r="A1636">
            <v>1388</v>
          </cell>
          <cell r="B1636">
            <v>6549</v>
          </cell>
          <cell r="C1636">
            <v>16257</v>
          </cell>
          <cell r="D1636">
            <v>16431.491000000002</v>
          </cell>
          <cell r="E1636">
            <v>17294.53</v>
          </cell>
          <cell r="F1636">
            <v>17776.116000000002</v>
          </cell>
        </row>
        <row r="1637">
          <cell r="A1637">
            <v>1389</v>
          </cell>
          <cell r="B1637">
            <v>6549</v>
          </cell>
          <cell r="C1637">
            <v>16257</v>
          </cell>
          <cell r="D1637">
            <v>16443.329249999999</v>
          </cell>
          <cell r="E1637">
            <v>17295.2775</v>
          </cell>
          <cell r="F1637">
            <v>17788.922999999999</v>
          </cell>
        </row>
        <row r="1638">
          <cell r="A1638">
            <v>1390</v>
          </cell>
          <cell r="B1638">
            <v>6549</v>
          </cell>
          <cell r="C1638">
            <v>16257</v>
          </cell>
          <cell r="D1638">
            <v>16455.1675</v>
          </cell>
          <cell r="E1638">
            <v>17296.025000000001</v>
          </cell>
          <cell r="F1638">
            <v>17801.73</v>
          </cell>
        </row>
        <row r="1639">
          <cell r="A1639">
            <v>1391</v>
          </cell>
          <cell r="B1639">
            <v>6549</v>
          </cell>
          <cell r="C1639">
            <v>16257</v>
          </cell>
          <cell r="D1639">
            <v>16467.00575</v>
          </cell>
          <cell r="E1639">
            <v>17296.772499999999</v>
          </cell>
          <cell r="F1639">
            <v>17814.537</v>
          </cell>
        </row>
        <row r="1640">
          <cell r="A1640">
            <v>1392</v>
          </cell>
          <cell r="B1640">
            <v>6549</v>
          </cell>
          <cell r="C1640">
            <v>16257</v>
          </cell>
          <cell r="D1640">
            <v>16478.844000000001</v>
          </cell>
          <cell r="E1640">
            <v>17297.52</v>
          </cell>
          <cell r="F1640">
            <v>17827.344000000001</v>
          </cell>
        </row>
        <row r="1641">
          <cell r="A1641">
            <v>1393</v>
          </cell>
          <cell r="B1641">
            <v>6549</v>
          </cell>
          <cell r="C1641">
            <v>16257</v>
          </cell>
          <cell r="D1641">
            <v>16490.682250000002</v>
          </cell>
          <cell r="E1641">
            <v>17298.267500000002</v>
          </cell>
          <cell r="F1641">
            <v>17840.151000000002</v>
          </cell>
        </row>
        <row r="1642">
          <cell r="A1642">
            <v>1394</v>
          </cell>
          <cell r="B1642">
            <v>6549</v>
          </cell>
          <cell r="C1642">
            <v>16257</v>
          </cell>
          <cell r="D1642">
            <v>16502.520499999999</v>
          </cell>
          <cell r="E1642">
            <v>17299.014999999999</v>
          </cell>
          <cell r="F1642">
            <v>17852.957999999999</v>
          </cell>
        </row>
        <row r="1643">
          <cell r="A1643">
            <v>1395</v>
          </cell>
          <cell r="B1643">
            <v>6549</v>
          </cell>
          <cell r="C1643">
            <v>16257</v>
          </cell>
          <cell r="D1643">
            <v>16514.358749999999</v>
          </cell>
          <cell r="E1643">
            <v>17299.762500000001</v>
          </cell>
          <cell r="F1643">
            <v>17865.764999999999</v>
          </cell>
        </row>
        <row r="1644">
          <cell r="A1644">
            <v>1396</v>
          </cell>
          <cell r="B1644">
            <v>6549</v>
          </cell>
          <cell r="C1644">
            <v>16257</v>
          </cell>
          <cell r="D1644">
            <v>16526.197</v>
          </cell>
          <cell r="E1644">
            <v>17300.509999999998</v>
          </cell>
          <cell r="F1644">
            <v>17878.572</v>
          </cell>
        </row>
        <row r="1645">
          <cell r="A1645">
            <v>1397</v>
          </cell>
          <cell r="B1645">
            <v>6549</v>
          </cell>
          <cell r="C1645">
            <v>16257</v>
          </cell>
          <cell r="D1645">
            <v>16538.035250000001</v>
          </cell>
          <cell r="E1645">
            <v>17301.2575</v>
          </cell>
          <cell r="F1645">
            <v>17891.379000000001</v>
          </cell>
        </row>
        <row r="1646">
          <cell r="A1646">
            <v>1398</v>
          </cell>
          <cell r="B1646">
            <v>6549</v>
          </cell>
          <cell r="C1646">
            <v>16257</v>
          </cell>
          <cell r="D1646">
            <v>16549.873500000002</v>
          </cell>
          <cell r="E1646">
            <v>17302.005000000001</v>
          </cell>
          <cell r="F1646">
            <v>17904.186000000002</v>
          </cell>
        </row>
        <row r="1647">
          <cell r="A1647">
            <v>1399</v>
          </cell>
          <cell r="B1647">
            <v>6549</v>
          </cell>
          <cell r="C1647">
            <v>16257</v>
          </cell>
          <cell r="D1647">
            <v>16561.711750000002</v>
          </cell>
          <cell r="E1647">
            <v>17302.752499999999</v>
          </cell>
          <cell r="F1647">
            <v>17916.993000000002</v>
          </cell>
        </row>
        <row r="1648">
          <cell r="A1648">
            <v>1400</v>
          </cell>
          <cell r="B1648">
            <v>6549</v>
          </cell>
          <cell r="C1648">
            <v>16257</v>
          </cell>
          <cell r="D1648">
            <v>16573.55</v>
          </cell>
          <cell r="E1648">
            <v>17303.5</v>
          </cell>
          <cell r="F1648">
            <v>17929.8</v>
          </cell>
        </row>
        <row r="1649">
          <cell r="A1649">
            <v>1401</v>
          </cell>
          <cell r="B1649">
            <v>6724</v>
          </cell>
          <cell r="C1649">
            <v>16622</v>
          </cell>
          <cell r="D1649">
            <v>16585.38825</v>
          </cell>
          <cell r="E1649">
            <v>17669.247500000001</v>
          </cell>
          <cell r="F1649">
            <v>17942.607</v>
          </cell>
        </row>
        <row r="1650">
          <cell r="A1650">
            <v>1402</v>
          </cell>
          <cell r="B1650">
            <v>6724</v>
          </cell>
          <cell r="C1650">
            <v>16622</v>
          </cell>
          <cell r="D1650">
            <v>16597.226500000001</v>
          </cell>
          <cell r="E1650">
            <v>17669.994999999999</v>
          </cell>
          <cell r="F1650">
            <v>17955.414000000001</v>
          </cell>
        </row>
        <row r="1651">
          <cell r="A1651">
            <v>1403</v>
          </cell>
          <cell r="B1651">
            <v>6724</v>
          </cell>
          <cell r="C1651">
            <v>16622</v>
          </cell>
          <cell r="D1651">
            <v>16609.064750000001</v>
          </cell>
          <cell r="E1651">
            <v>17670.7425</v>
          </cell>
          <cell r="F1651">
            <v>17968.221000000001</v>
          </cell>
        </row>
        <row r="1652">
          <cell r="A1652">
            <v>1404</v>
          </cell>
          <cell r="B1652">
            <v>6724</v>
          </cell>
          <cell r="C1652">
            <v>16622</v>
          </cell>
          <cell r="D1652">
            <v>16620.903000000002</v>
          </cell>
          <cell r="E1652">
            <v>17671.490000000002</v>
          </cell>
          <cell r="F1652">
            <v>17981.028000000002</v>
          </cell>
        </row>
        <row r="1653">
          <cell r="A1653">
            <v>1405</v>
          </cell>
          <cell r="B1653">
            <v>6724</v>
          </cell>
          <cell r="C1653">
            <v>16622</v>
          </cell>
          <cell r="D1653">
            <v>16632.741249999999</v>
          </cell>
          <cell r="E1653">
            <v>17672.237499999999</v>
          </cell>
          <cell r="F1653">
            <v>17993.834999999999</v>
          </cell>
        </row>
        <row r="1654">
          <cell r="A1654">
            <v>1406</v>
          </cell>
          <cell r="B1654">
            <v>6724</v>
          </cell>
          <cell r="C1654">
            <v>16622</v>
          </cell>
          <cell r="D1654">
            <v>16644.5795</v>
          </cell>
          <cell r="E1654">
            <v>17672.985000000001</v>
          </cell>
          <cell r="F1654">
            <v>18006.642</v>
          </cell>
        </row>
        <row r="1655">
          <cell r="A1655">
            <v>1407</v>
          </cell>
          <cell r="B1655">
            <v>6724</v>
          </cell>
          <cell r="C1655">
            <v>16622</v>
          </cell>
          <cell r="D1655">
            <v>16656.417750000001</v>
          </cell>
          <cell r="E1655">
            <v>17673.732499999998</v>
          </cell>
          <cell r="F1655">
            <v>18019.449000000001</v>
          </cell>
        </row>
        <row r="1656">
          <cell r="A1656">
            <v>1408</v>
          </cell>
          <cell r="B1656">
            <v>6724</v>
          </cell>
          <cell r="C1656">
            <v>16622</v>
          </cell>
          <cell r="D1656">
            <v>16668.256000000001</v>
          </cell>
          <cell r="E1656">
            <v>17674.48</v>
          </cell>
          <cell r="F1656">
            <v>18032.256000000001</v>
          </cell>
        </row>
        <row r="1657">
          <cell r="A1657">
            <v>1409</v>
          </cell>
          <cell r="B1657">
            <v>6724</v>
          </cell>
          <cell r="C1657">
            <v>16622</v>
          </cell>
          <cell r="D1657">
            <v>16680.094250000002</v>
          </cell>
          <cell r="E1657">
            <v>17675.227500000001</v>
          </cell>
          <cell r="F1657">
            <v>18045.063000000002</v>
          </cell>
        </row>
        <row r="1658">
          <cell r="A1658">
            <v>1410</v>
          </cell>
          <cell r="B1658">
            <v>6724</v>
          </cell>
          <cell r="C1658">
            <v>16622</v>
          </cell>
          <cell r="D1658">
            <v>16691.932499999999</v>
          </cell>
          <cell r="E1658">
            <v>17675.974999999999</v>
          </cell>
          <cell r="F1658">
            <v>18057.87</v>
          </cell>
        </row>
        <row r="1659">
          <cell r="A1659">
            <v>1411</v>
          </cell>
          <cell r="B1659">
            <v>6724</v>
          </cell>
          <cell r="C1659">
            <v>16622</v>
          </cell>
          <cell r="D1659">
            <v>16703.77075</v>
          </cell>
          <cell r="E1659">
            <v>17676.7225</v>
          </cell>
          <cell r="F1659">
            <v>18070.677</v>
          </cell>
        </row>
        <row r="1660">
          <cell r="A1660">
            <v>1412</v>
          </cell>
          <cell r="B1660">
            <v>6724</v>
          </cell>
          <cell r="C1660">
            <v>16622</v>
          </cell>
          <cell r="D1660">
            <v>16715.609</v>
          </cell>
          <cell r="E1660">
            <v>17677.47</v>
          </cell>
          <cell r="F1660">
            <v>18083.484</v>
          </cell>
        </row>
        <row r="1661">
          <cell r="A1661">
            <v>1413</v>
          </cell>
          <cell r="B1661">
            <v>6724</v>
          </cell>
          <cell r="C1661">
            <v>16622</v>
          </cell>
          <cell r="D1661">
            <v>16727.447250000001</v>
          </cell>
          <cell r="E1661">
            <v>17678.217499999999</v>
          </cell>
          <cell r="F1661">
            <v>18096.291000000001</v>
          </cell>
        </row>
        <row r="1662">
          <cell r="A1662">
            <v>1414</v>
          </cell>
          <cell r="B1662">
            <v>6724</v>
          </cell>
          <cell r="C1662">
            <v>16622</v>
          </cell>
          <cell r="D1662">
            <v>16739.285500000002</v>
          </cell>
          <cell r="E1662">
            <v>17678.965</v>
          </cell>
          <cell r="F1662">
            <v>18109.098000000002</v>
          </cell>
        </row>
        <row r="1663">
          <cell r="A1663">
            <v>1415</v>
          </cell>
          <cell r="B1663">
            <v>6724</v>
          </cell>
          <cell r="C1663">
            <v>16622</v>
          </cell>
          <cell r="D1663">
            <v>16751.123749999999</v>
          </cell>
          <cell r="E1663">
            <v>17679.712500000001</v>
          </cell>
          <cell r="F1663">
            <v>18121.904999999999</v>
          </cell>
        </row>
        <row r="1664">
          <cell r="A1664">
            <v>1416</v>
          </cell>
          <cell r="B1664">
            <v>6724</v>
          </cell>
          <cell r="C1664">
            <v>16622</v>
          </cell>
          <cell r="D1664">
            <v>16762.962</v>
          </cell>
          <cell r="E1664">
            <v>17680.46</v>
          </cell>
          <cell r="F1664">
            <v>18134.712</v>
          </cell>
        </row>
        <row r="1665">
          <cell r="A1665">
            <v>1417</v>
          </cell>
          <cell r="B1665">
            <v>6724</v>
          </cell>
          <cell r="C1665">
            <v>16622</v>
          </cell>
          <cell r="D1665">
            <v>16774.80025</v>
          </cell>
          <cell r="E1665">
            <v>17681.2075</v>
          </cell>
          <cell r="F1665">
            <v>18147.519</v>
          </cell>
        </row>
        <row r="1666">
          <cell r="A1666">
            <v>1418</v>
          </cell>
          <cell r="B1666">
            <v>6724</v>
          </cell>
          <cell r="C1666">
            <v>16622</v>
          </cell>
          <cell r="D1666">
            <v>16786.638500000001</v>
          </cell>
          <cell r="E1666">
            <v>17681.955000000002</v>
          </cell>
          <cell r="F1666">
            <v>18160.326000000001</v>
          </cell>
        </row>
        <row r="1667">
          <cell r="A1667">
            <v>1419</v>
          </cell>
          <cell r="B1667">
            <v>6724</v>
          </cell>
          <cell r="C1667">
            <v>16622</v>
          </cell>
          <cell r="D1667">
            <v>16798.476750000002</v>
          </cell>
          <cell r="E1667">
            <v>17682.702499999999</v>
          </cell>
          <cell r="F1667">
            <v>18173.133000000002</v>
          </cell>
        </row>
        <row r="1668">
          <cell r="A1668">
            <v>1420</v>
          </cell>
          <cell r="B1668">
            <v>6724</v>
          </cell>
          <cell r="C1668">
            <v>16622</v>
          </cell>
          <cell r="D1668">
            <v>16810.315000000002</v>
          </cell>
          <cell r="E1668">
            <v>17683.45</v>
          </cell>
          <cell r="F1668">
            <v>18185.940000000002</v>
          </cell>
        </row>
        <row r="1669">
          <cell r="A1669">
            <v>1421</v>
          </cell>
          <cell r="B1669">
            <v>6724</v>
          </cell>
          <cell r="C1669">
            <v>16622</v>
          </cell>
          <cell r="D1669">
            <v>16822.153249999999</v>
          </cell>
          <cell r="E1669">
            <v>17684.197499999998</v>
          </cell>
          <cell r="F1669">
            <v>18198.746999999999</v>
          </cell>
        </row>
        <row r="1670">
          <cell r="A1670">
            <v>1422</v>
          </cell>
          <cell r="B1670">
            <v>6724</v>
          </cell>
          <cell r="C1670">
            <v>16622</v>
          </cell>
          <cell r="D1670">
            <v>16833.9915</v>
          </cell>
          <cell r="E1670">
            <v>17684.945</v>
          </cell>
          <cell r="F1670">
            <v>18211.554</v>
          </cell>
        </row>
        <row r="1671">
          <cell r="A1671">
            <v>1423</v>
          </cell>
          <cell r="B1671">
            <v>6724</v>
          </cell>
          <cell r="C1671">
            <v>16622</v>
          </cell>
          <cell r="D1671">
            <v>16845.829750000001</v>
          </cell>
          <cell r="E1671">
            <v>17685.692500000001</v>
          </cell>
          <cell r="F1671">
            <v>18224.361000000001</v>
          </cell>
        </row>
        <row r="1672">
          <cell r="A1672">
            <v>1424</v>
          </cell>
          <cell r="B1672">
            <v>6724</v>
          </cell>
          <cell r="C1672">
            <v>16622</v>
          </cell>
          <cell r="D1672">
            <v>16857.668000000001</v>
          </cell>
          <cell r="E1672">
            <v>17686.439999999999</v>
          </cell>
          <cell r="F1672">
            <v>18237.168000000001</v>
          </cell>
        </row>
        <row r="1673">
          <cell r="A1673">
            <v>1425</v>
          </cell>
          <cell r="B1673">
            <v>6724</v>
          </cell>
          <cell r="C1673">
            <v>16622</v>
          </cell>
          <cell r="D1673">
            <v>16869.506250000002</v>
          </cell>
          <cell r="E1673">
            <v>17687.1875</v>
          </cell>
          <cell r="F1673">
            <v>18249.975000000002</v>
          </cell>
        </row>
        <row r="1674">
          <cell r="A1674">
            <v>1426</v>
          </cell>
          <cell r="B1674">
            <v>6724</v>
          </cell>
          <cell r="C1674">
            <v>16622</v>
          </cell>
          <cell r="D1674">
            <v>16881.344499999999</v>
          </cell>
          <cell r="E1674">
            <v>17687.935000000001</v>
          </cell>
          <cell r="F1674">
            <v>18262.781999999999</v>
          </cell>
        </row>
        <row r="1675">
          <cell r="A1675">
            <v>1427</v>
          </cell>
          <cell r="B1675">
            <v>6724</v>
          </cell>
          <cell r="C1675">
            <v>16622</v>
          </cell>
          <cell r="D1675">
            <v>16893.18275</v>
          </cell>
          <cell r="E1675">
            <v>17688.682499999999</v>
          </cell>
          <cell r="F1675">
            <v>18275.589</v>
          </cell>
        </row>
        <row r="1676">
          <cell r="A1676">
            <v>1428</v>
          </cell>
          <cell r="B1676">
            <v>6724</v>
          </cell>
          <cell r="C1676">
            <v>16622</v>
          </cell>
          <cell r="D1676">
            <v>16905.021000000001</v>
          </cell>
          <cell r="E1676">
            <v>17689.43</v>
          </cell>
          <cell r="F1676">
            <v>18288.396000000001</v>
          </cell>
        </row>
        <row r="1677">
          <cell r="A1677">
            <v>1429</v>
          </cell>
          <cell r="B1677">
            <v>6724</v>
          </cell>
          <cell r="C1677">
            <v>16622</v>
          </cell>
          <cell r="D1677">
            <v>16916.859250000001</v>
          </cell>
          <cell r="E1677">
            <v>17690.177500000002</v>
          </cell>
          <cell r="F1677">
            <v>18301.203000000001</v>
          </cell>
        </row>
        <row r="1678">
          <cell r="A1678">
            <v>1430</v>
          </cell>
          <cell r="B1678">
            <v>6724</v>
          </cell>
          <cell r="C1678">
            <v>16622</v>
          </cell>
          <cell r="D1678">
            <v>16928.697500000002</v>
          </cell>
          <cell r="E1678">
            <v>17690.924999999999</v>
          </cell>
          <cell r="F1678">
            <v>18314.010000000002</v>
          </cell>
        </row>
        <row r="1679">
          <cell r="A1679">
            <v>1431</v>
          </cell>
          <cell r="B1679">
            <v>6724</v>
          </cell>
          <cell r="C1679">
            <v>16622</v>
          </cell>
          <cell r="D1679">
            <v>16940.535749999999</v>
          </cell>
          <cell r="E1679">
            <v>17691.672500000001</v>
          </cell>
          <cell r="F1679">
            <v>18326.816999999999</v>
          </cell>
        </row>
        <row r="1680">
          <cell r="A1680">
            <v>1432</v>
          </cell>
          <cell r="B1680">
            <v>6724</v>
          </cell>
          <cell r="C1680">
            <v>16622</v>
          </cell>
          <cell r="D1680">
            <v>16952.374</v>
          </cell>
          <cell r="E1680">
            <v>17692.419999999998</v>
          </cell>
          <cell r="F1680">
            <v>18339.624</v>
          </cell>
        </row>
        <row r="1681">
          <cell r="A1681">
            <v>1433</v>
          </cell>
          <cell r="B1681">
            <v>6724</v>
          </cell>
          <cell r="C1681">
            <v>16622</v>
          </cell>
          <cell r="D1681">
            <v>16964.21225</v>
          </cell>
          <cell r="E1681">
            <v>17693.1675</v>
          </cell>
          <cell r="F1681">
            <v>18352.431</v>
          </cell>
        </row>
        <row r="1682">
          <cell r="A1682">
            <v>1434</v>
          </cell>
          <cell r="B1682">
            <v>6724</v>
          </cell>
          <cell r="C1682">
            <v>16622</v>
          </cell>
          <cell r="D1682">
            <v>16976.050500000001</v>
          </cell>
          <cell r="E1682">
            <v>17693.915000000001</v>
          </cell>
          <cell r="F1682">
            <v>18365.238000000001</v>
          </cell>
        </row>
        <row r="1683">
          <cell r="A1683">
            <v>1435</v>
          </cell>
          <cell r="B1683">
            <v>6724</v>
          </cell>
          <cell r="C1683">
            <v>16622</v>
          </cell>
          <cell r="D1683">
            <v>16987.888750000002</v>
          </cell>
          <cell r="E1683">
            <v>17694.662499999999</v>
          </cell>
          <cell r="F1683">
            <v>18378.045000000002</v>
          </cell>
        </row>
        <row r="1684">
          <cell r="A1684">
            <v>1436</v>
          </cell>
          <cell r="B1684">
            <v>6724</v>
          </cell>
          <cell r="C1684">
            <v>16622</v>
          </cell>
          <cell r="D1684">
            <v>16999.726999999999</v>
          </cell>
          <cell r="E1684">
            <v>17695.41</v>
          </cell>
          <cell r="F1684">
            <v>18390.851999999999</v>
          </cell>
        </row>
        <row r="1685">
          <cell r="A1685">
            <v>1437</v>
          </cell>
          <cell r="B1685">
            <v>6724</v>
          </cell>
          <cell r="C1685">
            <v>16622</v>
          </cell>
          <cell r="D1685">
            <v>17011.56525</v>
          </cell>
          <cell r="E1685">
            <v>17696.157500000001</v>
          </cell>
          <cell r="F1685">
            <v>18403.659</v>
          </cell>
        </row>
        <row r="1686">
          <cell r="A1686">
            <v>1438</v>
          </cell>
          <cell r="B1686">
            <v>6724</v>
          </cell>
          <cell r="C1686">
            <v>16622</v>
          </cell>
          <cell r="D1686">
            <v>17023.4035</v>
          </cell>
          <cell r="E1686">
            <v>17696.904999999999</v>
          </cell>
          <cell r="F1686">
            <v>18416.466</v>
          </cell>
        </row>
        <row r="1687">
          <cell r="A1687">
            <v>1439</v>
          </cell>
          <cell r="B1687">
            <v>6724</v>
          </cell>
          <cell r="C1687">
            <v>16622</v>
          </cell>
          <cell r="D1687">
            <v>17035.241750000001</v>
          </cell>
          <cell r="E1687">
            <v>17697.6525</v>
          </cell>
          <cell r="F1687">
            <v>18429.273000000001</v>
          </cell>
        </row>
        <row r="1688">
          <cell r="A1688">
            <v>1440</v>
          </cell>
          <cell r="B1688">
            <v>6724</v>
          </cell>
          <cell r="C1688">
            <v>16622</v>
          </cell>
          <cell r="D1688">
            <v>17047.080000000002</v>
          </cell>
          <cell r="E1688">
            <v>17698.400000000001</v>
          </cell>
          <cell r="F1688">
            <v>18442.080000000002</v>
          </cell>
        </row>
        <row r="1689">
          <cell r="A1689">
            <v>1441</v>
          </cell>
          <cell r="B1689">
            <v>6899</v>
          </cell>
          <cell r="C1689">
            <v>16987</v>
          </cell>
          <cell r="D1689">
            <v>17058.918249999999</v>
          </cell>
          <cell r="E1689">
            <v>18064.147499999999</v>
          </cell>
          <cell r="F1689">
            <v>18454.886999999999</v>
          </cell>
        </row>
        <row r="1690">
          <cell r="A1690">
            <v>1442</v>
          </cell>
          <cell r="B1690">
            <v>6899</v>
          </cell>
          <cell r="C1690">
            <v>16987</v>
          </cell>
          <cell r="D1690">
            <v>17070.7565</v>
          </cell>
          <cell r="E1690">
            <v>18064.895</v>
          </cell>
          <cell r="F1690">
            <v>18467.694</v>
          </cell>
        </row>
        <row r="1691">
          <cell r="A1691">
            <v>1443</v>
          </cell>
          <cell r="B1691">
            <v>6899</v>
          </cell>
          <cell r="C1691">
            <v>16987</v>
          </cell>
          <cell r="D1691">
            <v>17082.59475</v>
          </cell>
          <cell r="E1691">
            <v>18065.642500000002</v>
          </cell>
          <cell r="F1691">
            <v>18480.501</v>
          </cell>
        </row>
        <row r="1692">
          <cell r="A1692">
            <v>1444</v>
          </cell>
          <cell r="B1692">
            <v>6899</v>
          </cell>
          <cell r="C1692">
            <v>16987</v>
          </cell>
          <cell r="D1692">
            <v>17094.433000000001</v>
          </cell>
          <cell r="E1692">
            <v>18066.39</v>
          </cell>
          <cell r="F1692">
            <v>18493.308000000001</v>
          </cell>
        </row>
        <row r="1693">
          <cell r="A1693">
            <v>1445</v>
          </cell>
          <cell r="B1693">
            <v>6899</v>
          </cell>
          <cell r="C1693">
            <v>16987</v>
          </cell>
          <cell r="D1693">
            <v>17106.271250000002</v>
          </cell>
          <cell r="E1693">
            <v>18067.137500000001</v>
          </cell>
          <cell r="F1693">
            <v>18506.115000000002</v>
          </cell>
        </row>
        <row r="1694">
          <cell r="A1694">
            <v>1446</v>
          </cell>
          <cell r="B1694">
            <v>6899</v>
          </cell>
          <cell r="C1694">
            <v>16987</v>
          </cell>
          <cell r="D1694">
            <v>17118.109500000002</v>
          </cell>
          <cell r="E1694">
            <v>18067.884999999998</v>
          </cell>
          <cell r="F1694">
            <v>18518.922000000002</v>
          </cell>
        </row>
        <row r="1695">
          <cell r="A1695">
            <v>1447</v>
          </cell>
          <cell r="B1695">
            <v>6899</v>
          </cell>
          <cell r="C1695">
            <v>16987</v>
          </cell>
          <cell r="D1695">
            <v>17129.947749999999</v>
          </cell>
          <cell r="E1695">
            <v>18068.6325</v>
          </cell>
          <cell r="F1695">
            <v>18531.728999999999</v>
          </cell>
        </row>
        <row r="1696">
          <cell r="A1696">
            <v>1448</v>
          </cell>
          <cell r="B1696">
            <v>6899</v>
          </cell>
          <cell r="C1696">
            <v>16987</v>
          </cell>
          <cell r="D1696">
            <v>17141.786</v>
          </cell>
          <cell r="E1696">
            <v>18069.38</v>
          </cell>
          <cell r="F1696">
            <v>18544.536</v>
          </cell>
        </row>
        <row r="1697">
          <cell r="A1697">
            <v>1449</v>
          </cell>
          <cell r="B1697">
            <v>6899</v>
          </cell>
          <cell r="C1697">
            <v>16987</v>
          </cell>
          <cell r="D1697">
            <v>17153.624250000001</v>
          </cell>
          <cell r="E1697">
            <v>18070.127499999999</v>
          </cell>
          <cell r="F1697">
            <v>18557.343000000001</v>
          </cell>
        </row>
        <row r="1698">
          <cell r="A1698">
            <v>1450</v>
          </cell>
          <cell r="B1698">
            <v>6899</v>
          </cell>
          <cell r="C1698">
            <v>16987</v>
          </cell>
          <cell r="D1698">
            <v>17165.462500000001</v>
          </cell>
          <cell r="E1698">
            <v>18070.875</v>
          </cell>
          <cell r="F1698">
            <v>18570.150000000001</v>
          </cell>
        </row>
        <row r="1699">
          <cell r="A1699">
            <v>1451</v>
          </cell>
          <cell r="B1699">
            <v>6899</v>
          </cell>
          <cell r="C1699">
            <v>16987</v>
          </cell>
          <cell r="D1699">
            <v>17177.300750000002</v>
          </cell>
          <cell r="E1699">
            <v>18071.622500000001</v>
          </cell>
          <cell r="F1699">
            <v>18582.957000000002</v>
          </cell>
        </row>
        <row r="1700">
          <cell r="A1700">
            <v>1452</v>
          </cell>
          <cell r="B1700">
            <v>6899</v>
          </cell>
          <cell r="C1700">
            <v>16987</v>
          </cell>
          <cell r="D1700">
            <v>17189.138999999999</v>
          </cell>
          <cell r="E1700">
            <v>18072.37</v>
          </cell>
          <cell r="F1700">
            <v>18595.763999999999</v>
          </cell>
        </row>
        <row r="1701">
          <cell r="A1701">
            <v>1453</v>
          </cell>
          <cell r="B1701">
            <v>6899</v>
          </cell>
          <cell r="C1701">
            <v>16987</v>
          </cell>
          <cell r="D1701">
            <v>17200.97725</v>
          </cell>
          <cell r="E1701">
            <v>18073.1175</v>
          </cell>
          <cell r="F1701">
            <v>18608.571</v>
          </cell>
        </row>
        <row r="1702">
          <cell r="A1702">
            <v>1454</v>
          </cell>
          <cell r="B1702">
            <v>6899</v>
          </cell>
          <cell r="C1702">
            <v>16987</v>
          </cell>
          <cell r="D1702">
            <v>17212.815500000001</v>
          </cell>
          <cell r="E1702">
            <v>18073.865000000002</v>
          </cell>
          <cell r="F1702">
            <v>18621.378000000001</v>
          </cell>
        </row>
        <row r="1703">
          <cell r="A1703">
            <v>1455</v>
          </cell>
          <cell r="B1703">
            <v>6899</v>
          </cell>
          <cell r="C1703">
            <v>16987</v>
          </cell>
          <cell r="D1703">
            <v>17224.653750000001</v>
          </cell>
          <cell r="E1703">
            <v>18074.612499999999</v>
          </cell>
          <cell r="F1703">
            <v>18634.185000000001</v>
          </cell>
        </row>
        <row r="1704">
          <cell r="A1704">
            <v>1456</v>
          </cell>
          <cell r="B1704">
            <v>6899</v>
          </cell>
          <cell r="C1704">
            <v>16987</v>
          </cell>
          <cell r="D1704">
            <v>17236.492000000002</v>
          </cell>
          <cell r="E1704">
            <v>18075.36</v>
          </cell>
          <cell r="F1704">
            <v>18646.992000000002</v>
          </cell>
        </row>
        <row r="1705">
          <cell r="A1705">
            <v>1457</v>
          </cell>
          <cell r="B1705">
            <v>6899</v>
          </cell>
          <cell r="C1705">
            <v>16987</v>
          </cell>
          <cell r="D1705">
            <v>17248.330249999999</v>
          </cell>
          <cell r="E1705">
            <v>18076.107499999998</v>
          </cell>
          <cell r="F1705">
            <v>18659.798999999999</v>
          </cell>
        </row>
        <row r="1706">
          <cell r="A1706">
            <v>1458</v>
          </cell>
          <cell r="B1706">
            <v>6899</v>
          </cell>
          <cell r="C1706">
            <v>16987</v>
          </cell>
          <cell r="D1706">
            <v>17260.1685</v>
          </cell>
          <cell r="E1706">
            <v>18076.855</v>
          </cell>
          <cell r="F1706">
            <v>18672.606</v>
          </cell>
        </row>
        <row r="1707">
          <cell r="A1707">
            <v>1459</v>
          </cell>
          <cell r="B1707">
            <v>6899</v>
          </cell>
          <cell r="C1707">
            <v>16987</v>
          </cell>
          <cell r="D1707">
            <v>17272.00675</v>
          </cell>
          <cell r="E1707">
            <v>18077.602500000001</v>
          </cell>
          <cell r="F1707">
            <v>18685.413</v>
          </cell>
        </row>
        <row r="1708">
          <cell r="A1708">
            <v>1460</v>
          </cell>
          <cell r="B1708">
            <v>6899</v>
          </cell>
          <cell r="C1708">
            <v>16987</v>
          </cell>
          <cell r="D1708">
            <v>17283.845000000001</v>
          </cell>
          <cell r="E1708">
            <v>18078.349999999999</v>
          </cell>
          <cell r="F1708">
            <v>18698.22</v>
          </cell>
        </row>
        <row r="1709">
          <cell r="A1709">
            <v>1461</v>
          </cell>
          <cell r="B1709">
            <v>6899</v>
          </cell>
          <cell r="C1709">
            <v>16987</v>
          </cell>
          <cell r="D1709">
            <v>17295.683250000002</v>
          </cell>
          <cell r="E1709">
            <v>18079.0975</v>
          </cell>
          <cell r="F1709">
            <v>18711.027000000002</v>
          </cell>
        </row>
        <row r="1710">
          <cell r="A1710">
            <v>1462</v>
          </cell>
          <cell r="B1710">
            <v>6899</v>
          </cell>
          <cell r="C1710">
            <v>16987</v>
          </cell>
          <cell r="D1710">
            <v>17307.521499999999</v>
          </cell>
          <cell r="E1710">
            <v>18079.845000000001</v>
          </cell>
          <cell r="F1710">
            <v>18723.833999999999</v>
          </cell>
        </row>
        <row r="1711">
          <cell r="A1711">
            <v>1463</v>
          </cell>
          <cell r="B1711">
            <v>6899</v>
          </cell>
          <cell r="C1711">
            <v>16987</v>
          </cell>
          <cell r="D1711">
            <v>17319.35975</v>
          </cell>
          <cell r="E1711">
            <v>18080.592499999999</v>
          </cell>
          <cell r="F1711">
            <v>18736.641</v>
          </cell>
        </row>
        <row r="1712">
          <cell r="A1712">
            <v>1464</v>
          </cell>
          <cell r="B1712">
            <v>6899</v>
          </cell>
          <cell r="C1712">
            <v>16987</v>
          </cell>
          <cell r="D1712">
            <v>17331.198</v>
          </cell>
          <cell r="E1712">
            <v>18081.34</v>
          </cell>
          <cell r="F1712">
            <v>18749.448</v>
          </cell>
        </row>
        <row r="1713">
          <cell r="A1713">
            <v>1465</v>
          </cell>
          <cell r="B1713">
            <v>6899</v>
          </cell>
          <cell r="C1713">
            <v>16987</v>
          </cell>
          <cell r="D1713">
            <v>17343.036250000001</v>
          </cell>
          <cell r="E1713">
            <v>18082.087500000001</v>
          </cell>
          <cell r="F1713">
            <v>18762.255000000001</v>
          </cell>
        </row>
        <row r="1714">
          <cell r="A1714">
            <v>1466</v>
          </cell>
          <cell r="B1714">
            <v>6899</v>
          </cell>
          <cell r="C1714">
            <v>16987</v>
          </cell>
          <cell r="D1714">
            <v>17354.874500000002</v>
          </cell>
          <cell r="E1714">
            <v>18082.834999999999</v>
          </cell>
          <cell r="F1714">
            <v>18775.062000000002</v>
          </cell>
        </row>
        <row r="1715">
          <cell r="A1715">
            <v>1467</v>
          </cell>
          <cell r="B1715">
            <v>6899</v>
          </cell>
          <cell r="C1715">
            <v>16987</v>
          </cell>
          <cell r="D1715">
            <v>17366.712749999999</v>
          </cell>
          <cell r="E1715">
            <v>18083.5825</v>
          </cell>
          <cell r="F1715">
            <v>18787.868999999999</v>
          </cell>
        </row>
        <row r="1716">
          <cell r="A1716">
            <v>1468</v>
          </cell>
          <cell r="B1716">
            <v>6899</v>
          </cell>
          <cell r="C1716">
            <v>16987</v>
          </cell>
          <cell r="D1716">
            <v>17378.550999999999</v>
          </cell>
          <cell r="E1716">
            <v>18084.330000000002</v>
          </cell>
          <cell r="F1716">
            <v>18800.675999999999</v>
          </cell>
        </row>
        <row r="1717">
          <cell r="A1717">
            <v>1469</v>
          </cell>
          <cell r="B1717">
            <v>6899</v>
          </cell>
          <cell r="C1717">
            <v>16987</v>
          </cell>
          <cell r="D1717">
            <v>17390.38925</v>
          </cell>
          <cell r="E1717">
            <v>18085.077499999999</v>
          </cell>
          <cell r="F1717">
            <v>18813.483</v>
          </cell>
        </row>
        <row r="1718">
          <cell r="A1718">
            <v>1470</v>
          </cell>
          <cell r="B1718">
            <v>6899</v>
          </cell>
          <cell r="C1718">
            <v>16987</v>
          </cell>
          <cell r="D1718">
            <v>17402.227500000001</v>
          </cell>
          <cell r="E1718">
            <v>18085.825000000001</v>
          </cell>
          <cell r="F1718">
            <v>18826.29</v>
          </cell>
        </row>
        <row r="1719">
          <cell r="A1719">
            <v>1471</v>
          </cell>
          <cell r="B1719">
            <v>6899</v>
          </cell>
          <cell r="C1719">
            <v>16987</v>
          </cell>
          <cell r="D1719">
            <v>17414.065750000002</v>
          </cell>
          <cell r="E1719">
            <v>18086.572499999998</v>
          </cell>
          <cell r="F1719">
            <v>18839.097000000002</v>
          </cell>
        </row>
        <row r="1720">
          <cell r="A1720">
            <v>1472</v>
          </cell>
          <cell r="B1720">
            <v>6899</v>
          </cell>
          <cell r="C1720">
            <v>16987</v>
          </cell>
          <cell r="D1720">
            <v>17425.904000000002</v>
          </cell>
          <cell r="E1720">
            <v>18087.32</v>
          </cell>
          <cell r="F1720">
            <v>18851.904000000002</v>
          </cell>
        </row>
        <row r="1721">
          <cell r="A1721">
            <v>1473</v>
          </cell>
          <cell r="B1721">
            <v>6899</v>
          </cell>
          <cell r="C1721">
            <v>16987</v>
          </cell>
          <cell r="D1721">
            <v>17437.742249999999</v>
          </cell>
          <cell r="E1721">
            <v>18088.067500000001</v>
          </cell>
          <cell r="F1721">
            <v>18864.710999999999</v>
          </cell>
        </row>
        <row r="1722">
          <cell r="A1722">
            <v>1474</v>
          </cell>
          <cell r="B1722">
            <v>6899</v>
          </cell>
          <cell r="C1722">
            <v>16987</v>
          </cell>
          <cell r="D1722">
            <v>17449.5805</v>
          </cell>
          <cell r="E1722">
            <v>18088.814999999999</v>
          </cell>
          <cell r="F1722">
            <v>18877.518</v>
          </cell>
        </row>
        <row r="1723">
          <cell r="A1723">
            <v>1475</v>
          </cell>
          <cell r="B1723">
            <v>6899</v>
          </cell>
          <cell r="C1723">
            <v>16987</v>
          </cell>
          <cell r="D1723">
            <v>17461.418750000001</v>
          </cell>
          <cell r="E1723">
            <v>18089.5625</v>
          </cell>
          <cell r="F1723">
            <v>18890.325000000001</v>
          </cell>
        </row>
        <row r="1724">
          <cell r="A1724">
            <v>1476</v>
          </cell>
          <cell r="B1724">
            <v>6899</v>
          </cell>
          <cell r="C1724">
            <v>16987</v>
          </cell>
          <cell r="D1724">
            <v>17473.257000000001</v>
          </cell>
          <cell r="E1724">
            <v>18090.310000000001</v>
          </cell>
          <cell r="F1724">
            <v>18903.132000000001</v>
          </cell>
        </row>
        <row r="1725">
          <cell r="A1725">
            <v>1477</v>
          </cell>
          <cell r="B1725">
            <v>6899</v>
          </cell>
          <cell r="C1725">
            <v>16987</v>
          </cell>
          <cell r="D1725">
            <v>17485.095250000002</v>
          </cell>
          <cell r="E1725">
            <v>18091.057499999999</v>
          </cell>
          <cell r="F1725">
            <v>18915.939000000002</v>
          </cell>
        </row>
        <row r="1726">
          <cell r="A1726">
            <v>1478</v>
          </cell>
          <cell r="B1726">
            <v>6899</v>
          </cell>
          <cell r="C1726">
            <v>16987</v>
          </cell>
          <cell r="D1726">
            <v>17496.933499999999</v>
          </cell>
          <cell r="E1726">
            <v>18091.805</v>
          </cell>
          <cell r="F1726">
            <v>18928.745999999999</v>
          </cell>
        </row>
        <row r="1727">
          <cell r="A1727">
            <v>1479</v>
          </cell>
          <cell r="B1727">
            <v>6899</v>
          </cell>
          <cell r="C1727">
            <v>16987</v>
          </cell>
          <cell r="D1727">
            <v>17508.77175</v>
          </cell>
          <cell r="E1727">
            <v>18092.552500000002</v>
          </cell>
          <cell r="F1727">
            <v>18941.553</v>
          </cell>
        </row>
        <row r="1728">
          <cell r="A1728">
            <v>1480</v>
          </cell>
          <cell r="B1728">
            <v>6899</v>
          </cell>
          <cell r="C1728">
            <v>16987</v>
          </cell>
          <cell r="D1728">
            <v>17520.61</v>
          </cell>
          <cell r="E1728">
            <v>18093.3</v>
          </cell>
          <cell r="F1728">
            <v>18954.36</v>
          </cell>
        </row>
        <row r="1729">
          <cell r="A1729">
            <v>1481</v>
          </cell>
          <cell r="B1729">
            <v>7074</v>
          </cell>
          <cell r="C1729">
            <v>17352</v>
          </cell>
          <cell r="D1729">
            <v>17532.448250000001</v>
          </cell>
          <cell r="E1729">
            <v>18459.047500000001</v>
          </cell>
          <cell r="F1729">
            <v>18967.167000000001</v>
          </cell>
        </row>
        <row r="1730">
          <cell r="A1730">
            <v>1482</v>
          </cell>
          <cell r="B1730">
            <v>7074</v>
          </cell>
          <cell r="C1730">
            <v>17352</v>
          </cell>
          <cell r="D1730">
            <v>17544.286500000002</v>
          </cell>
          <cell r="E1730">
            <v>18459.794999999998</v>
          </cell>
          <cell r="F1730">
            <v>18979.974000000002</v>
          </cell>
        </row>
        <row r="1731">
          <cell r="A1731">
            <v>1483</v>
          </cell>
          <cell r="B1731">
            <v>7074</v>
          </cell>
          <cell r="C1731">
            <v>17352</v>
          </cell>
          <cell r="D1731">
            <v>17556.124749999999</v>
          </cell>
          <cell r="E1731">
            <v>18460.5425</v>
          </cell>
          <cell r="F1731">
            <v>18992.780999999999</v>
          </cell>
        </row>
        <row r="1732">
          <cell r="A1732">
            <v>1484</v>
          </cell>
          <cell r="B1732">
            <v>7074</v>
          </cell>
          <cell r="C1732">
            <v>17352</v>
          </cell>
          <cell r="D1732">
            <v>17567.963</v>
          </cell>
          <cell r="E1732">
            <v>18461.29</v>
          </cell>
          <cell r="F1732">
            <v>19005.588</v>
          </cell>
        </row>
        <row r="1733">
          <cell r="A1733">
            <v>1485</v>
          </cell>
          <cell r="B1733">
            <v>7074</v>
          </cell>
          <cell r="C1733">
            <v>17352</v>
          </cell>
          <cell r="D1733">
            <v>17579.80125</v>
          </cell>
          <cell r="E1733">
            <v>18462.037499999999</v>
          </cell>
          <cell r="F1733">
            <v>19018.395</v>
          </cell>
        </row>
        <row r="1734">
          <cell r="A1734">
            <v>1486</v>
          </cell>
          <cell r="B1734">
            <v>7074</v>
          </cell>
          <cell r="C1734">
            <v>17352</v>
          </cell>
          <cell r="D1734">
            <v>17591.639500000001</v>
          </cell>
          <cell r="E1734">
            <v>18462.785</v>
          </cell>
          <cell r="F1734">
            <v>19031.202000000001</v>
          </cell>
        </row>
        <row r="1735">
          <cell r="A1735">
            <v>1487</v>
          </cell>
          <cell r="B1735">
            <v>7074</v>
          </cell>
          <cell r="C1735">
            <v>17352</v>
          </cell>
          <cell r="D1735">
            <v>17603.477750000002</v>
          </cell>
          <cell r="E1735">
            <v>18463.532500000001</v>
          </cell>
          <cell r="F1735">
            <v>19044.009000000002</v>
          </cell>
        </row>
        <row r="1736">
          <cell r="A1736">
            <v>1488</v>
          </cell>
          <cell r="B1736">
            <v>7074</v>
          </cell>
          <cell r="C1736">
            <v>17352</v>
          </cell>
          <cell r="D1736">
            <v>17615.315999999999</v>
          </cell>
          <cell r="E1736">
            <v>18464.28</v>
          </cell>
          <cell r="F1736">
            <v>19056.815999999999</v>
          </cell>
        </row>
        <row r="1737">
          <cell r="A1737">
            <v>1489</v>
          </cell>
          <cell r="B1737">
            <v>7074</v>
          </cell>
          <cell r="C1737">
            <v>17352</v>
          </cell>
          <cell r="D1737">
            <v>17627.15425</v>
          </cell>
          <cell r="E1737">
            <v>18465.0275</v>
          </cell>
          <cell r="F1737">
            <v>19069.623</v>
          </cell>
        </row>
        <row r="1738">
          <cell r="A1738">
            <v>1490</v>
          </cell>
          <cell r="B1738">
            <v>7074</v>
          </cell>
          <cell r="C1738">
            <v>17352</v>
          </cell>
          <cell r="D1738">
            <v>17638.9925</v>
          </cell>
          <cell r="E1738">
            <v>18465.775000000001</v>
          </cell>
          <cell r="F1738">
            <v>19082.43</v>
          </cell>
        </row>
        <row r="1739">
          <cell r="A1739">
            <v>1491</v>
          </cell>
          <cell r="B1739">
            <v>7074</v>
          </cell>
          <cell r="C1739">
            <v>17352</v>
          </cell>
          <cell r="D1739">
            <v>17650.830750000001</v>
          </cell>
          <cell r="E1739">
            <v>18466.522499999999</v>
          </cell>
          <cell r="F1739">
            <v>19095.237000000001</v>
          </cell>
        </row>
        <row r="1740">
          <cell r="A1740">
            <v>1492</v>
          </cell>
          <cell r="B1740">
            <v>7074</v>
          </cell>
          <cell r="C1740">
            <v>17352</v>
          </cell>
          <cell r="D1740">
            <v>17662.669000000002</v>
          </cell>
          <cell r="E1740">
            <v>18467.27</v>
          </cell>
          <cell r="F1740">
            <v>19108.044000000002</v>
          </cell>
        </row>
        <row r="1741">
          <cell r="A1741">
            <v>1493</v>
          </cell>
          <cell r="B1741">
            <v>7074</v>
          </cell>
          <cell r="C1741">
            <v>17352</v>
          </cell>
          <cell r="D1741">
            <v>17674.507250000002</v>
          </cell>
          <cell r="E1741">
            <v>18468.017500000002</v>
          </cell>
          <cell r="F1741">
            <v>19120.851000000002</v>
          </cell>
        </row>
        <row r="1742">
          <cell r="A1742">
            <v>1494</v>
          </cell>
          <cell r="B1742">
            <v>7074</v>
          </cell>
          <cell r="C1742">
            <v>17352</v>
          </cell>
          <cell r="D1742">
            <v>17686.345499999999</v>
          </cell>
          <cell r="E1742">
            <v>18468.764999999999</v>
          </cell>
          <cell r="F1742">
            <v>19133.657999999999</v>
          </cell>
        </row>
        <row r="1743">
          <cell r="A1743">
            <v>1495</v>
          </cell>
          <cell r="B1743">
            <v>7074</v>
          </cell>
          <cell r="C1743">
            <v>17352</v>
          </cell>
          <cell r="D1743">
            <v>17698.18375</v>
          </cell>
          <cell r="E1743">
            <v>18469.512500000001</v>
          </cell>
          <cell r="F1743">
            <v>19146.465</v>
          </cell>
        </row>
        <row r="1744">
          <cell r="A1744">
            <v>1496</v>
          </cell>
          <cell r="B1744">
            <v>7074</v>
          </cell>
          <cell r="C1744">
            <v>17352</v>
          </cell>
          <cell r="D1744">
            <v>17710.022000000001</v>
          </cell>
          <cell r="E1744">
            <v>18470.259999999998</v>
          </cell>
          <cell r="F1744">
            <v>19159.272000000001</v>
          </cell>
        </row>
        <row r="1745">
          <cell r="A1745">
            <v>1497</v>
          </cell>
          <cell r="B1745">
            <v>7074</v>
          </cell>
          <cell r="C1745">
            <v>17352</v>
          </cell>
          <cell r="D1745">
            <v>17721.860250000002</v>
          </cell>
          <cell r="E1745">
            <v>18471.0075</v>
          </cell>
          <cell r="F1745">
            <v>19172.079000000002</v>
          </cell>
        </row>
        <row r="1746">
          <cell r="A1746">
            <v>1498</v>
          </cell>
          <cell r="B1746">
            <v>7074</v>
          </cell>
          <cell r="C1746">
            <v>17352</v>
          </cell>
          <cell r="D1746">
            <v>17733.698500000002</v>
          </cell>
          <cell r="E1746">
            <v>18471.755000000001</v>
          </cell>
          <cell r="F1746">
            <v>19184.886000000002</v>
          </cell>
        </row>
        <row r="1747">
          <cell r="A1747">
            <v>1499</v>
          </cell>
          <cell r="B1747">
            <v>7074</v>
          </cell>
          <cell r="C1747">
            <v>17352</v>
          </cell>
          <cell r="D1747">
            <v>17745.536749999999</v>
          </cell>
          <cell r="E1747">
            <v>18472.502499999999</v>
          </cell>
          <cell r="F1747">
            <v>19197.692999999999</v>
          </cell>
        </row>
        <row r="1748">
          <cell r="A1748">
            <v>1500</v>
          </cell>
          <cell r="B1748">
            <v>7074</v>
          </cell>
          <cell r="C1748">
            <v>17352</v>
          </cell>
          <cell r="D1748">
            <v>17757.375</v>
          </cell>
          <cell r="E1748">
            <v>18473.25</v>
          </cell>
          <cell r="F1748">
            <v>19210.5</v>
          </cell>
        </row>
        <row r="1749">
          <cell r="A1749">
            <v>1501</v>
          </cell>
          <cell r="B1749">
            <v>7074</v>
          </cell>
          <cell r="C1749">
            <v>17352</v>
          </cell>
          <cell r="D1749">
            <v>17769.213250000001</v>
          </cell>
          <cell r="E1749">
            <v>18473.997500000001</v>
          </cell>
          <cell r="F1749">
            <v>19223.307000000001</v>
          </cell>
        </row>
        <row r="1750">
          <cell r="A1750">
            <v>1502</v>
          </cell>
          <cell r="B1750">
            <v>7074</v>
          </cell>
          <cell r="C1750">
            <v>17352</v>
          </cell>
          <cell r="D1750">
            <v>17781.051500000001</v>
          </cell>
          <cell r="E1750">
            <v>18474.744999999999</v>
          </cell>
          <cell r="F1750">
            <v>19236.114000000001</v>
          </cell>
        </row>
        <row r="1751">
          <cell r="A1751">
            <v>1503</v>
          </cell>
          <cell r="B1751">
            <v>7074</v>
          </cell>
          <cell r="C1751">
            <v>17352</v>
          </cell>
          <cell r="D1751">
            <v>17792.889750000002</v>
          </cell>
          <cell r="E1751">
            <v>18475.4925</v>
          </cell>
          <cell r="F1751">
            <v>19248.921000000002</v>
          </cell>
        </row>
        <row r="1752">
          <cell r="A1752">
            <v>1504</v>
          </cell>
          <cell r="B1752">
            <v>7074</v>
          </cell>
          <cell r="C1752">
            <v>17352</v>
          </cell>
          <cell r="D1752">
            <v>17804.727999999999</v>
          </cell>
          <cell r="E1752">
            <v>18476.240000000002</v>
          </cell>
          <cell r="F1752">
            <v>19261.727999999999</v>
          </cell>
        </row>
        <row r="1753">
          <cell r="A1753">
            <v>1505</v>
          </cell>
          <cell r="B1753">
            <v>7074</v>
          </cell>
          <cell r="C1753">
            <v>17352</v>
          </cell>
          <cell r="D1753">
            <v>17816.56625</v>
          </cell>
          <cell r="E1753">
            <v>18476.987499999999</v>
          </cell>
          <cell r="F1753">
            <v>19274.535</v>
          </cell>
        </row>
        <row r="1754">
          <cell r="A1754">
            <v>1506</v>
          </cell>
          <cell r="B1754">
            <v>7074</v>
          </cell>
          <cell r="C1754">
            <v>17352</v>
          </cell>
          <cell r="D1754">
            <v>17828.404500000001</v>
          </cell>
          <cell r="E1754">
            <v>18477.735000000001</v>
          </cell>
          <cell r="F1754">
            <v>19287.342000000001</v>
          </cell>
        </row>
        <row r="1755">
          <cell r="A1755">
            <v>1507</v>
          </cell>
          <cell r="B1755">
            <v>7074</v>
          </cell>
          <cell r="C1755">
            <v>17352</v>
          </cell>
          <cell r="D1755">
            <v>17840.242750000001</v>
          </cell>
          <cell r="E1755">
            <v>18478.482499999998</v>
          </cell>
          <cell r="F1755">
            <v>19300.149000000001</v>
          </cell>
        </row>
        <row r="1756">
          <cell r="A1756">
            <v>1508</v>
          </cell>
          <cell r="B1756">
            <v>7074</v>
          </cell>
          <cell r="C1756">
            <v>17352</v>
          </cell>
          <cell r="D1756">
            <v>17852.081000000002</v>
          </cell>
          <cell r="E1756">
            <v>18479.23</v>
          </cell>
          <cell r="F1756">
            <v>19312.956000000002</v>
          </cell>
        </row>
        <row r="1757">
          <cell r="A1757">
            <v>1509</v>
          </cell>
          <cell r="B1757">
            <v>7074</v>
          </cell>
          <cell r="C1757">
            <v>17352</v>
          </cell>
          <cell r="D1757">
            <v>17863.919249999999</v>
          </cell>
          <cell r="E1757">
            <v>18479.977500000001</v>
          </cell>
          <cell r="F1757">
            <v>19325.762999999999</v>
          </cell>
        </row>
        <row r="1758">
          <cell r="A1758">
            <v>1510</v>
          </cell>
          <cell r="B1758">
            <v>7074</v>
          </cell>
          <cell r="C1758">
            <v>17352</v>
          </cell>
          <cell r="D1758">
            <v>17875.7575</v>
          </cell>
          <cell r="E1758">
            <v>18480.724999999999</v>
          </cell>
          <cell r="F1758">
            <v>19338.57</v>
          </cell>
        </row>
        <row r="1759">
          <cell r="A1759">
            <v>1511</v>
          </cell>
          <cell r="B1759">
            <v>7074</v>
          </cell>
          <cell r="C1759">
            <v>17352</v>
          </cell>
          <cell r="D1759">
            <v>17887.59575</v>
          </cell>
          <cell r="E1759">
            <v>18481.4725</v>
          </cell>
          <cell r="F1759">
            <v>19351.377</v>
          </cell>
        </row>
        <row r="1760">
          <cell r="A1760">
            <v>1512</v>
          </cell>
          <cell r="B1760">
            <v>7074</v>
          </cell>
          <cell r="C1760">
            <v>17352</v>
          </cell>
          <cell r="D1760">
            <v>17899.434000000001</v>
          </cell>
          <cell r="E1760">
            <v>18482.22</v>
          </cell>
          <cell r="F1760">
            <v>19364.184000000001</v>
          </cell>
        </row>
        <row r="1761">
          <cell r="A1761">
            <v>1513</v>
          </cell>
          <cell r="B1761">
            <v>7074</v>
          </cell>
          <cell r="C1761">
            <v>17352</v>
          </cell>
          <cell r="D1761">
            <v>17911.272250000002</v>
          </cell>
          <cell r="E1761">
            <v>18482.967499999999</v>
          </cell>
          <cell r="F1761">
            <v>19376.991000000002</v>
          </cell>
        </row>
        <row r="1762">
          <cell r="A1762">
            <v>1514</v>
          </cell>
          <cell r="B1762">
            <v>7074</v>
          </cell>
          <cell r="C1762">
            <v>17352</v>
          </cell>
          <cell r="D1762">
            <v>17923.110499999999</v>
          </cell>
          <cell r="E1762">
            <v>18483.715</v>
          </cell>
          <cell r="F1762">
            <v>19389.797999999999</v>
          </cell>
        </row>
        <row r="1763">
          <cell r="A1763">
            <v>1515</v>
          </cell>
          <cell r="B1763">
            <v>7074</v>
          </cell>
          <cell r="C1763">
            <v>17352</v>
          </cell>
          <cell r="D1763">
            <v>17934.94875</v>
          </cell>
          <cell r="E1763">
            <v>18484.462500000001</v>
          </cell>
          <cell r="F1763">
            <v>19402.605</v>
          </cell>
        </row>
        <row r="1764">
          <cell r="A1764">
            <v>1516</v>
          </cell>
          <cell r="B1764">
            <v>7074</v>
          </cell>
          <cell r="C1764">
            <v>17352</v>
          </cell>
          <cell r="D1764">
            <v>17946.787</v>
          </cell>
          <cell r="E1764">
            <v>18485.21</v>
          </cell>
          <cell r="F1764">
            <v>19415.412</v>
          </cell>
        </row>
        <row r="1765">
          <cell r="A1765">
            <v>1517</v>
          </cell>
          <cell r="B1765">
            <v>7074</v>
          </cell>
          <cell r="C1765">
            <v>17352</v>
          </cell>
          <cell r="D1765">
            <v>17958.625250000001</v>
          </cell>
          <cell r="E1765">
            <v>18485.9575</v>
          </cell>
          <cell r="F1765">
            <v>19428.219000000001</v>
          </cell>
        </row>
        <row r="1766">
          <cell r="A1766">
            <v>1518</v>
          </cell>
          <cell r="B1766">
            <v>7074</v>
          </cell>
          <cell r="C1766">
            <v>17352</v>
          </cell>
          <cell r="D1766">
            <v>17970.463500000002</v>
          </cell>
          <cell r="E1766">
            <v>18486.705000000002</v>
          </cell>
          <cell r="F1766">
            <v>19441.026000000002</v>
          </cell>
        </row>
        <row r="1767">
          <cell r="A1767">
            <v>1519</v>
          </cell>
          <cell r="B1767">
            <v>7074</v>
          </cell>
          <cell r="C1767">
            <v>17352</v>
          </cell>
          <cell r="D1767">
            <v>17982.301750000002</v>
          </cell>
          <cell r="E1767">
            <v>18487.452499999999</v>
          </cell>
          <cell r="F1767">
            <v>19453.833000000002</v>
          </cell>
        </row>
        <row r="1768">
          <cell r="A1768">
            <v>1520</v>
          </cell>
          <cell r="B1768">
            <v>7074</v>
          </cell>
          <cell r="C1768">
            <v>17352</v>
          </cell>
          <cell r="D1768">
            <v>17994.14</v>
          </cell>
          <cell r="E1768">
            <v>18488.2</v>
          </cell>
          <cell r="F1768">
            <v>19466.64</v>
          </cell>
        </row>
        <row r="1769">
          <cell r="A1769">
            <v>1521</v>
          </cell>
          <cell r="B1769">
            <v>7249</v>
          </cell>
          <cell r="C1769">
            <v>17717</v>
          </cell>
          <cell r="D1769">
            <v>18005.97825</v>
          </cell>
          <cell r="E1769">
            <v>18853.947499999998</v>
          </cell>
          <cell r="F1769">
            <v>19479.447</v>
          </cell>
        </row>
        <row r="1770">
          <cell r="A1770">
            <v>1522</v>
          </cell>
          <cell r="B1770">
            <v>7249</v>
          </cell>
          <cell r="C1770">
            <v>17717</v>
          </cell>
          <cell r="D1770">
            <v>18017.816500000001</v>
          </cell>
          <cell r="E1770">
            <v>18854.695</v>
          </cell>
          <cell r="F1770">
            <v>19492.254000000001</v>
          </cell>
        </row>
        <row r="1771">
          <cell r="A1771">
            <v>1523</v>
          </cell>
          <cell r="B1771">
            <v>7249</v>
          </cell>
          <cell r="C1771">
            <v>17717</v>
          </cell>
          <cell r="D1771">
            <v>18029.654750000002</v>
          </cell>
          <cell r="E1771">
            <v>18855.442500000001</v>
          </cell>
          <cell r="F1771">
            <v>19505.061000000002</v>
          </cell>
        </row>
        <row r="1772">
          <cell r="A1772">
            <v>1524</v>
          </cell>
          <cell r="B1772">
            <v>7249</v>
          </cell>
          <cell r="C1772">
            <v>17717</v>
          </cell>
          <cell r="D1772">
            <v>18041.493000000002</v>
          </cell>
          <cell r="E1772">
            <v>18856.189999999999</v>
          </cell>
          <cell r="F1772">
            <v>19517.868000000002</v>
          </cell>
        </row>
        <row r="1773">
          <cell r="A1773">
            <v>1525</v>
          </cell>
          <cell r="B1773">
            <v>7249</v>
          </cell>
          <cell r="C1773">
            <v>17717</v>
          </cell>
          <cell r="D1773">
            <v>18053.331249999999</v>
          </cell>
          <cell r="E1773">
            <v>18856.9375</v>
          </cell>
          <cell r="F1773">
            <v>19530.674999999999</v>
          </cell>
        </row>
        <row r="1774">
          <cell r="A1774">
            <v>1526</v>
          </cell>
          <cell r="B1774">
            <v>7249</v>
          </cell>
          <cell r="C1774">
            <v>17717</v>
          </cell>
          <cell r="D1774">
            <v>18065.1695</v>
          </cell>
          <cell r="E1774">
            <v>18857.685000000001</v>
          </cell>
          <cell r="F1774">
            <v>19543.482</v>
          </cell>
        </row>
        <row r="1775">
          <cell r="A1775">
            <v>1527</v>
          </cell>
          <cell r="B1775">
            <v>7249</v>
          </cell>
          <cell r="C1775">
            <v>17717</v>
          </cell>
          <cell r="D1775">
            <v>18077.007750000001</v>
          </cell>
          <cell r="E1775">
            <v>18858.432499999999</v>
          </cell>
          <cell r="F1775">
            <v>19556.289000000001</v>
          </cell>
        </row>
        <row r="1776">
          <cell r="A1776">
            <v>1528</v>
          </cell>
          <cell r="B1776">
            <v>7249</v>
          </cell>
          <cell r="C1776">
            <v>17717</v>
          </cell>
          <cell r="D1776">
            <v>18088.846000000001</v>
          </cell>
          <cell r="E1776">
            <v>18859.18</v>
          </cell>
          <cell r="F1776">
            <v>19569.096000000001</v>
          </cell>
        </row>
        <row r="1777">
          <cell r="A1777">
            <v>1529</v>
          </cell>
          <cell r="B1777">
            <v>7249</v>
          </cell>
          <cell r="C1777">
            <v>17717</v>
          </cell>
          <cell r="D1777">
            <v>18100.684250000002</v>
          </cell>
          <cell r="E1777">
            <v>18859.927500000002</v>
          </cell>
          <cell r="F1777">
            <v>19581.903000000002</v>
          </cell>
        </row>
        <row r="1778">
          <cell r="A1778">
            <v>1530</v>
          </cell>
          <cell r="B1778">
            <v>7249</v>
          </cell>
          <cell r="C1778">
            <v>17717</v>
          </cell>
          <cell r="D1778">
            <v>18112.522499999999</v>
          </cell>
          <cell r="E1778">
            <v>18860.674999999999</v>
          </cell>
          <cell r="F1778">
            <v>19594.71</v>
          </cell>
        </row>
        <row r="1779">
          <cell r="A1779">
            <v>1531</v>
          </cell>
          <cell r="B1779">
            <v>7249</v>
          </cell>
          <cell r="C1779">
            <v>17717</v>
          </cell>
          <cell r="D1779">
            <v>18124.36075</v>
          </cell>
          <cell r="E1779">
            <v>18861.422500000001</v>
          </cell>
          <cell r="F1779">
            <v>19607.517</v>
          </cell>
        </row>
        <row r="1780">
          <cell r="A1780">
            <v>1532</v>
          </cell>
          <cell r="B1780">
            <v>7249</v>
          </cell>
          <cell r="C1780">
            <v>17717</v>
          </cell>
          <cell r="D1780">
            <v>18136.199000000001</v>
          </cell>
          <cell r="E1780">
            <v>18862.169999999998</v>
          </cell>
          <cell r="F1780">
            <v>19620.324000000001</v>
          </cell>
        </row>
        <row r="1781">
          <cell r="A1781">
            <v>1533</v>
          </cell>
          <cell r="B1781">
            <v>7249</v>
          </cell>
          <cell r="C1781">
            <v>17717</v>
          </cell>
          <cell r="D1781">
            <v>18148.037250000001</v>
          </cell>
          <cell r="E1781">
            <v>18862.9175</v>
          </cell>
          <cell r="F1781">
            <v>19633.131000000001</v>
          </cell>
        </row>
        <row r="1782">
          <cell r="A1782">
            <v>1534</v>
          </cell>
          <cell r="B1782">
            <v>7249</v>
          </cell>
          <cell r="C1782">
            <v>17717</v>
          </cell>
          <cell r="D1782">
            <v>18159.875500000002</v>
          </cell>
          <cell r="E1782">
            <v>18863.665000000001</v>
          </cell>
          <cell r="F1782">
            <v>19645.938000000002</v>
          </cell>
        </row>
        <row r="1783">
          <cell r="A1783">
            <v>1535</v>
          </cell>
          <cell r="B1783">
            <v>7249</v>
          </cell>
          <cell r="C1783">
            <v>17717</v>
          </cell>
          <cell r="D1783">
            <v>18171.713749999999</v>
          </cell>
          <cell r="E1783">
            <v>18864.412499999999</v>
          </cell>
          <cell r="F1783">
            <v>19658.744999999999</v>
          </cell>
        </row>
        <row r="1784">
          <cell r="A1784">
            <v>1536</v>
          </cell>
          <cell r="B1784">
            <v>7249</v>
          </cell>
          <cell r="C1784">
            <v>17717</v>
          </cell>
          <cell r="D1784">
            <v>18183.552</v>
          </cell>
          <cell r="E1784">
            <v>18865.16</v>
          </cell>
          <cell r="F1784">
            <v>19671.552</v>
          </cell>
        </row>
        <row r="1785">
          <cell r="A1785">
            <v>1537</v>
          </cell>
          <cell r="B1785">
            <v>7249</v>
          </cell>
          <cell r="C1785">
            <v>17717</v>
          </cell>
          <cell r="D1785">
            <v>18195.39025</v>
          </cell>
          <cell r="E1785">
            <v>18865.907500000001</v>
          </cell>
          <cell r="F1785">
            <v>19684.359</v>
          </cell>
        </row>
        <row r="1786">
          <cell r="A1786">
            <v>1538</v>
          </cell>
          <cell r="B1786">
            <v>7249</v>
          </cell>
          <cell r="C1786">
            <v>17717</v>
          </cell>
          <cell r="D1786">
            <v>18207.228500000001</v>
          </cell>
          <cell r="E1786">
            <v>18866.654999999999</v>
          </cell>
          <cell r="F1786">
            <v>19697.166000000001</v>
          </cell>
        </row>
        <row r="1787">
          <cell r="A1787">
            <v>1539</v>
          </cell>
          <cell r="B1787">
            <v>7249</v>
          </cell>
          <cell r="C1787">
            <v>17717</v>
          </cell>
          <cell r="D1787">
            <v>18219.066750000002</v>
          </cell>
          <cell r="E1787">
            <v>18867.4025</v>
          </cell>
          <cell r="F1787">
            <v>19709.973000000002</v>
          </cell>
        </row>
        <row r="1788">
          <cell r="A1788">
            <v>1540</v>
          </cell>
          <cell r="B1788">
            <v>7249</v>
          </cell>
          <cell r="C1788">
            <v>17717</v>
          </cell>
          <cell r="D1788">
            <v>18230.904999999999</v>
          </cell>
          <cell r="E1788">
            <v>18868.150000000001</v>
          </cell>
          <cell r="F1788">
            <v>19722.78</v>
          </cell>
        </row>
        <row r="1789">
          <cell r="A1789">
            <v>1541</v>
          </cell>
          <cell r="B1789">
            <v>7249</v>
          </cell>
          <cell r="C1789">
            <v>17717</v>
          </cell>
          <cell r="D1789">
            <v>18242.74325</v>
          </cell>
          <cell r="E1789">
            <v>18868.897499999999</v>
          </cell>
          <cell r="F1789">
            <v>19735.587</v>
          </cell>
        </row>
        <row r="1790">
          <cell r="A1790">
            <v>1542</v>
          </cell>
          <cell r="B1790">
            <v>7249</v>
          </cell>
          <cell r="C1790">
            <v>17717</v>
          </cell>
          <cell r="D1790">
            <v>18254.5815</v>
          </cell>
          <cell r="E1790">
            <v>18869.645</v>
          </cell>
          <cell r="F1790">
            <v>19748.394</v>
          </cell>
        </row>
        <row r="1791">
          <cell r="A1791">
            <v>1543</v>
          </cell>
          <cell r="B1791">
            <v>7249</v>
          </cell>
          <cell r="C1791">
            <v>17717</v>
          </cell>
          <cell r="D1791">
            <v>18266.419750000001</v>
          </cell>
          <cell r="E1791">
            <v>18870.392500000002</v>
          </cell>
          <cell r="F1791">
            <v>19761.201000000001</v>
          </cell>
        </row>
        <row r="1792">
          <cell r="A1792">
            <v>1544</v>
          </cell>
          <cell r="B1792">
            <v>7249</v>
          </cell>
          <cell r="C1792">
            <v>17717</v>
          </cell>
          <cell r="D1792">
            <v>18278.258000000002</v>
          </cell>
          <cell r="E1792">
            <v>18871.14</v>
          </cell>
          <cell r="F1792">
            <v>19774.008000000002</v>
          </cell>
        </row>
        <row r="1793">
          <cell r="A1793">
            <v>1545</v>
          </cell>
          <cell r="B1793">
            <v>7249</v>
          </cell>
          <cell r="C1793">
            <v>17717</v>
          </cell>
          <cell r="D1793">
            <v>18290.096250000002</v>
          </cell>
          <cell r="E1793">
            <v>18871.887500000001</v>
          </cell>
          <cell r="F1793">
            <v>19786.815000000002</v>
          </cell>
        </row>
        <row r="1794">
          <cell r="A1794">
            <v>1546</v>
          </cell>
          <cell r="B1794">
            <v>7249</v>
          </cell>
          <cell r="C1794">
            <v>17717</v>
          </cell>
          <cell r="D1794">
            <v>18301.934499999999</v>
          </cell>
          <cell r="E1794">
            <v>18872.634999999998</v>
          </cell>
          <cell r="F1794">
            <v>19799.621999999999</v>
          </cell>
        </row>
        <row r="1795">
          <cell r="A1795">
            <v>1547</v>
          </cell>
          <cell r="B1795">
            <v>7249</v>
          </cell>
          <cell r="C1795">
            <v>17717</v>
          </cell>
          <cell r="D1795">
            <v>18313.77275</v>
          </cell>
          <cell r="E1795">
            <v>18873.3825</v>
          </cell>
          <cell r="F1795">
            <v>19812.429</v>
          </cell>
        </row>
        <row r="1796">
          <cell r="A1796">
            <v>1548</v>
          </cell>
          <cell r="B1796">
            <v>7249</v>
          </cell>
          <cell r="C1796">
            <v>17717</v>
          </cell>
          <cell r="D1796">
            <v>18325.611000000001</v>
          </cell>
          <cell r="E1796">
            <v>18874.13</v>
          </cell>
          <cell r="F1796">
            <v>19825.236000000001</v>
          </cell>
        </row>
        <row r="1797">
          <cell r="A1797">
            <v>1549</v>
          </cell>
          <cell r="B1797">
            <v>7249</v>
          </cell>
          <cell r="C1797">
            <v>17717</v>
          </cell>
          <cell r="D1797">
            <v>18337.449250000001</v>
          </cell>
          <cell r="E1797">
            <v>18874.877499999999</v>
          </cell>
          <cell r="F1797">
            <v>19838.043000000001</v>
          </cell>
        </row>
        <row r="1798">
          <cell r="A1798">
            <v>1550</v>
          </cell>
          <cell r="B1798">
            <v>7249</v>
          </cell>
          <cell r="C1798">
            <v>17717</v>
          </cell>
          <cell r="D1798">
            <v>18349.287500000002</v>
          </cell>
          <cell r="E1798">
            <v>18875.625</v>
          </cell>
          <cell r="F1798">
            <v>19850.850000000002</v>
          </cell>
        </row>
        <row r="1799">
          <cell r="A1799">
            <v>1551</v>
          </cell>
          <cell r="B1799">
            <v>7249</v>
          </cell>
          <cell r="C1799">
            <v>17717</v>
          </cell>
          <cell r="D1799">
            <v>18361.125749999999</v>
          </cell>
          <cell r="E1799">
            <v>18876.372500000001</v>
          </cell>
          <cell r="F1799">
            <v>19863.656999999999</v>
          </cell>
        </row>
        <row r="1800">
          <cell r="A1800">
            <v>1552</v>
          </cell>
          <cell r="B1800">
            <v>7249</v>
          </cell>
          <cell r="C1800">
            <v>17717</v>
          </cell>
          <cell r="D1800">
            <v>18372.964</v>
          </cell>
          <cell r="E1800">
            <v>18877.12</v>
          </cell>
          <cell r="F1800">
            <v>19876.464</v>
          </cell>
        </row>
        <row r="1801">
          <cell r="A1801">
            <v>1553</v>
          </cell>
          <cell r="B1801">
            <v>7249</v>
          </cell>
          <cell r="C1801">
            <v>17717</v>
          </cell>
          <cell r="D1801">
            <v>18384.802250000001</v>
          </cell>
          <cell r="E1801">
            <v>18877.8675</v>
          </cell>
          <cell r="F1801">
            <v>19889.271000000001</v>
          </cell>
        </row>
        <row r="1802">
          <cell r="A1802">
            <v>1554</v>
          </cell>
          <cell r="B1802">
            <v>7249</v>
          </cell>
          <cell r="C1802">
            <v>17717</v>
          </cell>
          <cell r="D1802">
            <v>18396.640500000001</v>
          </cell>
          <cell r="E1802">
            <v>18878.615000000002</v>
          </cell>
          <cell r="F1802">
            <v>19902.078000000001</v>
          </cell>
        </row>
        <row r="1803">
          <cell r="A1803">
            <v>1555</v>
          </cell>
          <cell r="B1803">
            <v>7249</v>
          </cell>
          <cell r="C1803">
            <v>17717</v>
          </cell>
          <cell r="D1803">
            <v>18408.478750000002</v>
          </cell>
          <cell r="E1803">
            <v>18879.362499999999</v>
          </cell>
          <cell r="F1803">
            <v>19914.885000000002</v>
          </cell>
        </row>
        <row r="1804">
          <cell r="A1804">
            <v>1556</v>
          </cell>
          <cell r="B1804">
            <v>7249</v>
          </cell>
          <cell r="C1804">
            <v>17717</v>
          </cell>
          <cell r="D1804">
            <v>18420.316999999999</v>
          </cell>
          <cell r="E1804">
            <v>18880.11</v>
          </cell>
          <cell r="F1804">
            <v>19927.691999999999</v>
          </cell>
        </row>
        <row r="1805">
          <cell r="A1805">
            <v>1557</v>
          </cell>
          <cell r="B1805">
            <v>7249</v>
          </cell>
          <cell r="C1805">
            <v>17717</v>
          </cell>
          <cell r="D1805">
            <v>18432.15525</v>
          </cell>
          <cell r="E1805">
            <v>18880.857499999998</v>
          </cell>
          <cell r="F1805">
            <v>19940.499</v>
          </cell>
        </row>
        <row r="1806">
          <cell r="A1806">
            <v>1558</v>
          </cell>
          <cell r="B1806">
            <v>7249</v>
          </cell>
          <cell r="C1806">
            <v>17717</v>
          </cell>
          <cell r="D1806">
            <v>18443.9935</v>
          </cell>
          <cell r="E1806">
            <v>18881.605</v>
          </cell>
          <cell r="F1806">
            <v>19953.306</v>
          </cell>
        </row>
        <row r="1807">
          <cell r="A1807">
            <v>1559</v>
          </cell>
          <cell r="B1807">
            <v>7249</v>
          </cell>
          <cell r="C1807">
            <v>17717</v>
          </cell>
          <cell r="D1807">
            <v>18455.831750000001</v>
          </cell>
          <cell r="E1807">
            <v>18882.352500000001</v>
          </cell>
          <cell r="F1807">
            <v>19966.113000000001</v>
          </cell>
        </row>
        <row r="1808">
          <cell r="A1808">
            <v>1560</v>
          </cell>
          <cell r="B1808">
            <v>7249</v>
          </cell>
          <cell r="C1808">
            <v>17717</v>
          </cell>
          <cell r="D1808">
            <v>18467.670000000002</v>
          </cell>
          <cell r="E1808">
            <v>18883.099999999999</v>
          </cell>
          <cell r="F1808">
            <v>19978.920000000002</v>
          </cell>
        </row>
        <row r="1809">
          <cell r="A1809">
            <v>1561</v>
          </cell>
          <cell r="B1809">
            <v>7424</v>
          </cell>
          <cell r="C1809">
            <v>18082</v>
          </cell>
          <cell r="D1809">
            <v>18479.508249999999</v>
          </cell>
          <cell r="E1809">
            <v>19248.8475</v>
          </cell>
          <cell r="F1809">
            <v>19991.726999999999</v>
          </cell>
        </row>
        <row r="1810">
          <cell r="A1810">
            <v>1562</v>
          </cell>
          <cell r="B1810">
            <v>7424</v>
          </cell>
          <cell r="C1810">
            <v>18082</v>
          </cell>
          <cell r="D1810">
            <v>18491.3465</v>
          </cell>
          <cell r="E1810">
            <v>19249.595000000001</v>
          </cell>
          <cell r="F1810">
            <v>20004.534</v>
          </cell>
        </row>
        <row r="1811">
          <cell r="A1811">
            <v>1563</v>
          </cell>
          <cell r="B1811">
            <v>7424</v>
          </cell>
          <cell r="C1811">
            <v>18082</v>
          </cell>
          <cell r="D1811">
            <v>18503.18475</v>
          </cell>
          <cell r="E1811">
            <v>19250.342499999999</v>
          </cell>
          <cell r="F1811">
            <v>20017.341</v>
          </cell>
        </row>
        <row r="1812">
          <cell r="A1812">
            <v>1564</v>
          </cell>
          <cell r="B1812">
            <v>7424</v>
          </cell>
          <cell r="C1812">
            <v>18082</v>
          </cell>
          <cell r="D1812">
            <v>18515.023000000001</v>
          </cell>
          <cell r="E1812">
            <v>19251.09</v>
          </cell>
          <cell r="F1812">
            <v>20030.148000000001</v>
          </cell>
        </row>
        <row r="1813">
          <cell r="A1813">
            <v>1565</v>
          </cell>
          <cell r="B1813">
            <v>7424</v>
          </cell>
          <cell r="C1813">
            <v>18082</v>
          </cell>
          <cell r="D1813">
            <v>18526.861250000002</v>
          </cell>
          <cell r="E1813">
            <v>19251.837500000001</v>
          </cell>
          <cell r="F1813">
            <v>20042.955000000002</v>
          </cell>
        </row>
        <row r="1814">
          <cell r="A1814">
            <v>1566</v>
          </cell>
          <cell r="B1814">
            <v>7424</v>
          </cell>
          <cell r="C1814">
            <v>18082</v>
          </cell>
          <cell r="D1814">
            <v>18538.699499999999</v>
          </cell>
          <cell r="E1814">
            <v>19252.584999999999</v>
          </cell>
          <cell r="F1814">
            <v>20055.761999999999</v>
          </cell>
        </row>
        <row r="1815">
          <cell r="A1815">
            <v>1567</v>
          </cell>
          <cell r="B1815">
            <v>7424</v>
          </cell>
          <cell r="C1815">
            <v>18082</v>
          </cell>
          <cell r="D1815">
            <v>18550.53775</v>
          </cell>
          <cell r="E1815">
            <v>19253.3325</v>
          </cell>
          <cell r="F1815">
            <v>20068.569</v>
          </cell>
        </row>
        <row r="1816">
          <cell r="A1816">
            <v>1568</v>
          </cell>
          <cell r="B1816">
            <v>7424</v>
          </cell>
          <cell r="C1816">
            <v>18082</v>
          </cell>
          <cell r="D1816">
            <v>18562.376</v>
          </cell>
          <cell r="E1816">
            <v>19254.080000000002</v>
          </cell>
          <cell r="F1816">
            <v>20081.376</v>
          </cell>
        </row>
        <row r="1817">
          <cell r="A1817">
            <v>1569</v>
          </cell>
          <cell r="B1817">
            <v>7424</v>
          </cell>
          <cell r="C1817">
            <v>18082</v>
          </cell>
          <cell r="D1817">
            <v>18574.214250000001</v>
          </cell>
          <cell r="E1817">
            <v>19254.827499999999</v>
          </cell>
          <cell r="F1817">
            <v>20094.183000000001</v>
          </cell>
        </row>
        <row r="1818">
          <cell r="A1818">
            <v>1570</v>
          </cell>
          <cell r="B1818">
            <v>7424</v>
          </cell>
          <cell r="C1818">
            <v>18082</v>
          </cell>
          <cell r="D1818">
            <v>18586.052500000002</v>
          </cell>
          <cell r="E1818">
            <v>19255.575000000001</v>
          </cell>
          <cell r="F1818">
            <v>20106.990000000002</v>
          </cell>
        </row>
        <row r="1819">
          <cell r="A1819">
            <v>1571</v>
          </cell>
          <cell r="B1819">
            <v>7424</v>
          </cell>
          <cell r="C1819">
            <v>18082</v>
          </cell>
          <cell r="D1819">
            <v>18597.890750000002</v>
          </cell>
          <cell r="E1819">
            <v>19256.322499999998</v>
          </cell>
          <cell r="F1819">
            <v>20119.797000000002</v>
          </cell>
        </row>
        <row r="1820">
          <cell r="A1820">
            <v>1572</v>
          </cell>
          <cell r="B1820">
            <v>7424</v>
          </cell>
          <cell r="C1820">
            <v>18082</v>
          </cell>
          <cell r="D1820">
            <v>18609.728999999999</v>
          </cell>
          <cell r="E1820">
            <v>19257.07</v>
          </cell>
          <cell r="F1820">
            <v>20132.603999999999</v>
          </cell>
        </row>
        <row r="1821">
          <cell r="A1821">
            <v>1573</v>
          </cell>
          <cell r="B1821">
            <v>7424</v>
          </cell>
          <cell r="C1821">
            <v>18082</v>
          </cell>
          <cell r="D1821">
            <v>18621.56725</v>
          </cell>
          <cell r="E1821">
            <v>19257.817500000001</v>
          </cell>
          <cell r="F1821">
            <v>20145.411</v>
          </cell>
        </row>
        <row r="1822">
          <cell r="A1822">
            <v>1574</v>
          </cell>
          <cell r="B1822">
            <v>7424</v>
          </cell>
          <cell r="C1822">
            <v>18082</v>
          </cell>
          <cell r="D1822">
            <v>18633.405500000001</v>
          </cell>
          <cell r="E1822">
            <v>19258.564999999999</v>
          </cell>
          <cell r="F1822">
            <v>20158.218000000001</v>
          </cell>
        </row>
        <row r="1823">
          <cell r="A1823">
            <v>1575</v>
          </cell>
          <cell r="B1823">
            <v>7424</v>
          </cell>
          <cell r="C1823">
            <v>18082</v>
          </cell>
          <cell r="D1823">
            <v>18645.243750000001</v>
          </cell>
          <cell r="E1823">
            <v>19259.3125</v>
          </cell>
          <cell r="F1823">
            <v>20171.025000000001</v>
          </cell>
        </row>
        <row r="1824">
          <cell r="A1824">
            <v>1576</v>
          </cell>
          <cell r="B1824">
            <v>7424</v>
          </cell>
          <cell r="C1824">
            <v>18082</v>
          </cell>
          <cell r="D1824">
            <v>18657.082000000002</v>
          </cell>
          <cell r="E1824">
            <v>19260.060000000001</v>
          </cell>
          <cell r="F1824">
            <v>20183.832000000002</v>
          </cell>
        </row>
        <row r="1825">
          <cell r="A1825">
            <v>1577</v>
          </cell>
          <cell r="B1825">
            <v>7424</v>
          </cell>
          <cell r="C1825">
            <v>18082</v>
          </cell>
          <cell r="D1825">
            <v>18668.920249999999</v>
          </cell>
          <cell r="E1825">
            <v>19260.807499999999</v>
          </cell>
          <cell r="F1825">
            <v>20196.638999999999</v>
          </cell>
        </row>
        <row r="1826">
          <cell r="A1826">
            <v>1578</v>
          </cell>
          <cell r="B1826">
            <v>7424</v>
          </cell>
          <cell r="C1826">
            <v>18082</v>
          </cell>
          <cell r="D1826">
            <v>18680.7585</v>
          </cell>
          <cell r="E1826">
            <v>19261.555</v>
          </cell>
          <cell r="F1826">
            <v>20209.446</v>
          </cell>
        </row>
        <row r="1827">
          <cell r="A1827">
            <v>1579</v>
          </cell>
          <cell r="B1827">
            <v>7424</v>
          </cell>
          <cell r="C1827">
            <v>18082</v>
          </cell>
          <cell r="D1827">
            <v>18692.596750000001</v>
          </cell>
          <cell r="E1827">
            <v>19262.302500000002</v>
          </cell>
          <cell r="F1827">
            <v>20222.253000000001</v>
          </cell>
        </row>
        <row r="1828">
          <cell r="A1828">
            <v>1580</v>
          </cell>
          <cell r="B1828">
            <v>7424</v>
          </cell>
          <cell r="C1828">
            <v>18082</v>
          </cell>
          <cell r="D1828">
            <v>18704.435000000001</v>
          </cell>
          <cell r="E1828">
            <v>19263.05</v>
          </cell>
          <cell r="F1828">
            <v>20235.060000000001</v>
          </cell>
        </row>
        <row r="1829">
          <cell r="A1829">
            <v>1581</v>
          </cell>
          <cell r="B1829">
            <v>7424</v>
          </cell>
          <cell r="C1829">
            <v>18082</v>
          </cell>
          <cell r="D1829">
            <v>18716.273250000002</v>
          </cell>
          <cell r="E1829">
            <v>19263.797500000001</v>
          </cell>
          <cell r="F1829">
            <v>20247.867000000002</v>
          </cell>
        </row>
        <row r="1830">
          <cell r="A1830">
            <v>1582</v>
          </cell>
          <cell r="B1830">
            <v>7424</v>
          </cell>
          <cell r="C1830">
            <v>18082</v>
          </cell>
          <cell r="D1830">
            <v>18728.111499999999</v>
          </cell>
          <cell r="E1830">
            <v>19264.544999999998</v>
          </cell>
          <cell r="F1830">
            <v>20260.673999999999</v>
          </cell>
        </row>
        <row r="1831">
          <cell r="A1831">
            <v>1583</v>
          </cell>
          <cell r="B1831">
            <v>7424</v>
          </cell>
          <cell r="C1831">
            <v>18082</v>
          </cell>
          <cell r="D1831">
            <v>18739.94975</v>
          </cell>
          <cell r="E1831">
            <v>19265.2925</v>
          </cell>
          <cell r="F1831">
            <v>20273.481</v>
          </cell>
        </row>
        <row r="1832">
          <cell r="A1832">
            <v>1584</v>
          </cell>
          <cell r="B1832">
            <v>7424</v>
          </cell>
          <cell r="C1832">
            <v>18082</v>
          </cell>
          <cell r="D1832">
            <v>18751.788</v>
          </cell>
          <cell r="E1832">
            <v>19266.04</v>
          </cell>
          <cell r="F1832">
            <v>20286.288</v>
          </cell>
        </row>
        <row r="1833">
          <cell r="A1833">
            <v>1585</v>
          </cell>
          <cell r="B1833">
            <v>7424</v>
          </cell>
          <cell r="C1833">
            <v>18082</v>
          </cell>
          <cell r="D1833">
            <v>18763.626250000001</v>
          </cell>
          <cell r="E1833">
            <v>19266.787499999999</v>
          </cell>
          <cell r="F1833">
            <v>20299.095000000001</v>
          </cell>
        </row>
        <row r="1834">
          <cell r="A1834">
            <v>1586</v>
          </cell>
          <cell r="B1834">
            <v>7424</v>
          </cell>
          <cell r="C1834">
            <v>18082</v>
          </cell>
          <cell r="D1834">
            <v>18775.464500000002</v>
          </cell>
          <cell r="E1834">
            <v>19267.535</v>
          </cell>
          <cell r="F1834">
            <v>20311.902000000002</v>
          </cell>
        </row>
        <row r="1835">
          <cell r="A1835">
            <v>1587</v>
          </cell>
          <cell r="B1835">
            <v>7424</v>
          </cell>
          <cell r="C1835">
            <v>18082</v>
          </cell>
          <cell r="D1835">
            <v>18787.302749999999</v>
          </cell>
          <cell r="E1835">
            <v>19268.282500000001</v>
          </cell>
          <cell r="F1835">
            <v>20324.708999999999</v>
          </cell>
        </row>
        <row r="1836">
          <cell r="A1836">
            <v>1588</v>
          </cell>
          <cell r="B1836">
            <v>7424</v>
          </cell>
          <cell r="C1836">
            <v>18082</v>
          </cell>
          <cell r="D1836">
            <v>18799.141</v>
          </cell>
          <cell r="E1836">
            <v>19269.03</v>
          </cell>
          <cell r="F1836">
            <v>20337.516</v>
          </cell>
        </row>
        <row r="1837">
          <cell r="A1837">
            <v>1589</v>
          </cell>
          <cell r="B1837">
            <v>7424</v>
          </cell>
          <cell r="C1837">
            <v>18082</v>
          </cell>
          <cell r="D1837">
            <v>18810.97925</v>
          </cell>
          <cell r="E1837">
            <v>19269.7775</v>
          </cell>
          <cell r="F1837">
            <v>20350.323</v>
          </cell>
        </row>
        <row r="1838">
          <cell r="A1838">
            <v>1590</v>
          </cell>
          <cell r="B1838">
            <v>7424</v>
          </cell>
          <cell r="C1838">
            <v>18082</v>
          </cell>
          <cell r="D1838">
            <v>18822.817500000001</v>
          </cell>
          <cell r="E1838">
            <v>19270.525000000001</v>
          </cell>
          <cell r="F1838">
            <v>20363.13</v>
          </cell>
        </row>
        <row r="1839">
          <cell r="A1839">
            <v>1591</v>
          </cell>
          <cell r="B1839">
            <v>7424</v>
          </cell>
          <cell r="C1839">
            <v>18082</v>
          </cell>
          <cell r="D1839">
            <v>18834.655750000002</v>
          </cell>
          <cell r="E1839">
            <v>19271.272499999999</v>
          </cell>
          <cell r="F1839">
            <v>20375.937000000002</v>
          </cell>
        </row>
        <row r="1840">
          <cell r="A1840">
            <v>1592</v>
          </cell>
          <cell r="B1840">
            <v>7424</v>
          </cell>
          <cell r="C1840">
            <v>18082</v>
          </cell>
          <cell r="D1840">
            <v>18846.494000000002</v>
          </cell>
          <cell r="E1840">
            <v>19272.02</v>
          </cell>
          <cell r="F1840">
            <v>20388.744000000002</v>
          </cell>
        </row>
        <row r="1841">
          <cell r="A1841">
            <v>1593</v>
          </cell>
          <cell r="B1841">
            <v>7424</v>
          </cell>
          <cell r="C1841">
            <v>18082</v>
          </cell>
          <cell r="D1841">
            <v>18858.332249999999</v>
          </cell>
          <cell r="E1841">
            <v>19272.767500000002</v>
          </cell>
          <cell r="F1841">
            <v>20401.550999999999</v>
          </cell>
        </row>
        <row r="1842">
          <cell r="A1842">
            <v>1594</v>
          </cell>
          <cell r="B1842">
            <v>7424</v>
          </cell>
          <cell r="C1842">
            <v>18082</v>
          </cell>
          <cell r="D1842">
            <v>18870.1705</v>
          </cell>
          <cell r="E1842">
            <v>19273.514999999999</v>
          </cell>
          <cell r="F1842">
            <v>20414.358</v>
          </cell>
        </row>
        <row r="1843">
          <cell r="A1843">
            <v>1595</v>
          </cell>
          <cell r="B1843">
            <v>7424</v>
          </cell>
          <cell r="C1843">
            <v>18082</v>
          </cell>
          <cell r="D1843">
            <v>18882.008750000001</v>
          </cell>
          <cell r="E1843">
            <v>19274.262500000001</v>
          </cell>
          <cell r="F1843">
            <v>20427.165000000001</v>
          </cell>
        </row>
        <row r="1844">
          <cell r="A1844">
            <v>1596</v>
          </cell>
          <cell r="B1844">
            <v>7424</v>
          </cell>
          <cell r="C1844">
            <v>18082</v>
          </cell>
          <cell r="D1844">
            <v>18893.847000000002</v>
          </cell>
          <cell r="E1844">
            <v>19275.009999999998</v>
          </cell>
          <cell r="F1844">
            <v>20439.972000000002</v>
          </cell>
        </row>
        <row r="1845">
          <cell r="A1845">
            <v>1597</v>
          </cell>
          <cell r="B1845">
            <v>7424</v>
          </cell>
          <cell r="C1845">
            <v>18082</v>
          </cell>
          <cell r="D1845">
            <v>18905.685250000002</v>
          </cell>
          <cell r="E1845">
            <v>19275.7575</v>
          </cell>
          <cell r="F1845">
            <v>20452.779000000002</v>
          </cell>
        </row>
        <row r="1846">
          <cell r="A1846">
            <v>1598</v>
          </cell>
          <cell r="B1846">
            <v>7424</v>
          </cell>
          <cell r="C1846">
            <v>18082</v>
          </cell>
          <cell r="D1846">
            <v>18917.523499999999</v>
          </cell>
          <cell r="E1846">
            <v>19276.505000000001</v>
          </cell>
          <cell r="F1846">
            <v>20465.585999999999</v>
          </cell>
        </row>
        <row r="1847">
          <cell r="A1847">
            <v>1599</v>
          </cell>
          <cell r="B1847">
            <v>7424</v>
          </cell>
          <cell r="C1847">
            <v>18082</v>
          </cell>
          <cell r="D1847">
            <v>18929.36175</v>
          </cell>
          <cell r="E1847">
            <v>19277.252499999999</v>
          </cell>
          <cell r="F1847">
            <v>20478.393</v>
          </cell>
        </row>
        <row r="1848">
          <cell r="A1848">
            <v>1600</v>
          </cell>
          <cell r="B1848">
            <v>7424</v>
          </cell>
          <cell r="C1848">
            <v>18082</v>
          </cell>
          <cell r="D1848">
            <v>18941.2</v>
          </cell>
          <cell r="E1848">
            <v>19278</v>
          </cell>
          <cell r="F1848">
            <v>20491.2</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3">
          <cell r="C3" t="str">
            <v/>
          </cell>
          <cell r="D3" t="str">
            <v/>
          </cell>
          <cell r="E3" t="str">
            <v/>
          </cell>
          <cell r="F3" t="str">
            <v/>
          </cell>
          <cell r="G3" t="str">
            <v/>
          </cell>
          <cell r="H3">
            <v>0</v>
          </cell>
          <cell r="I3">
            <v>0</v>
          </cell>
          <cell r="J3">
            <v>0</v>
          </cell>
          <cell r="K3">
            <v>0</v>
          </cell>
          <cell r="L3">
            <v>0</v>
          </cell>
          <cell r="M3">
            <v>0</v>
          </cell>
          <cell r="N3">
            <v>0</v>
          </cell>
          <cell r="O3">
            <v>0</v>
          </cell>
          <cell r="P3">
            <v>0</v>
          </cell>
          <cell r="Q3">
            <v>0</v>
          </cell>
          <cell r="R3">
            <v>0</v>
          </cell>
          <cell r="S3">
            <v>0</v>
          </cell>
          <cell r="T3">
            <v>0</v>
          </cell>
          <cell r="U3">
            <v>0</v>
          </cell>
          <cell r="V3">
            <v>0</v>
          </cell>
          <cell r="W3">
            <v>0</v>
          </cell>
        </row>
        <row r="4">
          <cell r="C4" t="str">
            <v>865 L</v>
          </cell>
          <cell r="D4" t="str">
            <v>Lounge</v>
          </cell>
          <cell r="E4" t="str">
            <v>92" x 92" x 36"</v>
          </cell>
          <cell r="F4" t="str">
            <v>65 Jets</v>
          </cell>
          <cell r="G4" t="str">
            <v>(1) 6.0 Bhp / (1) 6.0 Bhp 2 Spd / (1) 3.0 Bhp</v>
          </cell>
          <cell r="H4">
            <v>4264</v>
          </cell>
          <cell r="I4">
            <v>56.05</v>
          </cell>
          <cell r="J4">
            <v>205</v>
          </cell>
          <cell r="K4">
            <v>225</v>
          </cell>
          <cell r="L4">
            <v>25</v>
          </cell>
          <cell r="M4">
            <v>4775.05</v>
          </cell>
          <cell r="N4">
            <v>7714.375</v>
          </cell>
          <cell r="O4">
            <v>455</v>
          </cell>
          <cell r="P4">
            <v>500</v>
          </cell>
          <cell r="Q4">
            <v>8169.375</v>
          </cell>
          <cell r="R4">
            <v>8669.375</v>
          </cell>
          <cell r="S4">
            <v>10555.11</v>
          </cell>
          <cell r="T4">
            <v>7999</v>
          </cell>
          <cell r="U4">
            <v>8499</v>
          </cell>
          <cell r="V4">
            <v>3</v>
          </cell>
          <cell r="W4">
            <v>8</v>
          </cell>
        </row>
        <row r="5">
          <cell r="C5" t="str">
            <v>865 B</v>
          </cell>
          <cell r="D5" t="str">
            <v>Bucket</v>
          </cell>
          <cell r="E5" t="str">
            <v>92" x 92" x 36"</v>
          </cell>
          <cell r="F5" t="str">
            <v>65 Jets</v>
          </cell>
          <cell r="G5" t="str">
            <v>(1) 6.0 Bhp / (1) 6.0 Bhp 2 Spd / (1) 3.0 Bhp</v>
          </cell>
          <cell r="H5">
            <v>4264</v>
          </cell>
          <cell r="I5">
            <v>56.05</v>
          </cell>
          <cell r="J5">
            <v>205</v>
          </cell>
          <cell r="K5">
            <v>225</v>
          </cell>
          <cell r="L5">
            <v>25</v>
          </cell>
          <cell r="M5">
            <v>4775.05</v>
          </cell>
          <cell r="N5">
            <v>7714.375</v>
          </cell>
          <cell r="O5">
            <v>455</v>
          </cell>
          <cell r="P5">
            <v>500</v>
          </cell>
          <cell r="Q5">
            <v>8169.375</v>
          </cell>
          <cell r="R5">
            <v>8669.375</v>
          </cell>
          <cell r="S5">
            <v>10555.11</v>
          </cell>
          <cell r="T5">
            <v>7999</v>
          </cell>
          <cell r="U5">
            <v>8499</v>
          </cell>
          <cell r="V5">
            <v>3</v>
          </cell>
          <cell r="W5">
            <v>8</v>
          </cell>
        </row>
        <row r="6">
          <cell r="C6" t="str">
            <v>854 L</v>
          </cell>
          <cell r="D6" t="str">
            <v>Lounge</v>
          </cell>
          <cell r="E6" t="str">
            <v>92" x 92" x 36"</v>
          </cell>
          <cell r="F6" t="str">
            <v>54 Jets</v>
          </cell>
          <cell r="G6" t="str">
            <v>(1) 6.0 Bhp / (1) 6.0 Bhp - 2 Speed</v>
          </cell>
          <cell r="H6">
            <v>3882</v>
          </cell>
          <cell r="I6">
            <v>56.05</v>
          </cell>
          <cell r="J6">
            <v>205</v>
          </cell>
          <cell r="K6">
            <v>225</v>
          </cell>
          <cell r="L6">
            <v>25</v>
          </cell>
          <cell r="M6">
            <v>4393.05</v>
          </cell>
          <cell r="N6">
            <v>6674.6610169491532</v>
          </cell>
          <cell r="O6">
            <v>455</v>
          </cell>
          <cell r="P6">
            <v>500</v>
          </cell>
          <cell r="Q6">
            <v>7129.6610169491532</v>
          </cell>
          <cell r="R6">
            <v>7629.6610169491532</v>
          </cell>
          <cell r="S6">
            <v>9706.2199999999993</v>
          </cell>
          <cell r="T6">
            <v>6999</v>
          </cell>
          <cell r="U6">
            <v>7499</v>
          </cell>
          <cell r="V6">
            <v>2</v>
          </cell>
          <cell r="W6">
            <v>8</v>
          </cell>
        </row>
        <row r="7">
          <cell r="C7" t="str">
            <v>854 B</v>
          </cell>
          <cell r="D7" t="str">
            <v>Bucket</v>
          </cell>
          <cell r="E7" t="str">
            <v>92" x 92" x 36"</v>
          </cell>
          <cell r="F7" t="str">
            <v>54 Jets</v>
          </cell>
          <cell r="G7" t="str">
            <v>(1) 6.0 Bhp / (1) 6.0 Bhp - 2 Speed</v>
          </cell>
          <cell r="H7">
            <v>3882</v>
          </cell>
          <cell r="I7">
            <v>56.05</v>
          </cell>
          <cell r="J7">
            <v>205</v>
          </cell>
          <cell r="K7">
            <v>225</v>
          </cell>
          <cell r="L7">
            <v>25</v>
          </cell>
          <cell r="M7">
            <v>4393.05</v>
          </cell>
          <cell r="N7">
            <v>6674.6610169491532</v>
          </cell>
          <cell r="O7">
            <v>455</v>
          </cell>
          <cell r="P7">
            <v>500</v>
          </cell>
          <cell r="Q7">
            <v>7129.6610169491532</v>
          </cell>
          <cell r="R7">
            <v>7629.6610169491532</v>
          </cell>
          <cell r="S7">
            <v>9706.2199999999993</v>
          </cell>
          <cell r="T7">
            <v>6999</v>
          </cell>
          <cell r="U7">
            <v>7499</v>
          </cell>
          <cell r="V7">
            <v>2</v>
          </cell>
          <cell r="W7">
            <v>8</v>
          </cell>
        </row>
        <row r="8">
          <cell r="C8" t="str">
            <v>844 L</v>
          </cell>
          <cell r="D8" t="str">
            <v>Lounge</v>
          </cell>
          <cell r="E8" t="str">
            <v>92" x 92" x 36"</v>
          </cell>
          <cell r="F8" t="str">
            <v>44 Jets</v>
          </cell>
          <cell r="G8" t="str">
            <v>(1) 4.8 Bhp / (1) 4.8 Bhp - 2 Speed</v>
          </cell>
          <cell r="H8">
            <v>3678</v>
          </cell>
          <cell r="I8">
            <v>56.05</v>
          </cell>
          <cell r="J8">
            <v>205</v>
          </cell>
          <cell r="K8">
            <v>225</v>
          </cell>
          <cell r="L8">
            <v>25</v>
          </cell>
          <cell r="M8">
            <v>4189.05</v>
          </cell>
          <cell r="N8">
            <v>6223.416666666667</v>
          </cell>
          <cell r="O8">
            <v>455</v>
          </cell>
          <cell r="P8">
            <v>500</v>
          </cell>
          <cell r="Q8">
            <v>6678.416666666667</v>
          </cell>
          <cell r="R8">
            <v>7178.416666666667</v>
          </cell>
          <cell r="S8">
            <v>9252.89</v>
          </cell>
          <cell r="T8">
            <v>6499</v>
          </cell>
          <cell r="U8">
            <v>6999</v>
          </cell>
          <cell r="V8">
            <v>2</v>
          </cell>
          <cell r="W8">
            <v>8</v>
          </cell>
        </row>
        <row r="9">
          <cell r="C9" t="str">
            <v>844 B</v>
          </cell>
          <cell r="D9" t="str">
            <v>Bucket</v>
          </cell>
          <cell r="E9" t="str">
            <v>92" x 92" x 36"</v>
          </cell>
          <cell r="F9" t="str">
            <v>44 Jets</v>
          </cell>
          <cell r="G9" t="str">
            <v>(1) 4.8 Bhp / (1) 4.8 Bhp - 2 Speed</v>
          </cell>
          <cell r="H9">
            <v>3678</v>
          </cell>
          <cell r="I9">
            <v>56.05</v>
          </cell>
          <cell r="J9">
            <v>205</v>
          </cell>
          <cell r="K9">
            <v>225</v>
          </cell>
          <cell r="L9">
            <v>25</v>
          </cell>
          <cell r="M9">
            <v>4189.05</v>
          </cell>
          <cell r="N9">
            <v>6223.416666666667</v>
          </cell>
          <cell r="O9">
            <v>455</v>
          </cell>
          <cell r="P9">
            <v>500</v>
          </cell>
          <cell r="Q9">
            <v>6678.416666666667</v>
          </cell>
          <cell r="R9">
            <v>7178.416666666667</v>
          </cell>
          <cell r="S9">
            <v>9252.89</v>
          </cell>
          <cell r="T9">
            <v>6499</v>
          </cell>
          <cell r="U9">
            <v>6999</v>
          </cell>
          <cell r="V9">
            <v>2</v>
          </cell>
          <cell r="W9">
            <v>8</v>
          </cell>
        </row>
        <row r="10">
          <cell r="C10" t="str">
            <v>759 L</v>
          </cell>
          <cell r="D10" t="str">
            <v>Lounge</v>
          </cell>
          <cell r="E10" t="str">
            <v>84" x 84" x 36"</v>
          </cell>
          <cell r="F10" t="str">
            <v>59 Jets</v>
          </cell>
          <cell r="G10" t="str">
            <v>(1) 6.0 Bhp / (1) 6.0 Bhp 2 Spd / (1) 3.0 Bhp</v>
          </cell>
          <cell r="H10">
            <v>4060</v>
          </cell>
          <cell r="I10">
            <v>56.05</v>
          </cell>
          <cell r="J10">
            <v>205</v>
          </cell>
          <cell r="K10">
            <v>225</v>
          </cell>
          <cell r="L10">
            <v>25</v>
          </cell>
          <cell r="M10">
            <v>4571.05</v>
          </cell>
          <cell r="N10">
            <v>7221.1403508771937</v>
          </cell>
          <cell r="O10">
            <v>455</v>
          </cell>
          <cell r="P10">
            <v>500</v>
          </cell>
          <cell r="Q10">
            <v>7676.1403508771937</v>
          </cell>
          <cell r="R10">
            <v>8176.1403508771937</v>
          </cell>
          <cell r="S10">
            <v>10101.780000000001</v>
          </cell>
          <cell r="T10">
            <v>7499</v>
          </cell>
          <cell r="U10">
            <v>7999</v>
          </cell>
          <cell r="V10">
            <v>3</v>
          </cell>
          <cell r="W10">
            <v>7</v>
          </cell>
        </row>
        <row r="11">
          <cell r="C11" t="str">
            <v>759 B</v>
          </cell>
          <cell r="D11" t="str">
            <v>Bucket</v>
          </cell>
          <cell r="E11" t="str">
            <v>84" x 84" x 36"</v>
          </cell>
          <cell r="F11" t="str">
            <v>59 Jets</v>
          </cell>
          <cell r="G11" t="str">
            <v>(1) 6.0 Bhp / (1) 6.0 Bhp 2 Spd / (1) 3.0 Bhp</v>
          </cell>
          <cell r="H11">
            <v>4060</v>
          </cell>
          <cell r="I11">
            <v>56.05</v>
          </cell>
          <cell r="J11">
            <v>205</v>
          </cell>
          <cell r="K11">
            <v>225</v>
          </cell>
          <cell r="L11">
            <v>25</v>
          </cell>
          <cell r="M11">
            <v>4571.05</v>
          </cell>
          <cell r="N11">
            <v>7221.1403508771937</v>
          </cell>
          <cell r="O11">
            <v>455</v>
          </cell>
          <cell r="P11">
            <v>500</v>
          </cell>
          <cell r="Q11">
            <v>7676.1403508771937</v>
          </cell>
          <cell r="R11">
            <v>8176.1403508771937</v>
          </cell>
          <cell r="S11">
            <v>10101.780000000001</v>
          </cell>
          <cell r="T11">
            <v>7499</v>
          </cell>
          <cell r="U11">
            <v>7999</v>
          </cell>
          <cell r="V11">
            <v>3</v>
          </cell>
          <cell r="W11">
            <v>7</v>
          </cell>
        </row>
        <row r="12">
          <cell r="C12" t="str">
            <v>752 L</v>
          </cell>
          <cell r="D12" t="str">
            <v>Lounge</v>
          </cell>
          <cell r="E12" t="str">
            <v>84" x 84" x 36"</v>
          </cell>
          <cell r="F12" t="str">
            <v>52 Jets</v>
          </cell>
          <cell r="G12" t="str">
            <v>(1) 6.0 Bhp / (1) 6.0 Bhp - 2 Speed</v>
          </cell>
          <cell r="H12">
            <v>3703</v>
          </cell>
          <cell r="I12">
            <v>56.05</v>
          </cell>
          <cell r="J12">
            <v>205</v>
          </cell>
          <cell r="K12">
            <v>225</v>
          </cell>
          <cell r="L12">
            <v>25</v>
          </cell>
          <cell r="M12">
            <v>4214.05</v>
          </cell>
          <cell r="N12">
            <v>6162.377049180328</v>
          </cell>
          <cell r="O12">
            <v>455</v>
          </cell>
          <cell r="P12">
            <v>500</v>
          </cell>
          <cell r="Q12">
            <v>6617.377049180328</v>
          </cell>
          <cell r="R12">
            <v>7117.377049180328</v>
          </cell>
          <cell r="S12">
            <v>9308.44</v>
          </cell>
          <cell r="T12">
            <v>6499</v>
          </cell>
          <cell r="U12">
            <v>6999</v>
          </cell>
          <cell r="V12">
            <v>2</v>
          </cell>
          <cell r="W12">
            <v>7</v>
          </cell>
        </row>
        <row r="13">
          <cell r="C13" t="str">
            <v>752 B</v>
          </cell>
          <cell r="D13" t="str">
            <v>Bucket</v>
          </cell>
          <cell r="E13" t="str">
            <v>84" x 84" x 36"</v>
          </cell>
          <cell r="F13" t="str">
            <v>52 Jets</v>
          </cell>
          <cell r="G13" t="str">
            <v>(1) 6.0 Bhp / (1) 6.0 Bhp - 2 Speed</v>
          </cell>
          <cell r="H13">
            <v>3703</v>
          </cell>
          <cell r="I13">
            <v>56.05</v>
          </cell>
          <cell r="J13">
            <v>205</v>
          </cell>
          <cell r="K13">
            <v>225</v>
          </cell>
          <cell r="L13">
            <v>25</v>
          </cell>
          <cell r="M13">
            <v>4214.05</v>
          </cell>
          <cell r="N13">
            <v>6162.377049180328</v>
          </cell>
          <cell r="O13">
            <v>455</v>
          </cell>
          <cell r="P13">
            <v>500</v>
          </cell>
          <cell r="Q13">
            <v>6617.377049180328</v>
          </cell>
          <cell r="R13">
            <v>7117.377049180328</v>
          </cell>
          <cell r="S13">
            <v>9308.44</v>
          </cell>
          <cell r="T13">
            <v>6499</v>
          </cell>
          <cell r="U13">
            <v>6999</v>
          </cell>
          <cell r="V13">
            <v>2</v>
          </cell>
          <cell r="W13">
            <v>7</v>
          </cell>
        </row>
        <row r="14">
          <cell r="C14" t="str">
            <v>742 L</v>
          </cell>
          <cell r="D14" t="str">
            <v>Lounge</v>
          </cell>
          <cell r="E14" t="str">
            <v>84" x 84" x 36"</v>
          </cell>
          <cell r="F14" t="str">
            <v>42 Jets</v>
          </cell>
          <cell r="G14" t="str">
            <v>(1) 4.8 Bhp / (1) 4.8 Bhp - 2 Speed</v>
          </cell>
          <cell r="H14">
            <v>3448</v>
          </cell>
          <cell r="I14">
            <v>56.05</v>
          </cell>
          <cell r="J14">
            <v>205</v>
          </cell>
          <cell r="K14">
            <v>225</v>
          </cell>
          <cell r="L14">
            <v>25</v>
          </cell>
          <cell r="M14">
            <v>3959.05</v>
          </cell>
          <cell r="N14">
            <v>5153.0147058823532</v>
          </cell>
          <cell r="O14">
            <v>455</v>
          </cell>
          <cell r="P14">
            <v>500</v>
          </cell>
          <cell r="Q14">
            <v>5608.0147058823532</v>
          </cell>
          <cell r="R14">
            <v>6108.0147058823532</v>
          </cell>
          <cell r="S14">
            <v>8741.7800000000007</v>
          </cell>
          <cell r="T14">
            <v>5499</v>
          </cell>
          <cell r="U14">
            <v>5999</v>
          </cell>
          <cell r="V14">
            <v>2</v>
          </cell>
          <cell r="W14">
            <v>7</v>
          </cell>
        </row>
        <row r="15">
          <cell r="C15" t="str">
            <v>742 B</v>
          </cell>
          <cell r="D15" t="str">
            <v>Bucket</v>
          </cell>
          <cell r="E15" t="str">
            <v>84" x 84" x 36"</v>
          </cell>
          <cell r="F15" t="str">
            <v>42 Jets</v>
          </cell>
          <cell r="G15" t="str">
            <v>(1) 4.8 Bhp / (1) 4.8 Bhp - 2 Speed</v>
          </cell>
          <cell r="H15">
            <v>3448</v>
          </cell>
          <cell r="I15">
            <v>56.05</v>
          </cell>
          <cell r="J15">
            <v>205</v>
          </cell>
          <cell r="K15">
            <v>225</v>
          </cell>
          <cell r="L15">
            <v>25</v>
          </cell>
          <cell r="M15">
            <v>3959.05</v>
          </cell>
          <cell r="N15">
            <v>5153.0147058823532</v>
          </cell>
          <cell r="O15">
            <v>455</v>
          </cell>
          <cell r="P15">
            <v>500</v>
          </cell>
          <cell r="Q15">
            <v>5608.0147058823532</v>
          </cell>
          <cell r="R15">
            <v>6108.0147058823532</v>
          </cell>
          <cell r="S15">
            <v>8741.7800000000007</v>
          </cell>
          <cell r="T15">
            <v>5499</v>
          </cell>
          <cell r="U15">
            <v>5999</v>
          </cell>
          <cell r="V15">
            <v>2</v>
          </cell>
          <cell r="W15">
            <v>7</v>
          </cell>
        </row>
        <row r="16">
          <cell r="C16" t="str">
            <v>535 L</v>
          </cell>
          <cell r="D16" t="str">
            <v>Lounge</v>
          </cell>
          <cell r="E16" t="str">
            <v>82" x 60" x 32"</v>
          </cell>
          <cell r="F16" t="str">
            <v>35 Jets</v>
          </cell>
          <cell r="G16" t="str">
            <v>(1) 6.0 Bhp - 2 Speed</v>
          </cell>
          <cell r="H16">
            <v>2887</v>
          </cell>
          <cell r="I16">
            <v>56.05</v>
          </cell>
          <cell r="J16">
            <v>205</v>
          </cell>
          <cell r="K16">
            <v>225</v>
          </cell>
          <cell r="L16">
            <v>25</v>
          </cell>
          <cell r="M16">
            <v>3398.05</v>
          </cell>
          <cell r="N16">
            <v>4671.5079365079364</v>
          </cell>
          <cell r="O16">
            <v>455</v>
          </cell>
          <cell r="P16">
            <v>500</v>
          </cell>
          <cell r="Q16">
            <v>5126.5079365079364</v>
          </cell>
          <cell r="R16">
            <v>5626.5079365079364</v>
          </cell>
          <cell r="S16">
            <v>7495.11</v>
          </cell>
          <cell r="T16">
            <v>4999</v>
          </cell>
          <cell r="U16">
            <v>5499</v>
          </cell>
          <cell r="V16">
            <v>1</v>
          </cell>
          <cell r="W16">
            <v>5</v>
          </cell>
        </row>
        <row r="17">
          <cell r="C17" t="str">
            <v>Umbria</v>
          </cell>
          <cell r="D17" t="str">
            <v>Lounge</v>
          </cell>
          <cell r="E17" t="str">
            <v>82" x 82" x 32"</v>
          </cell>
          <cell r="F17" t="str">
            <v>14 Jets</v>
          </cell>
          <cell r="G17" t="str">
            <v>(1) 3.0 Bhp - 2 Speed</v>
          </cell>
          <cell r="H17">
            <v>2531</v>
          </cell>
          <cell r="I17">
            <v>56.05</v>
          </cell>
          <cell r="J17">
            <v>205</v>
          </cell>
          <cell r="K17">
            <v>225</v>
          </cell>
          <cell r="L17">
            <v>25</v>
          </cell>
          <cell r="M17">
            <v>3042.05</v>
          </cell>
          <cell r="N17">
            <v>4106.4285714285716</v>
          </cell>
          <cell r="O17">
            <v>455</v>
          </cell>
          <cell r="P17">
            <v>500</v>
          </cell>
          <cell r="Q17">
            <v>4561.4285714285716</v>
          </cell>
          <cell r="R17">
            <v>5061.4285714285716</v>
          </cell>
          <cell r="S17">
            <v>6704</v>
          </cell>
          <cell r="T17">
            <v>4499</v>
          </cell>
          <cell r="U17">
            <v>4999</v>
          </cell>
          <cell r="V17">
            <v>1</v>
          </cell>
          <cell r="W17">
            <v>7</v>
          </cell>
        </row>
        <row r="52">
          <cell r="A52" t="str">
            <v/>
          </cell>
          <cell r="C52">
            <v>0</v>
          </cell>
          <cell r="D52">
            <v>0</v>
          </cell>
          <cell r="E52">
            <v>0</v>
          </cell>
          <cell r="F52" t="str">
            <v/>
          </cell>
          <cell r="G52" t="str">
            <v/>
          </cell>
        </row>
        <row r="53">
          <cell r="A53" t="str">
            <v>Sandstone</v>
          </cell>
          <cell r="C53">
            <v>0</v>
          </cell>
          <cell r="D53">
            <v>0</v>
          </cell>
          <cell r="E53">
            <v>0</v>
          </cell>
          <cell r="F53" t="str">
            <v>Standard Color</v>
          </cell>
          <cell r="G53" t="str">
            <v>Microban Available</v>
          </cell>
        </row>
        <row r="54">
          <cell r="A54" t="str">
            <v>Sierra</v>
          </cell>
          <cell r="C54">
            <v>0</v>
          </cell>
          <cell r="D54">
            <v>0</v>
          </cell>
          <cell r="E54">
            <v>0</v>
          </cell>
          <cell r="F54" t="str">
            <v>Standard Color</v>
          </cell>
          <cell r="G54" t="str">
            <v>Microban Available</v>
          </cell>
        </row>
        <row r="55">
          <cell r="A55" t="str">
            <v>Caribbean</v>
          </cell>
          <cell r="C55">
            <v>0</v>
          </cell>
          <cell r="D55">
            <v>0</v>
          </cell>
          <cell r="E55">
            <v>0</v>
          </cell>
          <cell r="F55" t="str">
            <v>Standard Color</v>
          </cell>
          <cell r="G55" t="str">
            <v>Microban Available</v>
          </cell>
        </row>
        <row r="56">
          <cell r="A56" t="str">
            <v>Mystic Emerald</v>
          </cell>
          <cell r="C56">
            <v>52</v>
          </cell>
          <cell r="D56">
            <v>104</v>
          </cell>
          <cell r="E56">
            <v>140.54054054054055</v>
          </cell>
          <cell r="F56" t="str">
            <v>Standard Color</v>
          </cell>
          <cell r="G56" t="str">
            <v>Includes Microban</v>
          </cell>
        </row>
        <row r="57">
          <cell r="A57" t="str">
            <v>Summer Sapphire</v>
          </cell>
          <cell r="C57">
            <v>52</v>
          </cell>
          <cell r="D57">
            <v>104</v>
          </cell>
          <cell r="E57">
            <v>140.54054054054055</v>
          </cell>
          <cell r="F57" t="str">
            <v>Standard Color</v>
          </cell>
          <cell r="G57" t="str">
            <v>Includes Microban</v>
          </cell>
        </row>
        <row r="58">
          <cell r="A58" t="str">
            <v>Sterling Silver Marble</v>
          </cell>
          <cell r="C58">
            <v>0</v>
          </cell>
          <cell r="D58">
            <v>0</v>
          </cell>
          <cell r="E58">
            <v>0</v>
          </cell>
          <cell r="F58" t="str">
            <v>Standard Color</v>
          </cell>
          <cell r="G58" t="str">
            <v>Microban Available</v>
          </cell>
        </row>
        <row r="59">
          <cell r="A59" t="str">
            <v>Navy Marble</v>
          </cell>
          <cell r="C59">
            <v>52</v>
          </cell>
          <cell r="D59">
            <v>104</v>
          </cell>
          <cell r="E59">
            <v>140.54054054054055</v>
          </cell>
          <cell r="F59" t="str">
            <v>Standard Color</v>
          </cell>
          <cell r="G59" t="str">
            <v>Includes Microban</v>
          </cell>
        </row>
        <row r="60">
          <cell r="A60" t="str">
            <v>White Pearlescent</v>
          </cell>
          <cell r="C60">
            <v>31.25</v>
          </cell>
          <cell r="D60">
            <v>62.5</v>
          </cell>
          <cell r="E60">
            <v>84.459459459459467</v>
          </cell>
          <cell r="F60" t="str">
            <v>Luster Series</v>
          </cell>
          <cell r="G60" t="str">
            <v/>
          </cell>
        </row>
        <row r="61">
          <cell r="A61" t="str">
            <v>Pearl Shadow</v>
          </cell>
          <cell r="C61">
            <v>83.25</v>
          </cell>
          <cell r="D61">
            <v>166.5</v>
          </cell>
          <cell r="E61">
            <v>225</v>
          </cell>
          <cell r="F61" t="str">
            <v>Luster Series</v>
          </cell>
          <cell r="G61" t="str">
            <v>Includes Microban</v>
          </cell>
        </row>
        <row r="62">
          <cell r="A62" t="str">
            <v>Majestic Sky II</v>
          </cell>
          <cell r="C62">
            <v>83.25</v>
          </cell>
          <cell r="D62">
            <v>166.5</v>
          </cell>
          <cell r="E62">
            <v>225</v>
          </cell>
          <cell r="F62" t="str">
            <v>Luster Series</v>
          </cell>
          <cell r="G62" t="str">
            <v>Includes Microban</v>
          </cell>
        </row>
        <row r="63">
          <cell r="A63" t="str">
            <v>Desert Horizon</v>
          </cell>
          <cell r="C63">
            <v>83.25</v>
          </cell>
          <cell r="D63">
            <v>166.5</v>
          </cell>
          <cell r="E63">
            <v>225</v>
          </cell>
          <cell r="F63" t="str">
            <v>Luster Series</v>
          </cell>
          <cell r="G63" t="str">
            <v>Includes Microban</v>
          </cell>
        </row>
        <row r="64">
          <cell r="A64" t="str">
            <v>Oyster Opal</v>
          </cell>
          <cell r="C64">
            <v>31.25</v>
          </cell>
          <cell r="D64">
            <v>62.5</v>
          </cell>
          <cell r="E64">
            <v>84.459459459459467</v>
          </cell>
          <cell r="F64" t="str">
            <v>Luster Series</v>
          </cell>
          <cell r="G64" t="str">
            <v/>
          </cell>
        </row>
        <row r="65">
          <cell r="A65" t="str">
            <v>Starry Night Blue</v>
          </cell>
          <cell r="C65">
            <v>52</v>
          </cell>
          <cell r="D65">
            <v>104</v>
          </cell>
          <cell r="E65">
            <v>140.54054054054055</v>
          </cell>
          <cell r="F65" t="str">
            <v>Standard Color</v>
          </cell>
          <cell r="G65" t="str">
            <v>Includes Microban</v>
          </cell>
        </row>
        <row r="66">
          <cell r="A66" t="str">
            <v>Moonscape</v>
          </cell>
          <cell r="C66">
            <v>52</v>
          </cell>
          <cell r="D66">
            <v>104</v>
          </cell>
          <cell r="E66">
            <v>140.54054054054055</v>
          </cell>
          <cell r="F66" t="str">
            <v>Standard Color</v>
          </cell>
          <cell r="G66" t="str">
            <v>Includes Microban</v>
          </cell>
        </row>
        <row r="67">
          <cell r="A67" t="str">
            <v>Mineral White (Gypsum)</v>
          </cell>
          <cell r="C67">
            <v>31.25</v>
          </cell>
          <cell r="D67">
            <v>62.5</v>
          </cell>
          <cell r="E67">
            <v>84.459459459459467</v>
          </cell>
          <cell r="F67" t="str">
            <v>Mineral Series</v>
          </cell>
          <cell r="G67" t="str">
            <v/>
          </cell>
        </row>
        <row r="68">
          <cell r="A68" t="str">
            <v>Graphite</v>
          </cell>
          <cell r="C68">
            <v>31.25</v>
          </cell>
          <cell r="D68">
            <v>62.5</v>
          </cell>
          <cell r="E68">
            <v>84.459459459459467</v>
          </cell>
          <cell r="F68" t="str">
            <v>Mineral Series</v>
          </cell>
          <cell r="G68" t="str">
            <v/>
          </cell>
        </row>
        <row r="69">
          <cell r="A69" t="str">
            <v>Quartz</v>
          </cell>
          <cell r="C69">
            <v>31.25</v>
          </cell>
          <cell r="D69">
            <v>62.5</v>
          </cell>
          <cell r="E69">
            <v>84.459459459459467</v>
          </cell>
          <cell r="F69" t="str">
            <v>Mineral Series</v>
          </cell>
          <cell r="G69" t="str">
            <v/>
          </cell>
        </row>
        <row r="70">
          <cell r="A70" t="str">
            <v>Azurite</v>
          </cell>
          <cell r="C70">
            <v>31.25</v>
          </cell>
          <cell r="D70">
            <v>62.5</v>
          </cell>
          <cell r="E70">
            <v>84.459459459459467</v>
          </cell>
          <cell r="F70" t="str">
            <v>Mineral Series</v>
          </cell>
          <cell r="G70" t="str">
            <v/>
          </cell>
        </row>
        <row r="71">
          <cell r="A71" t="str">
            <v>Cinnabar</v>
          </cell>
          <cell r="C71">
            <v>31.25</v>
          </cell>
          <cell r="D71">
            <v>62.5</v>
          </cell>
          <cell r="E71">
            <v>84.459459459459467</v>
          </cell>
          <cell r="F71" t="str">
            <v>Mineral Series</v>
          </cell>
          <cell r="G71" t="str">
            <v/>
          </cell>
        </row>
        <row r="72">
          <cell r="A72" t="str">
            <v>Waterfall Blue</v>
          </cell>
          <cell r="C72">
            <v>52</v>
          </cell>
          <cell r="D72">
            <v>104</v>
          </cell>
          <cell r="E72">
            <v>140.54054054054055</v>
          </cell>
          <cell r="F72" t="str">
            <v>Standard Color</v>
          </cell>
          <cell r="G72" t="str">
            <v>Includes Microban</v>
          </cell>
        </row>
        <row r="73">
          <cell r="A73" t="str">
            <v>Solid White</v>
          </cell>
          <cell r="C73">
            <v>0</v>
          </cell>
          <cell r="D73">
            <v>0</v>
          </cell>
          <cell r="E73">
            <v>0</v>
          </cell>
          <cell r="F73" t="str">
            <v>Standard Color</v>
          </cell>
          <cell r="G73" t="str">
            <v/>
          </cell>
        </row>
        <row r="77">
          <cell r="D77">
            <v>0</v>
          </cell>
          <cell r="E77">
            <v>0</v>
          </cell>
        </row>
        <row r="78">
          <cell r="A78" t="str">
            <v>PermaWood Red</v>
          </cell>
          <cell r="C78">
            <v>0</v>
          </cell>
          <cell r="D78">
            <v>0</v>
          </cell>
          <cell r="E78">
            <v>0</v>
          </cell>
        </row>
        <row r="79">
          <cell r="A79" t="str">
            <v>PermaWood Taupe</v>
          </cell>
          <cell r="C79">
            <v>0</v>
          </cell>
          <cell r="D79">
            <v>0</v>
          </cell>
          <cell r="E79">
            <v>0</v>
          </cell>
        </row>
        <row r="80">
          <cell r="A80" t="str">
            <v>PermaWood Black</v>
          </cell>
          <cell r="C80">
            <v>0</v>
          </cell>
          <cell r="D80">
            <v>0</v>
          </cell>
          <cell r="E80">
            <v>0</v>
          </cell>
        </row>
        <row r="81">
          <cell r="A81" t="str">
            <v>PermaWood Gray</v>
          </cell>
          <cell r="C81">
            <v>0</v>
          </cell>
          <cell r="D81">
            <v>0</v>
          </cell>
          <cell r="E81">
            <v>0</v>
          </cell>
        </row>
        <row r="82">
          <cell r="A82" t="str">
            <v>PermaWood Java</v>
          </cell>
          <cell r="C82">
            <v>0</v>
          </cell>
          <cell r="D82">
            <v>0</v>
          </cell>
          <cell r="E82">
            <v>0</v>
          </cell>
        </row>
        <row r="83">
          <cell r="A83" t="str">
            <v>Stacked Stone Effect Java</v>
          </cell>
          <cell r="C83">
            <v>635</v>
          </cell>
          <cell r="D83">
            <v>1270</v>
          </cell>
          <cell r="E83">
            <v>1716.2162162162163</v>
          </cell>
        </row>
        <row r="84">
          <cell r="A84" t="str">
            <v>Stacked Stone Effect Sandstone</v>
          </cell>
          <cell r="C84">
            <v>635</v>
          </cell>
          <cell r="D84">
            <v>1270</v>
          </cell>
          <cell r="E84">
            <v>1716.2162162162163</v>
          </cell>
        </row>
        <row r="88">
          <cell r="A88" t="str">
            <v>Rust / Bourbon</v>
          </cell>
        </row>
        <row r="89">
          <cell r="A89" t="str">
            <v>Gray / Charcoal</v>
          </cell>
        </row>
        <row r="90">
          <cell r="A90" t="str">
            <v>Oxen / Beige</v>
          </cell>
        </row>
        <row r="91">
          <cell r="A91" t="str">
            <v>Slate / Walnut</v>
          </cell>
        </row>
        <row r="92">
          <cell r="A92" t="str">
            <v>Black</v>
          </cell>
        </row>
        <row r="95">
          <cell r="A95" t="str">
            <v>4" to 2" ASTM Deluxe Safety Cover</v>
          </cell>
          <cell r="C95">
            <v>0</v>
          </cell>
          <cell r="D95">
            <v>0</v>
          </cell>
          <cell r="E95">
            <v>0</v>
          </cell>
        </row>
        <row r="96">
          <cell r="A96" t="str">
            <v>ProGuard HL Cover</v>
          </cell>
          <cell r="C96">
            <v>125</v>
          </cell>
          <cell r="D96">
            <v>250</v>
          </cell>
          <cell r="E96">
            <v>337.83783783783787</v>
          </cell>
        </row>
        <row r="99">
          <cell r="A99" t="str">
            <v>None</v>
          </cell>
          <cell r="C99">
            <v>0</v>
          </cell>
          <cell r="D99">
            <v>0</v>
          </cell>
          <cell r="E99">
            <v>0</v>
          </cell>
        </row>
        <row r="100">
          <cell r="A100" t="str">
            <v>PermaWood Red</v>
          </cell>
          <cell r="C100">
            <v>89</v>
          </cell>
          <cell r="D100">
            <v>178</v>
          </cell>
          <cell r="E100">
            <v>240.54054054054055</v>
          </cell>
        </row>
        <row r="101">
          <cell r="A101" t="str">
            <v>PermaWood Taupe</v>
          </cell>
          <cell r="C101">
            <v>89</v>
          </cell>
          <cell r="D101">
            <v>178</v>
          </cell>
          <cell r="E101">
            <v>240.54054054054055</v>
          </cell>
        </row>
        <row r="102">
          <cell r="A102" t="str">
            <v>PermaWood Black</v>
          </cell>
          <cell r="C102">
            <v>89</v>
          </cell>
          <cell r="D102">
            <v>178</v>
          </cell>
          <cell r="E102">
            <v>240.54054054054055</v>
          </cell>
        </row>
        <row r="103">
          <cell r="A103" t="str">
            <v>PermaWood Gray</v>
          </cell>
          <cell r="C103">
            <v>89</v>
          </cell>
          <cell r="D103">
            <v>178</v>
          </cell>
          <cell r="E103">
            <v>240.54054054054055</v>
          </cell>
        </row>
        <row r="104">
          <cell r="A104" t="str">
            <v>PermaWood Java</v>
          </cell>
          <cell r="C104">
            <v>89</v>
          </cell>
          <cell r="D104">
            <v>178</v>
          </cell>
          <cell r="E104">
            <v>240.54054054054055</v>
          </cell>
        </row>
        <row r="105">
          <cell r="A105" t="str">
            <v>"Stacked Stone" Effect Java</v>
          </cell>
          <cell r="C105">
            <v>312</v>
          </cell>
          <cell r="D105">
            <v>624</v>
          </cell>
          <cell r="E105">
            <v>843.24324324324323</v>
          </cell>
        </row>
        <row r="106">
          <cell r="A106" t="str">
            <v>"Stacked Stone" Effect Sandstone</v>
          </cell>
          <cell r="C106">
            <v>312</v>
          </cell>
          <cell r="D106">
            <v>624</v>
          </cell>
          <cell r="E106">
            <v>843.24324324324323</v>
          </cell>
        </row>
        <row r="107">
          <cell r="A107" t="str">
            <v>Standard Red</v>
          </cell>
          <cell r="C107">
            <v>42.8</v>
          </cell>
          <cell r="D107">
            <v>85.6</v>
          </cell>
          <cell r="E107">
            <v>115.67567567567566</v>
          </cell>
        </row>
        <row r="108">
          <cell r="A108" t="str">
            <v>Standard Taupe</v>
          </cell>
          <cell r="C108">
            <v>42.8</v>
          </cell>
          <cell r="D108">
            <v>85.6</v>
          </cell>
          <cell r="E108">
            <v>115.67567567567566</v>
          </cell>
        </row>
        <row r="109">
          <cell r="A109" t="str">
            <v>Standard Black</v>
          </cell>
          <cell r="C109">
            <v>42.8</v>
          </cell>
          <cell r="D109">
            <v>85.6</v>
          </cell>
          <cell r="E109">
            <v>115.67567567567566</v>
          </cell>
        </row>
        <row r="110">
          <cell r="A110" t="str">
            <v>Standard Gray</v>
          </cell>
          <cell r="C110">
            <v>42.8</v>
          </cell>
          <cell r="D110">
            <v>85.6</v>
          </cell>
          <cell r="E110">
            <v>115.67567567567566</v>
          </cell>
        </row>
        <row r="111">
          <cell r="A111" t="str">
            <v>Standard Java</v>
          </cell>
          <cell r="C111">
            <v>42.8</v>
          </cell>
          <cell r="D111">
            <v>85.6</v>
          </cell>
          <cell r="E111">
            <v>115.67567567567566</v>
          </cell>
        </row>
        <row r="114">
          <cell r="A114" t="str">
            <v>None</v>
          </cell>
          <cell r="C114">
            <v>0</v>
          </cell>
          <cell r="D114">
            <v>0</v>
          </cell>
          <cell r="E114">
            <v>0</v>
          </cell>
        </row>
        <row r="115">
          <cell r="A115" t="str">
            <v>CoverMate Easy</v>
          </cell>
          <cell r="C115">
            <v>201.26</v>
          </cell>
          <cell r="D115">
            <v>335.43333333333334</v>
          </cell>
          <cell r="E115">
            <v>428.21276595744683</v>
          </cell>
        </row>
        <row r="116">
          <cell r="A116" t="str">
            <v>CoverMate I</v>
          </cell>
          <cell r="C116">
            <v>166.16</v>
          </cell>
          <cell r="D116">
            <v>276.93333333333334</v>
          </cell>
          <cell r="E116">
            <v>353.53191489361706</v>
          </cell>
        </row>
        <row r="117">
          <cell r="A117" t="str">
            <v>CoverMate II</v>
          </cell>
          <cell r="C117">
            <v>197.24</v>
          </cell>
          <cell r="D117">
            <v>328.73333333333335</v>
          </cell>
          <cell r="E117">
            <v>419.65957446808517</v>
          </cell>
        </row>
        <row r="118">
          <cell r="A118" t="str">
            <v>CoverMate III</v>
          </cell>
          <cell r="C118">
            <v>233.83</v>
          </cell>
          <cell r="D118">
            <v>389.7166666666667</v>
          </cell>
          <cell r="E118">
            <v>497.51063829787239</v>
          </cell>
        </row>
        <row r="121">
          <cell r="A121" t="str">
            <v>ArcTicPac Insulation w/ ABS Bottom</v>
          </cell>
          <cell r="C121">
            <v>0</v>
          </cell>
          <cell r="D121">
            <v>0</v>
          </cell>
          <cell r="E121">
            <v>0</v>
          </cell>
        </row>
        <row r="122">
          <cell r="A122" t="str">
            <v>Full Foam Insulation w/ Spa Blanket (Required in CA &amp; CT)</v>
          </cell>
          <cell r="C122">
            <v>68</v>
          </cell>
          <cell r="D122">
            <v>136</v>
          </cell>
          <cell r="E122">
            <v>183.78378378378378</v>
          </cell>
        </row>
        <row r="125">
          <cell r="A125" t="str">
            <v>Crystal Clear Tri Filter System</v>
          </cell>
          <cell r="C125">
            <v>0</v>
          </cell>
          <cell r="D125">
            <v>0</v>
          </cell>
          <cell r="E125">
            <v>0</v>
          </cell>
        </row>
        <row r="126">
          <cell r="A126" t="str">
            <v>Crystal Clear Tri Filter System w/ Laing Pump Circulation</v>
          </cell>
          <cell r="C126">
            <v>182</v>
          </cell>
          <cell r="D126">
            <v>364</v>
          </cell>
          <cell r="E126">
            <v>491.89189189189187</v>
          </cell>
        </row>
        <row r="127">
          <cell r="A127" t="str">
            <v>Crystal Clear Tri Filter System w/ Gate Valves</v>
          </cell>
          <cell r="C127">
            <v>0</v>
          </cell>
          <cell r="D127">
            <v>0</v>
          </cell>
          <cell r="E127">
            <v>0</v>
          </cell>
        </row>
        <row r="128">
          <cell r="A128" t="str">
            <v>Crystal Clear Tri Filter System w/ Laing Pump Circulation &amp; Gate Valves</v>
          </cell>
          <cell r="C128">
            <v>182</v>
          </cell>
          <cell r="D128">
            <v>364</v>
          </cell>
          <cell r="E128">
            <v>491.89189189189187</v>
          </cell>
        </row>
        <row r="131">
          <cell r="A131" t="str">
            <v>External Sanitation</v>
          </cell>
          <cell r="C131">
            <v>0</v>
          </cell>
          <cell r="D131">
            <v>0</v>
          </cell>
          <cell r="E131">
            <v>0</v>
          </cell>
        </row>
        <row r="132">
          <cell r="A132" t="str">
            <v>External Sanitation w/ Nature 2 Mineral Cartridge</v>
          </cell>
          <cell r="C132">
            <v>20</v>
          </cell>
          <cell r="D132">
            <v>34.99</v>
          </cell>
          <cell r="E132">
            <v>42.99</v>
          </cell>
        </row>
        <row r="133">
          <cell r="A133" t="str">
            <v>Crystal Clear Ozone Recovery System</v>
          </cell>
          <cell r="C133">
            <v>145</v>
          </cell>
          <cell r="D133">
            <v>290</v>
          </cell>
          <cell r="E133">
            <v>391.89189189189187</v>
          </cell>
        </row>
        <row r="134">
          <cell r="A134" t="str">
            <v>Crystal Clear Ozone Recovery System w/ Nature 2 Mineral Cartridge</v>
          </cell>
          <cell r="C134">
            <v>165</v>
          </cell>
          <cell r="D134">
            <v>324.99</v>
          </cell>
          <cell r="E134">
            <v>434.88189189189188</v>
          </cell>
        </row>
        <row r="135">
          <cell r="A135" t="str">
            <v>ISIS Genesis Salt Bromine System</v>
          </cell>
          <cell r="C135">
            <v>495</v>
          </cell>
          <cell r="D135">
            <v>990</v>
          </cell>
          <cell r="E135">
            <v>1337.8378378378379</v>
          </cell>
        </row>
        <row r="136">
          <cell r="A136" t="str">
            <v>ISIS Genesis Salt Bromine System w/ Nature 2 Mineral Cartridge</v>
          </cell>
          <cell r="C136">
            <v>515</v>
          </cell>
          <cell r="D136">
            <v>1024.99</v>
          </cell>
          <cell r="E136">
            <v>1380.8278378378379</v>
          </cell>
        </row>
        <row r="139">
          <cell r="A139" t="str">
            <v>Premier LED Lighting System</v>
          </cell>
          <cell r="C139">
            <v>0</v>
          </cell>
          <cell r="D139">
            <v>0</v>
          </cell>
          <cell r="E139">
            <v>0</v>
          </cell>
        </row>
        <row r="140">
          <cell r="A140" t="str">
            <v>Premier LED Lighting System w/ Bellagiofall LED Lighted Waterfeature</v>
          </cell>
          <cell r="C140">
            <v>21</v>
          </cell>
          <cell r="D140">
            <v>42</v>
          </cell>
          <cell r="E140">
            <v>56.756756756756758</v>
          </cell>
        </row>
        <row r="143">
          <cell r="A143" t="str">
            <v>None</v>
          </cell>
          <cell r="C143">
            <v>0</v>
          </cell>
          <cell r="D143">
            <v>0</v>
          </cell>
          <cell r="E143">
            <v>0</v>
          </cell>
          <cell r="F143" t="str">
            <v/>
          </cell>
        </row>
        <row r="144">
          <cell r="A144" t="str">
            <v>Poly Planar AM/FM, MP3, &amp; CD Package</v>
          </cell>
          <cell r="C144">
            <v>667</v>
          </cell>
          <cell r="D144">
            <v>1334</v>
          </cell>
          <cell r="E144">
            <v>1802.7027027027027</v>
          </cell>
          <cell r="F144" t="str">
            <v>AM/FM Radio, CD Player, &amp; MP3 Input w/ (2) Pop-Up Speakers &amp; Subwoofer</v>
          </cell>
        </row>
        <row r="145">
          <cell r="A145" t="str">
            <v>Poly Planar AM/FM, MP3, &amp; CD Package w/ Patio Speakers</v>
          </cell>
          <cell r="C145">
            <v>698</v>
          </cell>
          <cell r="D145">
            <v>1396</v>
          </cell>
          <cell r="E145">
            <v>1886.4864864864865</v>
          </cell>
          <cell r="F145" t="str">
            <v>AM/FM Radio, CD Player, &amp; MP3 Input w/ (2) Pop-Up Speakers, (2) Patio Speakers, &amp; Subwoofer</v>
          </cell>
        </row>
        <row r="146">
          <cell r="A146" t="str">
            <v>iPod/MP3 Waterproof Locker Package</v>
          </cell>
          <cell r="C146">
            <v>469</v>
          </cell>
          <cell r="D146">
            <v>938</v>
          </cell>
          <cell r="E146">
            <v>1267.5675675675675</v>
          </cell>
          <cell r="F146" t="str">
            <v>Waterproof iPod/MP3 Locker w/ (2) Pop-Up Speakers &amp; Subwoofer, RF Remote</v>
          </cell>
        </row>
        <row r="147">
          <cell r="A147" t="str">
            <v>iPod/MP3 Waterproof Locker Package w/ Patio Speakers</v>
          </cell>
          <cell r="C147">
            <v>500</v>
          </cell>
          <cell r="D147">
            <v>1000</v>
          </cell>
          <cell r="E147">
            <v>1351.3513513513515</v>
          </cell>
          <cell r="F147" t="str">
            <v>Waterproof iPod/MP3 Locker w/ (2) Pop-Up Speakers, (2) Patio Speakers, &amp; Subwoofer, RF Remote</v>
          </cell>
        </row>
        <row r="148">
          <cell r="A148" t="str">
            <v>Auxilliary Input Music Package</v>
          </cell>
          <cell r="C148">
            <v>383</v>
          </cell>
          <cell r="D148">
            <v>766</v>
          </cell>
          <cell r="E148">
            <v>1035.1351351351352</v>
          </cell>
          <cell r="F148" t="str">
            <v>Auxilliary Input Player Box w/ (2) Pop-Up Speakers &amp; Subwoofer</v>
          </cell>
        </row>
        <row r="149">
          <cell r="A149" t="str">
            <v>Auxilliary Input Music Package w/ Patio Speakers</v>
          </cell>
          <cell r="C149">
            <v>414</v>
          </cell>
          <cell r="D149">
            <v>828</v>
          </cell>
          <cell r="E149">
            <v>1118.918918918919</v>
          </cell>
          <cell r="F149" t="str">
            <v>Auxilliary Input Player Box w/ (2) Pop-Up Speakers, (2) Patio Speakers, &amp; Subwoofer</v>
          </cell>
        </row>
        <row r="150">
          <cell r="A150" t="str">
            <v>Bluetooth Wireless Music Package</v>
          </cell>
          <cell r="C150">
            <v>467</v>
          </cell>
          <cell r="D150">
            <v>934</v>
          </cell>
          <cell r="E150">
            <v>1262.1621621621621</v>
          </cell>
          <cell r="F150" t="str">
            <v>Bluetooth Receiver w/ (2) Pop-Up Speakers &amp; Subwoofer</v>
          </cell>
        </row>
        <row r="151">
          <cell r="A151" t="str">
            <v>Bluetooth Wireless Music Package w/ Patio Speakers</v>
          </cell>
          <cell r="C151">
            <v>498</v>
          </cell>
          <cell r="D151">
            <v>996</v>
          </cell>
          <cell r="E151">
            <v>1345.9459459459461</v>
          </cell>
          <cell r="F151" t="str">
            <v>Bluetooth Receiver w/ (2) Pop-Up Speakers, (2) Patio Speakers, &amp; Subwoofer</v>
          </cell>
        </row>
        <row r="154">
          <cell r="A154" t="str">
            <v>(3) Year Warranty on Surface, Plumbing, &amp; Electric / (1) Year Cabinetry</v>
          </cell>
          <cell r="C154">
            <v>0</v>
          </cell>
          <cell r="D154">
            <v>0</v>
          </cell>
          <cell r="E154">
            <v>0</v>
          </cell>
        </row>
        <row r="155">
          <cell r="A155" t="str">
            <v>(5) Year Warranty on Surface, Plumbing, &amp; Electric / (1) Year Cabinetry</v>
          </cell>
          <cell r="C155">
            <v>156</v>
          </cell>
          <cell r="D155">
            <v>312</v>
          </cell>
          <cell r="E155">
            <v>421.62162162162161</v>
          </cell>
        </row>
        <row r="158">
          <cell r="A158" t="str">
            <v>Standard Delivery</v>
          </cell>
          <cell r="C158">
            <v>0</v>
          </cell>
          <cell r="D158">
            <v>0</v>
          </cell>
          <cell r="E158">
            <v>0</v>
          </cell>
        </row>
        <row r="159">
          <cell r="A159" t="str">
            <v>Small Crane (Under 100')</v>
          </cell>
          <cell r="C159">
            <v>510</v>
          </cell>
          <cell r="D159">
            <v>1020</v>
          </cell>
          <cell r="E159">
            <v>1378.3783783783783</v>
          </cell>
        </row>
        <row r="160">
          <cell r="A160" t="str">
            <v>Medium Crane (Under 130')</v>
          </cell>
          <cell r="C160">
            <v>675</v>
          </cell>
          <cell r="D160">
            <v>1350</v>
          </cell>
          <cell r="E160">
            <v>1824.3243243243244</v>
          </cell>
        </row>
        <row r="161">
          <cell r="A161" t="str">
            <v>Large Crane (Under 200')</v>
          </cell>
          <cell r="C161">
            <v>1000</v>
          </cell>
          <cell r="D161">
            <v>2000</v>
          </cell>
          <cell r="E161">
            <v>2702.7027027027029</v>
          </cell>
        </row>
        <row r="164">
          <cell r="A164" t="str">
            <v>Chlorine Start-Up Kit</v>
          </cell>
          <cell r="C164">
            <v>0</v>
          </cell>
          <cell r="D164">
            <v>0</v>
          </cell>
          <cell r="E164">
            <v>0</v>
          </cell>
        </row>
        <row r="165">
          <cell r="A165" t="str">
            <v>Bromine Start-Up Kit</v>
          </cell>
          <cell r="C165">
            <v>0</v>
          </cell>
          <cell r="D165">
            <v>0</v>
          </cell>
          <cell r="E165">
            <v>0</v>
          </cell>
        </row>
        <row r="168">
          <cell r="A168" t="str">
            <v>Existing Spa Pad / Spa Pad Provided By Owners</v>
          </cell>
          <cell r="C168">
            <v>0</v>
          </cell>
          <cell r="D168">
            <v>0</v>
          </cell>
          <cell r="E168">
            <v>0</v>
          </cell>
        </row>
        <row r="169">
          <cell r="A169" t="str">
            <v>12' x 12' Natural Concrete Spa Pad by Premier Pools &amp; Spas</v>
          </cell>
          <cell r="C169">
            <v>500</v>
          </cell>
          <cell r="D169">
            <v>714.28571428571433</v>
          </cell>
          <cell r="E169">
            <v>877.19298245614027</v>
          </cell>
        </row>
        <row r="172">
          <cell r="A172" t="str">
            <v>Existing Spa Electric / Spa Electric Provided By Owners</v>
          </cell>
          <cell r="C172">
            <v>0</v>
          </cell>
          <cell r="D172">
            <v>0</v>
          </cell>
          <cell r="E172">
            <v>0</v>
          </cell>
        </row>
        <row r="173">
          <cell r="A173" t="str">
            <v>Spa Electric &amp; Disconnect By Premier Pools &amp; Spas</v>
          </cell>
          <cell r="B173">
            <v>0</v>
          </cell>
          <cell r="C173" t="e">
            <v>#REF!</v>
          </cell>
          <cell r="D173" t="e">
            <v>#REF!</v>
          </cell>
          <cell r="E173" t="e">
            <v>#REF!</v>
          </cell>
        </row>
        <row r="181">
          <cell r="C181" t="str">
            <v/>
          </cell>
          <cell r="D181" t="str">
            <v/>
          </cell>
          <cell r="E181" t="str">
            <v/>
          </cell>
          <cell r="F181" t="str">
            <v/>
          </cell>
          <cell r="G181" t="str">
            <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t="str">
            <v/>
          </cell>
        </row>
        <row r="182">
          <cell r="C182" t="str">
            <v>Dutchess - Platinum</v>
          </cell>
          <cell r="D182" t="str">
            <v>Lounge</v>
          </cell>
          <cell r="E182" t="str">
            <v>83" x 58" x 34"</v>
          </cell>
          <cell r="F182" t="str">
            <v>28 Jets</v>
          </cell>
          <cell r="G182" t="str">
            <v>(1) 5.0 Bhp - 2 Speed</v>
          </cell>
          <cell r="H182">
            <v>9099</v>
          </cell>
          <cell r="M182">
            <v>9099</v>
          </cell>
          <cell r="N182">
            <v>12998.571428571429</v>
          </cell>
          <cell r="P182">
            <v>500</v>
          </cell>
          <cell r="Q182">
            <v>12998.571428571429</v>
          </cell>
          <cell r="R182">
            <v>13498.571428571429</v>
          </cell>
          <cell r="S182">
            <v>20720</v>
          </cell>
          <cell r="T182">
            <v>12999</v>
          </cell>
          <cell r="U182">
            <v>13499</v>
          </cell>
          <cell r="V182">
            <v>1</v>
          </cell>
          <cell r="W182">
            <v>5</v>
          </cell>
          <cell r="X182" t="str">
            <v>Platinum</v>
          </cell>
        </row>
        <row r="183">
          <cell r="C183" t="str">
            <v>Phoenix - Deluxe</v>
          </cell>
          <cell r="D183" t="str">
            <v>Lounge</v>
          </cell>
          <cell r="E183" t="str">
            <v>83" x 83" x 37"</v>
          </cell>
          <cell r="F183" t="str">
            <v>31 Jets</v>
          </cell>
          <cell r="G183" t="str">
            <v>(1) 5.0 Bhp - 2 Speed</v>
          </cell>
          <cell r="H183">
            <v>8400</v>
          </cell>
          <cell r="M183">
            <v>8400</v>
          </cell>
          <cell r="N183">
            <v>12000</v>
          </cell>
          <cell r="P183">
            <v>500</v>
          </cell>
          <cell r="Q183">
            <v>12000</v>
          </cell>
          <cell r="R183">
            <v>12500</v>
          </cell>
          <cell r="S183">
            <v>19166.669999999998</v>
          </cell>
          <cell r="T183">
            <v>11999</v>
          </cell>
          <cell r="U183">
            <v>12499</v>
          </cell>
          <cell r="V183">
            <v>1</v>
          </cell>
          <cell r="W183">
            <v>7</v>
          </cell>
          <cell r="X183" t="str">
            <v>Deluxe</v>
          </cell>
        </row>
        <row r="184">
          <cell r="C184" t="str">
            <v>Phoenix - Elite</v>
          </cell>
          <cell r="D184" t="str">
            <v>Lounge</v>
          </cell>
          <cell r="E184" t="str">
            <v>83" x 83" x 37"</v>
          </cell>
          <cell r="F184" t="str">
            <v>42 Jets</v>
          </cell>
          <cell r="G184" t="str">
            <v>(1) 5.0 Bhp - 2 Speed / (1) 5.0 Bhp - 1 Speed</v>
          </cell>
          <cell r="H184">
            <v>9099</v>
          </cell>
          <cell r="M184">
            <v>9099</v>
          </cell>
          <cell r="N184">
            <v>12998.571428571429</v>
          </cell>
          <cell r="P184">
            <v>500</v>
          </cell>
          <cell r="Q184">
            <v>12998.571428571429</v>
          </cell>
          <cell r="R184">
            <v>13498.571428571429</v>
          </cell>
          <cell r="S184">
            <v>20720</v>
          </cell>
          <cell r="T184">
            <v>12999</v>
          </cell>
          <cell r="U184">
            <v>13499</v>
          </cell>
          <cell r="V184">
            <v>2</v>
          </cell>
          <cell r="W184">
            <v>7</v>
          </cell>
          <cell r="X184" t="str">
            <v>Elite</v>
          </cell>
        </row>
        <row r="185">
          <cell r="C185" t="str">
            <v>Phoenix - Platinum</v>
          </cell>
          <cell r="D185" t="str">
            <v>Lounge</v>
          </cell>
          <cell r="E185" t="str">
            <v>83" x 83" x 37"</v>
          </cell>
          <cell r="F185" t="str">
            <v>54 Jets</v>
          </cell>
          <cell r="G185" t="str">
            <v>(1) 5.0 Bhp - 2 Speed / (2) 5.0 Bhp - 1 Speed</v>
          </cell>
          <cell r="H185">
            <v>9589</v>
          </cell>
          <cell r="M185">
            <v>9589</v>
          </cell>
          <cell r="N185">
            <v>13698.571428571429</v>
          </cell>
          <cell r="P185">
            <v>500</v>
          </cell>
          <cell r="Q185">
            <v>13698.571428571429</v>
          </cell>
          <cell r="R185">
            <v>14198.571428571429</v>
          </cell>
          <cell r="S185">
            <v>21808.89</v>
          </cell>
          <cell r="T185">
            <v>13999</v>
          </cell>
          <cell r="U185">
            <v>14499</v>
          </cell>
          <cell r="V185">
            <v>3</v>
          </cell>
          <cell r="W185">
            <v>7</v>
          </cell>
          <cell r="X185" t="str">
            <v>Platinum</v>
          </cell>
        </row>
        <row r="186">
          <cell r="C186" t="str">
            <v>Pisces - Deluxe</v>
          </cell>
          <cell r="D186" t="str">
            <v>Bucket</v>
          </cell>
          <cell r="E186" t="str">
            <v>83" x 83" x 37"</v>
          </cell>
          <cell r="F186" t="str">
            <v>30 Jets</v>
          </cell>
          <cell r="G186" t="str">
            <v>(1) 5.0 Bhp - 2 Speed</v>
          </cell>
          <cell r="H186">
            <v>8400</v>
          </cell>
          <cell r="M186">
            <v>8400</v>
          </cell>
          <cell r="N186">
            <v>12000</v>
          </cell>
          <cell r="P186">
            <v>500</v>
          </cell>
          <cell r="Q186">
            <v>12000</v>
          </cell>
          <cell r="R186">
            <v>12500</v>
          </cell>
          <cell r="S186">
            <v>19166.669999999998</v>
          </cell>
          <cell r="T186">
            <v>11999</v>
          </cell>
          <cell r="U186">
            <v>12499</v>
          </cell>
          <cell r="V186">
            <v>1</v>
          </cell>
          <cell r="W186">
            <v>7</v>
          </cell>
          <cell r="X186" t="str">
            <v>Deluxe</v>
          </cell>
        </row>
        <row r="187">
          <cell r="C187" t="str">
            <v>Pisces - Elite</v>
          </cell>
          <cell r="D187" t="str">
            <v>Bucket</v>
          </cell>
          <cell r="E187" t="str">
            <v>83" x 83" x 37"</v>
          </cell>
          <cell r="F187" t="str">
            <v>41 Jets</v>
          </cell>
          <cell r="G187" t="str">
            <v>(1) 5.0 Bhp - 2 Speed / (1) 5.0 Bhp - 1 Speed</v>
          </cell>
          <cell r="H187">
            <v>9099</v>
          </cell>
          <cell r="M187">
            <v>9099</v>
          </cell>
          <cell r="N187">
            <v>12998.571428571429</v>
          </cell>
          <cell r="P187">
            <v>500</v>
          </cell>
          <cell r="Q187">
            <v>12998.571428571429</v>
          </cell>
          <cell r="R187">
            <v>13498.571428571429</v>
          </cell>
          <cell r="S187">
            <v>20720</v>
          </cell>
          <cell r="T187">
            <v>12999</v>
          </cell>
          <cell r="U187">
            <v>13499</v>
          </cell>
          <cell r="V187">
            <v>2</v>
          </cell>
          <cell r="W187">
            <v>7</v>
          </cell>
          <cell r="X187" t="str">
            <v>Elite</v>
          </cell>
        </row>
        <row r="188">
          <cell r="C188" t="str">
            <v>Pisces - Platinum</v>
          </cell>
          <cell r="D188" t="str">
            <v>Bucket</v>
          </cell>
          <cell r="E188" t="str">
            <v>83" x 83" x 37"</v>
          </cell>
          <cell r="F188" t="str">
            <v>51 Jets</v>
          </cell>
          <cell r="G188" t="str">
            <v>(1) 5.0 Bhp - 2 Speed / (2) 5.0 Bhp - 1 Speed</v>
          </cell>
          <cell r="H188">
            <v>9589</v>
          </cell>
          <cell r="M188">
            <v>9589</v>
          </cell>
          <cell r="N188">
            <v>13698.571428571429</v>
          </cell>
          <cell r="P188">
            <v>500</v>
          </cell>
          <cell r="Q188">
            <v>13698.571428571429</v>
          </cell>
          <cell r="R188">
            <v>14198.571428571429</v>
          </cell>
          <cell r="S188">
            <v>21808.89</v>
          </cell>
          <cell r="T188">
            <v>13999</v>
          </cell>
          <cell r="U188">
            <v>14499</v>
          </cell>
          <cell r="V188">
            <v>3</v>
          </cell>
          <cell r="W188">
            <v>7</v>
          </cell>
          <cell r="X188" t="str">
            <v>Platinum</v>
          </cell>
        </row>
        <row r="189">
          <cell r="C189" t="str">
            <v>Aquarius - Deluxe</v>
          </cell>
          <cell r="D189" t="str">
            <v>Lounge</v>
          </cell>
          <cell r="E189" t="str">
            <v>92" x 92" x 37"</v>
          </cell>
          <cell r="F189" t="str">
            <v>41 Jets</v>
          </cell>
          <cell r="G189" t="str">
            <v>(1) 5.0 Bhp - 2 Speed</v>
          </cell>
          <cell r="H189">
            <v>8900</v>
          </cell>
          <cell r="M189">
            <v>8900</v>
          </cell>
          <cell r="N189">
            <v>12714.285714285716</v>
          </cell>
          <cell r="P189">
            <v>500</v>
          </cell>
          <cell r="Q189">
            <v>12714.285714285716</v>
          </cell>
          <cell r="R189">
            <v>13214.285714285716</v>
          </cell>
          <cell r="S189">
            <v>20277.78</v>
          </cell>
          <cell r="T189">
            <v>12999</v>
          </cell>
          <cell r="U189">
            <v>13499</v>
          </cell>
          <cell r="V189">
            <v>1</v>
          </cell>
          <cell r="W189">
            <v>8</v>
          </cell>
          <cell r="X189" t="str">
            <v>Deluxe</v>
          </cell>
        </row>
        <row r="190">
          <cell r="C190" t="str">
            <v>Aquarius - Elite</v>
          </cell>
          <cell r="D190" t="str">
            <v>Lounge</v>
          </cell>
          <cell r="E190" t="str">
            <v>92" x 92" x 37"</v>
          </cell>
          <cell r="F190" t="str">
            <v>52 Jets</v>
          </cell>
          <cell r="G190" t="str">
            <v>(1) 5.0 Bhp - 2 Speed / (1) 5.0 Bhp - 1 Speed</v>
          </cell>
          <cell r="H190">
            <v>9600</v>
          </cell>
          <cell r="M190">
            <v>9600</v>
          </cell>
          <cell r="N190">
            <v>13714.285714285716</v>
          </cell>
          <cell r="P190">
            <v>500</v>
          </cell>
          <cell r="Q190">
            <v>13714.285714285716</v>
          </cell>
          <cell r="R190">
            <v>14214.285714285716</v>
          </cell>
          <cell r="S190">
            <v>21833.33</v>
          </cell>
          <cell r="T190">
            <v>13999</v>
          </cell>
          <cell r="U190">
            <v>14499</v>
          </cell>
          <cell r="V190">
            <v>2</v>
          </cell>
          <cell r="W190">
            <v>8</v>
          </cell>
          <cell r="X190" t="str">
            <v>Elite</v>
          </cell>
        </row>
        <row r="191">
          <cell r="C191" t="str">
            <v>Aquarius - Platinum</v>
          </cell>
          <cell r="D191" t="str">
            <v>Lounge</v>
          </cell>
          <cell r="E191" t="str">
            <v>92" x 92" x 37"</v>
          </cell>
          <cell r="F191" t="str">
            <v>63 Jets</v>
          </cell>
          <cell r="G191" t="str">
            <v>(1) 5.0 Bhp - 2 Speed / (2) 5.0 Bhp - 1 Speed</v>
          </cell>
          <cell r="H191">
            <v>10300</v>
          </cell>
          <cell r="M191">
            <v>10300</v>
          </cell>
          <cell r="N191">
            <v>14714.285714285716</v>
          </cell>
          <cell r="P191">
            <v>500</v>
          </cell>
          <cell r="Q191">
            <v>14714.285714285716</v>
          </cell>
          <cell r="R191">
            <v>15214.285714285716</v>
          </cell>
          <cell r="S191">
            <v>23388.89</v>
          </cell>
          <cell r="T191">
            <v>14999</v>
          </cell>
          <cell r="U191">
            <v>15499</v>
          </cell>
          <cell r="V191">
            <v>3</v>
          </cell>
          <cell r="W191">
            <v>8</v>
          </cell>
          <cell r="X191" t="str">
            <v>Platinum</v>
          </cell>
        </row>
        <row r="192">
          <cell r="C192" t="str">
            <v>Deplhi - Deluxe</v>
          </cell>
          <cell r="D192" t="str">
            <v>Bucket</v>
          </cell>
          <cell r="E192" t="str">
            <v>92" x 92" x 37"</v>
          </cell>
          <cell r="F192" t="str">
            <v>26 Jets</v>
          </cell>
          <cell r="G192" t="str">
            <v>(1) 5.0 Bhp - 2 Speed</v>
          </cell>
          <cell r="H192">
            <v>8900</v>
          </cell>
          <cell r="M192">
            <v>8900</v>
          </cell>
          <cell r="N192">
            <v>12714.285714285716</v>
          </cell>
          <cell r="P192">
            <v>500</v>
          </cell>
          <cell r="Q192">
            <v>12714.285714285716</v>
          </cell>
          <cell r="R192">
            <v>13214.285714285716</v>
          </cell>
          <cell r="S192">
            <v>20277.78</v>
          </cell>
          <cell r="T192">
            <v>12999</v>
          </cell>
          <cell r="U192">
            <v>13499</v>
          </cell>
          <cell r="V192">
            <v>1</v>
          </cell>
          <cell r="W192">
            <v>8</v>
          </cell>
          <cell r="X192" t="str">
            <v>Deluxe</v>
          </cell>
        </row>
        <row r="193">
          <cell r="C193" t="str">
            <v>Deplhi - Elite</v>
          </cell>
          <cell r="D193" t="str">
            <v>Bucket</v>
          </cell>
          <cell r="E193" t="str">
            <v>92" x 92" x 37"</v>
          </cell>
          <cell r="F193" t="str">
            <v>40 Jets</v>
          </cell>
          <cell r="G193" t="str">
            <v>(1) 5.0 Bhp - 2 Speed / (1) 5.0 Bhp - 1 Speed</v>
          </cell>
          <cell r="H193">
            <v>9600</v>
          </cell>
          <cell r="M193">
            <v>9600</v>
          </cell>
          <cell r="N193">
            <v>13714.285714285716</v>
          </cell>
          <cell r="P193">
            <v>500</v>
          </cell>
          <cell r="Q193">
            <v>13714.285714285716</v>
          </cell>
          <cell r="R193">
            <v>14214.285714285716</v>
          </cell>
          <cell r="S193">
            <v>21833.33</v>
          </cell>
          <cell r="T193">
            <v>13999</v>
          </cell>
          <cell r="U193">
            <v>14499</v>
          </cell>
          <cell r="V193">
            <v>2</v>
          </cell>
          <cell r="W193">
            <v>8</v>
          </cell>
          <cell r="X193" t="str">
            <v>Elite</v>
          </cell>
        </row>
        <row r="194">
          <cell r="C194" t="str">
            <v>Gemini - Deluxe</v>
          </cell>
          <cell r="D194" t="str">
            <v>Lounge</v>
          </cell>
          <cell r="E194" t="str">
            <v>92" x 92" x 37"</v>
          </cell>
          <cell r="F194" t="str">
            <v>40 Jets</v>
          </cell>
          <cell r="G194" t="str">
            <v>(1) 5.0 Bhp - 2 Speed / (1) 5.0 Bhp - 1 Speed</v>
          </cell>
          <cell r="H194">
            <v>8900</v>
          </cell>
          <cell r="M194">
            <v>8900</v>
          </cell>
          <cell r="N194">
            <v>12714.285714285716</v>
          </cell>
          <cell r="P194">
            <v>500</v>
          </cell>
          <cell r="Q194">
            <v>12714.285714285716</v>
          </cell>
          <cell r="R194">
            <v>13214.285714285716</v>
          </cell>
          <cell r="S194">
            <v>20277.78</v>
          </cell>
          <cell r="T194">
            <v>12999</v>
          </cell>
          <cell r="U194">
            <v>13499</v>
          </cell>
          <cell r="V194">
            <v>2</v>
          </cell>
          <cell r="W194">
            <v>8</v>
          </cell>
          <cell r="X194" t="str">
            <v>Deluxe</v>
          </cell>
        </row>
        <row r="195">
          <cell r="C195" t="str">
            <v>Gemini - Elite</v>
          </cell>
          <cell r="D195" t="str">
            <v>Lounge</v>
          </cell>
          <cell r="E195" t="str">
            <v>92" x 92" x 37"</v>
          </cell>
          <cell r="F195" t="str">
            <v>57 Jets</v>
          </cell>
          <cell r="G195" t="str">
            <v>(1) 5.0 Bhp - 2 Speed / (1) 5.0 Bhp - 1 Speed</v>
          </cell>
          <cell r="H195">
            <v>9600</v>
          </cell>
          <cell r="M195">
            <v>9600</v>
          </cell>
          <cell r="N195">
            <v>13714.285714285716</v>
          </cell>
          <cell r="P195">
            <v>500</v>
          </cell>
          <cell r="Q195">
            <v>13714.285714285716</v>
          </cell>
          <cell r="R195">
            <v>14214.285714285716</v>
          </cell>
          <cell r="S195">
            <v>21833.33</v>
          </cell>
          <cell r="T195">
            <v>13999</v>
          </cell>
          <cell r="U195">
            <v>14499</v>
          </cell>
          <cell r="V195">
            <v>2</v>
          </cell>
          <cell r="W195">
            <v>8</v>
          </cell>
          <cell r="X195" t="str">
            <v>Elite</v>
          </cell>
        </row>
        <row r="196">
          <cell r="C196" t="str">
            <v>Gemini - Platinum</v>
          </cell>
          <cell r="D196" t="str">
            <v>Lounge</v>
          </cell>
          <cell r="E196" t="str">
            <v>92" x 92" x 37"</v>
          </cell>
          <cell r="F196" t="str">
            <v>70 Jets</v>
          </cell>
          <cell r="G196" t="str">
            <v>(1) 5.0 Bhp - 2 Speed / (2) 5.0 Bhp - 1 Speed</v>
          </cell>
          <cell r="H196">
            <v>10300</v>
          </cell>
          <cell r="M196">
            <v>10300</v>
          </cell>
          <cell r="N196">
            <v>14714.285714285716</v>
          </cell>
          <cell r="P196">
            <v>500</v>
          </cell>
          <cell r="Q196">
            <v>14714.285714285716</v>
          </cell>
          <cell r="R196">
            <v>15214.285714285716</v>
          </cell>
          <cell r="S196">
            <v>23388.89</v>
          </cell>
          <cell r="T196">
            <v>14999</v>
          </cell>
          <cell r="U196">
            <v>15499</v>
          </cell>
          <cell r="V196">
            <v>3</v>
          </cell>
          <cell r="W196">
            <v>8</v>
          </cell>
          <cell r="X196" t="str">
            <v>Platinum</v>
          </cell>
        </row>
        <row r="197">
          <cell r="C197" t="str">
            <v>Hydrus - Platinum</v>
          </cell>
          <cell r="D197" t="str">
            <v>Lounge</v>
          </cell>
          <cell r="E197" t="str">
            <v>92" x 120" x 39"</v>
          </cell>
          <cell r="F197" t="str">
            <v>97 Jets</v>
          </cell>
          <cell r="G197" t="str">
            <v>(1) 5.0 Bhp - 2 Speed / (2) 5.0 Bhp - 1 Speed</v>
          </cell>
          <cell r="H197">
            <v>12500</v>
          </cell>
          <cell r="M197">
            <v>12500</v>
          </cell>
          <cell r="N197">
            <v>17857.142857142859</v>
          </cell>
          <cell r="P197">
            <v>500</v>
          </cell>
          <cell r="Q197">
            <v>17857.142857142859</v>
          </cell>
          <cell r="R197">
            <v>18357.142857142859</v>
          </cell>
          <cell r="S197">
            <v>28277.78</v>
          </cell>
          <cell r="T197">
            <v>17999</v>
          </cell>
          <cell r="U197">
            <v>18499</v>
          </cell>
          <cell r="V197">
            <v>3</v>
          </cell>
          <cell r="W197">
            <v>10</v>
          </cell>
          <cell r="X197" t="str">
            <v>Platinum</v>
          </cell>
        </row>
      </sheetData>
      <sheetData sheetId="53">
        <row r="19">
          <cell r="D19" t="str">
            <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00C3F-D555-4EFA-B9AE-A7F6713D41E0}">
  <sheetPr codeName="Sheet17">
    <pageSetUpPr fitToPage="1"/>
  </sheetPr>
  <dimension ref="A1:AK312"/>
  <sheetViews>
    <sheetView showGridLines="0" tabSelected="1" view="pageBreakPreview" topLeftCell="A161" zoomScale="60" zoomScaleNormal="110" workbookViewId="0">
      <selection activeCell="Q58" sqref="Q58:U58"/>
    </sheetView>
  </sheetViews>
  <sheetFormatPr defaultRowHeight="13.2"/>
  <cols>
    <col min="1" max="7" width="5.88671875" customWidth="1"/>
    <col min="8" max="8" width="6" customWidth="1"/>
    <col min="9" max="10" width="5.88671875" customWidth="1"/>
    <col min="11" max="11" width="2.5546875" customWidth="1"/>
    <col min="12" max="18" width="5.88671875" customWidth="1"/>
    <col min="19" max="19" width="6" customWidth="1"/>
    <col min="20" max="20" width="5.88671875" customWidth="1"/>
    <col min="21" max="21" width="16.44140625" customWidth="1"/>
    <col min="22" max="22" width="5.5546875" customWidth="1"/>
    <col min="23" max="23" width="6.88671875" customWidth="1"/>
    <col min="24" max="24" width="8.5546875" customWidth="1"/>
    <col min="25" max="25" width="5.5546875" customWidth="1"/>
    <col min="26" max="26" width="12.6640625" customWidth="1"/>
    <col min="27" max="27" width="6.5546875" customWidth="1"/>
    <col min="28" max="28" width="5.5546875" customWidth="1"/>
    <col min="29" max="29" width="9.88671875" bestFit="1" customWidth="1"/>
    <col min="30" max="30" width="5.5546875" customWidth="1"/>
    <col min="31" max="31" width="9.109375" customWidth="1"/>
    <col min="32" max="32" width="12.33203125" customWidth="1"/>
    <col min="33" max="33" width="11.44140625" customWidth="1"/>
    <col min="34" max="34" width="11.6640625" customWidth="1"/>
    <col min="35" max="36" width="10.5546875" customWidth="1"/>
  </cols>
  <sheetData>
    <row r="1" spans="1:26" ht="22.8">
      <c r="A1" s="154" t="s">
        <v>160</v>
      </c>
      <c r="B1" s="155"/>
      <c r="C1" s="155"/>
      <c r="D1" s="155"/>
      <c r="E1" s="155"/>
      <c r="F1" s="155"/>
      <c r="G1" s="155"/>
      <c r="H1" s="155"/>
      <c r="I1" s="155"/>
      <c r="J1" s="155"/>
      <c r="K1" s="155"/>
      <c r="L1" s="155"/>
      <c r="M1" s="155"/>
      <c r="N1" s="155"/>
      <c r="O1" s="155"/>
      <c r="P1" s="155"/>
      <c r="Q1" s="155"/>
      <c r="R1" s="155"/>
      <c r="S1" s="155"/>
      <c r="T1" s="155"/>
      <c r="U1" s="155"/>
    </row>
    <row r="2" spans="1:26" ht="16.2" thickBot="1">
      <c r="F2" s="86" t="str">
        <f>IF(A1=W3,"North Carolina Construction Contract - Home Improvement - Fiberglass Swimming Pool","North Carolina Construction Contract - Home Improvement - Shotcrete Swimming Pool")</f>
        <v>North Carolina Construction Contract - Home Improvement - Shotcrete Swimming Pool</v>
      </c>
      <c r="G2" s="86"/>
      <c r="H2" s="86"/>
      <c r="I2" s="86"/>
      <c r="J2" s="86"/>
      <c r="K2" s="86"/>
      <c r="L2" s="86"/>
      <c r="M2" s="86"/>
      <c r="N2" s="86"/>
      <c r="O2" s="86"/>
      <c r="P2" s="86"/>
      <c r="Q2" s="86"/>
      <c r="R2" s="86"/>
      <c r="S2" s="86"/>
      <c r="T2" s="86"/>
      <c r="U2" s="86"/>
      <c r="W2" s="149" t="s">
        <v>302</v>
      </c>
      <c r="X2" s="151"/>
      <c r="Z2" s="70" t="s">
        <v>303</v>
      </c>
    </row>
    <row r="3" spans="1:26" ht="16.5" customHeight="1" thickBot="1">
      <c r="F3" s="87" t="s">
        <v>161</v>
      </c>
      <c r="G3" s="88"/>
      <c r="H3" s="88"/>
      <c r="I3" s="131"/>
      <c r="J3" s="131"/>
      <c r="K3" s="131"/>
      <c r="L3" s="131"/>
      <c r="M3" s="131"/>
      <c r="N3" s="131"/>
      <c r="O3" s="131"/>
      <c r="P3" s="88" t="s">
        <v>163</v>
      </c>
      <c r="Q3" s="88"/>
      <c r="R3" s="132"/>
      <c r="S3" s="133"/>
      <c r="T3" s="133"/>
      <c r="U3" s="134"/>
      <c r="W3" s="60" t="s">
        <v>159</v>
      </c>
      <c r="X3" s="49"/>
      <c r="Z3" s="66" t="s">
        <v>31</v>
      </c>
    </row>
    <row r="4" spans="1:26" ht="15.9" customHeight="1">
      <c r="F4" s="91" t="s">
        <v>164</v>
      </c>
      <c r="G4" s="92"/>
      <c r="H4" s="92"/>
      <c r="I4" s="136"/>
      <c r="J4" s="136"/>
      <c r="K4" s="136"/>
      <c r="L4" s="136"/>
      <c r="M4" s="136"/>
      <c r="N4" s="136"/>
      <c r="O4" s="136"/>
      <c r="P4" s="88" t="s">
        <v>165</v>
      </c>
      <c r="Q4" s="88"/>
      <c r="R4" s="138"/>
      <c r="S4" s="139"/>
      <c r="T4" s="139"/>
      <c r="U4" s="140"/>
      <c r="W4" s="63" t="s">
        <v>160</v>
      </c>
      <c r="X4" s="64"/>
      <c r="Z4" s="67" t="s">
        <v>34</v>
      </c>
    </row>
    <row r="5" spans="1:26" ht="15.9" customHeight="1">
      <c r="F5" s="91" t="s">
        <v>166</v>
      </c>
      <c r="G5" s="92"/>
      <c r="H5" s="92"/>
      <c r="I5" s="136"/>
      <c r="J5" s="136"/>
      <c r="K5" s="136"/>
      <c r="L5" s="136"/>
      <c r="M5" t="s">
        <v>167</v>
      </c>
      <c r="N5" s="136"/>
      <c r="O5" s="136"/>
      <c r="U5" s="20"/>
      <c r="Z5" s="55" t="s">
        <v>62</v>
      </c>
    </row>
    <row r="6" spans="1:26" ht="6.9" customHeight="1">
      <c r="F6" s="19"/>
      <c r="U6" s="20"/>
    </row>
    <row r="7" spans="1:26" ht="15.9" customHeight="1">
      <c r="F7" s="91" t="s">
        <v>162</v>
      </c>
      <c r="G7" s="92"/>
      <c r="H7" s="135"/>
      <c r="I7" s="136"/>
      <c r="J7" s="136"/>
      <c r="K7" s="136"/>
      <c r="L7" s="136"/>
      <c r="M7" s="136"/>
      <c r="N7" s="92" t="s">
        <v>168</v>
      </c>
      <c r="O7" s="92"/>
      <c r="P7" s="135"/>
      <c r="Q7" s="136"/>
      <c r="R7" s="136"/>
      <c r="S7" s="136"/>
      <c r="T7" s="136"/>
      <c r="U7" s="137"/>
    </row>
    <row r="8" spans="1:26" ht="5.4" customHeight="1" thickBot="1">
      <c r="F8" s="5"/>
      <c r="G8" s="4"/>
      <c r="H8" s="4"/>
      <c r="I8" s="4"/>
      <c r="J8" s="4"/>
      <c r="K8" s="4"/>
      <c r="L8" s="4"/>
      <c r="M8" s="4"/>
      <c r="N8" s="4"/>
      <c r="O8" s="4"/>
      <c r="P8" s="4"/>
      <c r="Q8" s="4"/>
      <c r="R8" s="4"/>
      <c r="S8" s="4"/>
      <c r="T8" s="4"/>
      <c r="U8" s="3"/>
    </row>
    <row r="9" spans="1:26" ht="5.0999999999999996" customHeight="1"/>
    <row r="10" spans="1:26">
      <c r="C10" s="129" t="s">
        <v>111</v>
      </c>
      <c r="D10" s="129"/>
      <c r="E10" s="129"/>
      <c r="F10" s="129"/>
      <c r="P10" s="129"/>
      <c r="Q10" s="129"/>
      <c r="R10" s="129"/>
      <c r="S10" s="129"/>
    </row>
    <row r="11" spans="1:26">
      <c r="B11" s="85" t="s">
        <v>383</v>
      </c>
      <c r="C11" s="85"/>
      <c r="D11" s="85"/>
      <c r="E11" s="85"/>
      <c r="F11" s="85"/>
      <c r="G11" s="85"/>
      <c r="H11" s="129" t="s">
        <v>386</v>
      </c>
      <c r="I11" s="129"/>
      <c r="J11" s="129"/>
      <c r="K11" s="129"/>
      <c r="L11" s="129"/>
      <c r="M11" s="129"/>
      <c r="N11" s="129"/>
      <c r="O11" s="85"/>
      <c r="P11" s="85"/>
      <c r="Q11" s="85"/>
      <c r="R11" s="85"/>
      <c r="S11" s="85"/>
      <c r="T11" s="85"/>
    </row>
    <row r="12" spans="1:26">
      <c r="B12" s="85" t="s">
        <v>384</v>
      </c>
      <c r="C12" s="85"/>
      <c r="D12" s="85"/>
      <c r="E12" s="85"/>
      <c r="F12" s="85"/>
      <c r="G12" s="85"/>
      <c r="H12" s="129" t="s">
        <v>169</v>
      </c>
      <c r="I12" s="129"/>
      <c r="J12" s="129"/>
      <c r="K12" s="129"/>
      <c r="L12" s="129"/>
      <c r="M12" s="129"/>
      <c r="N12" s="129"/>
      <c r="O12" s="85"/>
      <c r="P12" s="85"/>
      <c r="Q12" s="85"/>
      <c r="R12" s="85"/>
      <c r="S12" s="85"/>
      <c r="T12" s="85"/>
    </row>
    <row r="13" spans="1:26">
      <c r="B13" s="85" t="s">
        <v>385</v>
      </c>
      <c r="C13" s="85"/>
      <c r="D13" s="85"/>
      <c r="E13" s="85"/>
      <c r="F13" s="85"/>
      <c r="G13" s="85"/>
      <c r="H13" s="129"/>
      <c r="I13" s="129"/>
      <c r="J13" s="129"/>
      <c r="K13" s="129"/>
      <c r="L13" s="129"/>
      <c r="M13" s="129"/>
      <c r="N13" s="129"/>
      <c r="O13" s="85"/>
      <c r="P13" s="85"/>
      <c r="Q13" s="85"/>
      <c r="R13" s="85"/>
      <c r="S13" s="85"/>
      <c r="T13" s="85"/>
    </row>
    <row r="14" spans="1:26" ht="21" customHeight="1">
      <c r="B14" s="130" t="s">
        <v>223</v>
      </c>
      <c r="C14" s="130"/>
      <c r="D14" s="130"/>
      <c r="E14" s="130"/>
      <c r="F14" s="130"/>
      <c r="G14" s="130"/>
      <c r="H14" s="130"/>
      <c r="I14" s="130"/>
      <c r="J14" s="130"/>
      <c r="K14" s="130"/>
      <c r="L14" s="130"/>
      <c r="M14" s="130"/>
      <c r="N14" s="130"/>
      <c r="O14" s="130"/>
      <c r="P14" s="130"/>
      <c r="Q14" s="130"/>
      <c r="R14" s="130"/>
      <c r="S14" s="130"/>
      <c r="T14" s="130"/>
    </row>
    <row r="15" spans="1:26">
      <c r="A15" t="s">
        <v>170</v>
      </c>
      <c r="P15" s="126">
        <f>I3</f>
        <v>0</v>
      </c>
      <c r="Q15" s="126"/>
      <c r="R15" s="126"/>
      <c r="S15" s="126"/>
      <c r="T15" t="s">
        <v>171</v>
      </c>
    </row>
    <row r="16" spans="1:26">
      <c r="A16" t="s">
        <v>172</v>
      </c>
      <c r="I16" s="126">
        <f>I4</f>
        <v>0</v>
      </c>
      <c r="J16" s="126"/>
      <c r="K16" s="126"/>
      <c r="L16" s="126"/>
      <c r="M16" s="126"/>
      <c r="N16" t="s">
        <v>173</v>
      </c>
      <c r="Q16" s="142">
        <v>0</v>
      </c>
      <c r="R16" s="142"/>
      <c r="S16" s="142"/>
      <c r="T16" s="142"/>
      <c r="U16" t="s">
        <v>174</v>
      </c>
    </row>
    <row r="17" spans="1:37">
      <c r="A17" t="s">
        <v>175</v>
      </c>
      <c r="I17" s="8"/>
      <c r="J17" s="8"/>
      <c r="K17" s="8"/>
      <c r="L17" s="8"/>
      <c r="M17" s="8"/>
      <c r="Q17" s="143">
        <v>0</v>
      </c>
      <c r="R17" s="143"/>
      <c r="S17" s="143"/>
      <c r="T17" s="143"/>
      <c r="U17" t="s">
        <v>176</v>
      </c>
    </row>
    <row r="18" spans="1:37">
      <c r="A18" t="s">
        <v>177</v>
      </c>
      <c r="G18" s="11">
        <v>4</v>
      </c>
      <c r="H18" t="s">
        <v>185</v>
      </c>
      <c r="I18" s="8"/>
      <c r="J18" s="8"/>
      <c r="K18" s="8"/>
      <c r="L18" s="8"/>
      <c r="M18" s="8"/>
      <c r="Q18" s="8"/>
      <c r="R18" s="8"/>
      <c r="S18" s="8"/>
      <c r="T18" s="8"/>
    </row>
    <row r="19" spans="1:37" ht="7.5" customHeight="1">
      <c r="G19" s="8"/>
      <c r="I19" s="8"/>
      <c r="J19" s="8"/>
      <c r="K19" s="8"/>
      <c r="L19" s="8"/>
      <c r="M19" s="8"/>
      <c r="Q19" s="8"/>
      <c r="R19" s="8"/>
      <c r="S19" s="8"/>
      <c r="T19" s="8"/>
    </row>
    <row r="20" spans="1:37">
      <c r="A20" t="s">
        <v>178</v>
      </c>
      <c r="G20" s="8"/>
      <c r="I20" s="144">
        <v>45658</v>
      </c>
      <c r="J20" s="144"/>
      <c r="K20" s="144"/>
      <c r="L20" s="144"/>
      <c r="M20" s="144"/>
      <c r="N20" s="144"/>
      <c r="Q20" s="8"/>
      <c r="R20" s="8"/>
      <c r="S20" s="8"/>
      <c r="T20" s="8"/>
    </row>
    <row r="21" spans="1:37">
      <c r="A21" t="s">
        <v>179</v>
      </c>
      <c r="G21" s="8"/>
      <c r="I21" s="144">
        <v>45658</v>
      </c>
      <c r="J21" s="144"/>
      <c r="K21" s="144"/>
      <c r="L21" s="144"/>
      <c r="M21" s="144"/>
      <c r="N21" s="144"/>
      <c r="Q21" s="8"/>
      <c r="R21" s="8"/>
      <c r="S21" s="8"/>
      <c r="T21" s="8"/>
    </row>
    <row r="22" spans="1:37" ht="7.5" customHeight="1">
      <c r="G22" s="8"/>
      <c r="I22" s="8"/>
      <c r="J22" s="8"/>
      <c r="K22" s="8"/>
      <c r="L22" s="8"/>
      <c r="M22" s="8"/>
      <c r="N22" s="8"/>
      <c r="Q22" s="8"/>
      <c r="R22" s="8"/>
      <c r="S22" s="8"/>
      <c r="T22" s="8"/>
    </row>
    <row r="23" spans="1:37" ht="51" customHeight="1">
      <c r="A23" s="103" t="s">
        <v>180</v>
      </c>
      <c r="B23" s="145"/>
      <c r="C23" s="145"/>
      <c r="D23" s="145"/>
      <c r="E23" s="145"/>
      <c r="F23" s="145"/>
      <c r="G23" s="145"/>
      <c r="H23" s="145"/>
      <c r="I23" s="145"/>
      <c r="J23" s="145"/>
      <c r="K23" s="145"/>
      <c r="L23" s="145"/>
      <c r="M23" s="145"/>
      <c r="N23" s="145"/>
      <c r="O23" s="145"/>
      <c r="P23" s="145"/>
      <c r="Q23" s="145"/>
      <c r="R23" s="145"/>
      <c r="S23" s="145"/>
      <c r="T23" s="145"/>
      <c r="U23" s="145"/>
    </row>
    <row r="24" spans="1:37" ht="7.5" customHeight="1">
      <c r="A24" s="14"/>
      <c r="B24" s="24"/>
      <c r="C24" s="24"/>
      <c r="D24" s="24"/>
      <c r="E24" s="24"/>
      <c r="F24" s="24"/>
      <c r="G24" s="24"/>
      <c r="H24" s="24"/>
      <c r="I24" s="24"/>
      <c r="J24" s="24"/>
      <c r="K24" s="24"/>
      <c r="L24" s="24"/>
      <c r="M24" s="24"/>
      <c r="N24" s="24"/>
      <c r="O24" s="24"/>
      <c r="P24" s="24"/>
      <c r="Q24" s="24"/>
      <c r="R24" s="24"/>
      <c r="S24" s="24"/>
      <c r="T24" s="24"/>
      <c r="U24" s="24"/>
    </row>
    <row r="25" spans="1:37" ht="75.900000000000006" customHeight="1">
      <c r="A25" s="103" t="s">
        <v>188</v>
      </c>
      <c r="B25" s="103"/>
      <c r="C25" s="103"/>
      <c r="D25" s="103"/>
      <c r="E25" s="103"/>
      <c r="F25" s="103"/>
      <c r="G25" s="103"/>
      <c r="H25" s="103"/>
      <c r="I25" s="103"/>
      <c r="J25" s="103"/>
      <c r="K25" s="103"/>
      <c r="L25" s="103"/>
      <c r="M25" s="103"/>
      <c r="N25" s="103"/>
      <c r="O25" s="103"/>
      <c r="P25" s="103"/>
      <c r="Q25" s="103"/>
      <c r="R25" s="103"/>
      <c r="S25" s="103"/>
      <c r="T25" s="103"/>
      <c r="U25" s="103"/>
    </row>
    <row r="26" spans="1:37" ht="12.9" customHeight="1">
      <c r="A26" s="14"/>
      <c r="B26" s="24"/>
      <c r="C26" s="24"/>
      <c r="D26" s="24"/>
      <c r="E26" s="24"/>
      <c r="F26" s="24"/>
      <c r="G26" s="24"/>
      <c r="H26" s="24"/>
      <c r="I26" s="24"/>
      <c r="J26" s="24"/>
      <c r="K26" s="24"/>
      <c r="L26" s="24"/>
      <c r="M26" s="24"/>
      <c r="N26" s="24"/>
      <c r="O26" s="24"/>
      <c r="P26" s="24"/>
      <c r="Q26" s="24"/>
      <c r="R26" s="24"/>
      <c r="S26" s="24"/>
      <c r="T26" s="24"/>
      <c r="U26" s="24"/>
    </row>
    <row r="27" spans="1:37">
      <c r="A27" s="77" t="s">
        <v>184</v>
      </c>
      <c r="B27" s="77"/>
      <c r="C27" s="77"/>
      <c r="D27" s="77"/>
      <c r="E27" s="77"/>
      <c r="F27" s="77"/>
      <c r="G27" s="77"/>
      <c r="H27" s="77"/>
      <c r="I27" s="77"/>
      <c r="J27" s="77"/>
      <c r="K27" s="8"/>
      <c r="L27" s="77" t="s">
        <v>181</v>
      </c>
      <c r="M27" s="77"/>
      <c r="N27" s="77"/>
      <c r="O27" s="77"/>
      <c r="P27" s="77"/>
      <c r="Q27" s="77"/>
      <c r="R27" s="77"/>
      <c r="S27" s="77"/>
      <c r="T27" s="77"/>
      <c r="U27" s="77"/>
      <c r="W27" s="85" t="s">
        <v>159</v>
      </c>
      <c r="X27" s="85"/>
      <c r="Y27" s="85"/>
      <c r="Z27" s="85"/>
      <c r="AA27" s="85"/>
      <c r="AB27" s="85"/>
      <c r="AC27" s="6"/>
      <c r="AE27" s="85" t="s">
        <v>160</v>
      </c>
      <c r="AF27" s="85"/>
      <c r="AG27" s="85"/>
      <c r="AH27" s="85"/>
      <c r="AI27" s="45" t="s">
        <v>248</v>
      </c>
      <c r="AJ27" s="59" t="s">
        <v>249</v>
      </c>
      <c r="AK27" s="52" t="s">
        <v>247</v>
      </c>
    </row>
    <row r="28" spans="1:37" ht="14.4" customHeight="1">
      <c r="A28" t="s">
        <v>182</v>
      </c>
      <c r="G28" s="121">
        <f>Q17</f>
        <v>0</v>
      </c>
      <c r="H28" s="85"/>
      <c r="I28" s="85"/>
      <c r="J28" s="85"/>
      <c r="K28" s="8"/>
      <c r="L28" s="9" t="s">
        <v>107</v>
      </c>
      <c r="M28" s="8"/>
      <c r="N28" s="83"/>
      <c r="O28" s="83"/>
      <c r="P28" s="16" t="s">
        <v>186</v>
      </c>
      <c r="Q28" s="8"/>
      <c r="R28" s="8"/>
      <c r="S28" s="141"/>
      <c r="T28" s="141"/>
      <c r="U28" s="9" t="s">
        <v>106</v>
      </c>
      <c r="W28" s="16" t="s">
        <v>371</v>
      </c>
      <c r="AC28" s="21">
        <f>(($Q$16-$Q$17)*0.3)</f>
        <v>0</v>
      </c>
      <c r="AE28" s="16" t="s">
        <v>390</v>
      </c>
      <c r="AH28" s="21">
        <f>(($Q$16-$Q$17)*0.3)</f>
        <v>0</v>
      </c>
      <c r="AI28" s="53">
        <v>1</v>
      </c>
      <c r="AJ28" s="53">
        <v>3</v>
      </c>
      <c r="AK28" s="56">
        <v>1</v>
      </c>
    </row>
    <row r="29" spans="1:37" ht="14.4" customHeight="1">
      <c r="A29" t="str">
        <f>IF($A$1=$W$3,W28,AE28)</f>
        <v>30% - Prior to Excavation</v>
      </c>
      <c r="G29" s="121">
        <f>IF($A$1=$W$3,AC28,AH28)</f>
        <v>0</v>
      </c>
      <c r="H29" s="121"/>
      <c r="I29" s="121"/>
      <c r="J29" s="121"/>
      <c r="K29" s="8"/>
      <c r="L29" s="6"/>
      <c r="M29" s="6"/>
      <c r="Q29" s="6"/>
      <c r="R29" s="6"/>
      <c r="S29" s="6"/>
      <c r="T29" s="6"/>
      <c r="W29" s="16" t="s">
        <v>183</v>
      </c>
      <c r="AC29" s="21">
        <f>((Q$16-Q$17)*0.3)</f>
        <v>0</v>
      </c>
      <c r="AE29" s="16" t="s">
        <v>387</v>
      </c>
      <c r="AH29" s="21">
        <f>(($Q$16-$Q$17)*0.3)</f>
        <v>0</v>
      </c>
      <c r="AI29" s="54">
        <v>2</v>
      </c>
      <c r="AJ29" s="54">
        <v>4</v>
      </c>
      <c r="AK29" s="57">
        <v>2</v>
      </c>
    </row>
    <row r="30" spans="1:37" ht="14.4" customHeight="1">
      <c r="A30" t="str">
        <f>IF($A$1=$W$3,W29,AE29)</f>
        <v xml:space="preserve">30% - Prior to Shotcete </v>
      </c>
      <c r="G30" s="121">
        <f>IF(A$1=W$3,AC29,AH29)</f>
        <v>0</v>
      </c>
      <c r="H30" s="121"/>
      <c r="I30" s="121"/>
      <c r="J30" s="121"/>
      <c r="K30" s="8"/>
      <c r="L30" s="9" t="s">
        <v>105</v>
      </c>
      <c r="M30" s="6"/>
      <c r="N30" s="50"/>
      <c r="O30" s="23" t="s">
        <v>187</v>
      </c>
      <c r="P30" s="69"/>
      <c r="Q30" s="23" t="s">
        <v>103</v>
      </c>
      <c r="T30" s="23"/>
      <c r="W30" s="16" t="s">
        <v>370</v>
      </c>
      <c r="AC30" s="21">
        <f>((Q$16-Q$17)*0.3)</f>
        <v>0</v>
      </c>
      <c r="AE30" s="16" t="s">
        <v>388</v>
      </c>
      <c r="AH30" s="21">
        <f>(($Q$16-$Q$17)*0.3)</f>
        <v>0</v>
      </c>
      <c r="AI30" s="54">
        <v>3</v>
      </c>
      <c r="AJ30" s="54">
        <v>5</v>
      </c>
      <c r="AK30" s="57">
        <v>3</v>
      </c>
    </row>
    <row r="31" spans="1:37" ht="14.4" customHeight="1">
      <c r="A31" t="str">
        <f>IF($A$1=$W$3,W30,AE30)</f>
        <v>30% - Prior to Decking</v>
      </c>
      <c r="G31" s="121">
        <f>IF(A$1=W$3,AC30,AH30)</f>
        <v>0</v>
      </c>
      <c r="H31" s="121"/>
      <c r="I31" s="121"/>
      <c r="J31" s="121"/>
      <c r="K31" s="8"/>
      <c r="L31" s="6"/>
      <c r="M31" s="6"/>
      <c r="Q31" s="6"/>
      <c r="R31" s="6"/>
      <c r="S31" s="6"/>
      <c r="T31" s="6"/>
      <c r="W31" s="16" t="s">
        <v>391</v>
      </c>
      <c r="AC31" s="21">
        <f>((Q$16-Q$17)*0.1)</f>
        <v>0</v>
      </c>
      <c r="AE31" s="16" t="s">
        <v>389</v>
      </c>
      <c r="AH31" s="21">
        <f>(($Q$16-$Q$17)*0.1)</f>
        <v>0</v>
      </c>
      <c r="AI31" s="55"/>
      <c r="AJ31" s="55"/>
      <c r="AK31" s="57">
        <v>4</v>
      </c>
    </row>
    <row r="32" spans="1:37" ht="14.4" customHeight="1">
      <c r="A32" t="str">
        <f>IF($A$1=$W$3,W31,AE31)</f>
        <v xml:space="preserve">10% - Prior to Interior Finish </v>
      </c>
      <c r="G32" s="121">
        <f>IF(A$1=W$3,AC31,AH31)</f>
        <v>0</v>
      </c>
      <c r="H32" s="121"/>
      <c r="I32" s="121"/>
      <c r="J32" s="121"/>
      <c r="K32" s="8"/>
      <c r="L32" s="9" t="s">
        <v>104</v>
      </c>
      <c r="M32" s="6"/>
      <c r="N32" s="72"/>
      <c r="O32" s="23" t="s">
        <v>187</v>
      </c>
      <c r="P32" s="73"/>
      <c r="Q32" s="23" t="s">
        <v>187</v>
      </c>
      <c r="R32" s="73"/>
      <c r="S32" s="23" t="s">
        <v>103</v>
      </c>
      <c r="T32" s="6"/>
      <c r="AK32" s="57">
        <v>5</v>
      </c>
    </row>
    <row r="33" spans="1:37" ht="14.4" customHeight="1" thickBot="1">
      <c r="G33" s="22"/>
      <c r="H33" s="22"/>
      <c r="I33" s="22"/>
      <c r="J33" s="22"/>
      <c r="K33" s="8"/>
      <c r="L33" s="85" t="str">
        <f>IF(R32&lt;8.5,"Pool Depth Does NOT Permit Diving","")</f>
        <v>Pool Depth Does NOT Permit Diving</v>
      </c>
      <c r="M33" s="85"/>
      <c r="N33" s="85"/>
      <c r="O33" s="85"/>
      <c r="P33" s="85"/>
      <c r="Q33" s="85"/>
      <c r="R33" s="85"/>
      <c r="S33" s="85"/>
      <c r="T33" s="85"/>
      <c r="U33" s="85"/>
      <c r="AK33" s="58"/>
    </row>
    <row r="34" spans="1:37" ht="6" customHeight="1" thickBot="1">
      <c r="A34" s="159"/>
      <c r="B34" s="160"/>
      <c r="C34" s="160"/>
      <c r="D34" s="160"/>
      <c r="E34" s="160"/>
      <c r="F34" s="160"/>
      <c r="G34" s="160"/>
      <c r="H34" s="160"/>
      <c r="I34" s="160"/>
      <c r="J34" s="160"/>
      <c r="K34" s="160"/>
      <c r="L34" s="160"/>
      <c r="M34" s="160"/>
      <c r="N34" s="160"/>
      <c r="O34" s="160"/>
      <c r="P34" s="160"/>
      <c r="Q34" s="160"/>
      <c r="R34" s="160"/>
      <c r="S34" s="160"/>
      <c r="T34" s="160"/>
      <c r="U34" s="161"/>
    </row>
    <row r="35" spans="1:37" ht="13.8" thickBot="1">
      <c r="A35" s="19"/>
      <c r="B35" t="s">
        <v>189</v>
      </c>
      <c r="G35" s="34"/>
      <c r="H35" s="25" t="s">
        <v>109</v>
      </c>
      <c r="I35" s="34"/>
      <c r="J35" s="25" t="s">
        <v>110</v>
      </c>
      <c r="K35" s="8"/>
      <c r="L35" s="6"/>
      <c r="M35" t="s">
        <v>190</v>
      </c>
      <c r="R35" s="34"/>
      <c r="S35" s="25" t="s">
        <v>109</v>
      </c>
      <c r="T35" s="34"/>
      <c r="U35" s="26" t="s">
        <v>110</v>
      </c>
    </row>
    <row r="36" spans="1:37" ht="6" customHeight="1" thickBot="1">
      <c r="A36" s="162"/>
      <c r="B36" s="163"/>
      <c r="C36" s="163"/>
      <c r="D36" s="163"/>
      <c r="E36" s="163"/>
      <c r="F36" s="163"/>
      <c r="G36" s="163"/>
      <c r="H36" s="163"/>
      <c r="I36" s="163"/>
      <c r="J36" s="163"/>
      <c r="K36" s="163"/>
      <c r="L36" s="163"/>
      <c r="M36" s="163"/>
      <c r="N36" s="163"/>
      <c r="O36" s="163"/>
      <c r="P36" s="163"/>
      <c r="Q36" s="163"/>
      <c r="R36" s="163"/>
      <c r="S36" s="163"/>
      <c r="T36" s="163"/>
      <c r="U36" s="164"/>
    </row>
    <row r="37" spans="1:37" ht="6" customHeight="1">
      <c r="A37" s="6"/>
      <c r="B37" s="6"/>
      <c r="C37" s="6"/>
      <c r="D37" s="6"/>
      <c r="E37" s="6"/>
      <c r="F37" s="6"/>
      <c r="G37" s="6"/>
      <c r="H37" s="6"/>
      <c r="I37" s="6"/>
      <c r="J37" s="6"/>
      <c r="K37" s="6"/>
      <c r="L37" s="6"/>
      <c r="M37" s="6"/>
      <c r="N37" s="6"/>
      <c r="O37" s="6"/>
      <c r="P37" s="6"/>
      <c r="Q37" s="6"/>
      <c r="R37" s="6"/>
      <c r="S37" s="6"/>
      <c r="T37" s="6"/>
      <c r="U37" s="6"/>
    </row>
    <row r="38" spans="1:37" ht="14.4" customHeight="1">
      <c r="A38" s="77" t="s">
        <v>102</v>
      </c>
      <c r="B38" s="77"/>
      <c r="C38" s="77"/>
      <c r="D38" s="77"/>
      <c r="E38" s="77"/>
      <c r="F38" s="77"/>
      <c r="G38" s="77"/>
      <c r="H38" s="77"/>
      <c r="I38" s="77"/>
      <c r="J38" s="77"/>
      <c r="K38" s="6"/>
      <c r="L38" s="77" t="s">
        <v>203</v>
      </c>
      <c r="M38" s="77"/>
      <c r="N38" s="77"/>
      <c r="O38" s="77"/>
      <c r="P38" s="77"/>
      <c r="Q38" s="77"/>
      <c r="R38" s="77"/>
      <c r="S38" s="77"/>
      <c r="T38" s="77"/>
      <c r="U38" s="77"/>
      <c r="W38" s="149" t="s">
        <v>232</v>
      </c>
      <c r="X38" s="150"/>
      <c r="Y38" s="150"/>
      <c r="Z38" s="151"/>
      <c r="AA38" s="149" t="s">
        <v>233</v>
      </c>
      <c r="AB38" s="150"/>
      <c r="AC38" s="151"/>
      <c r="AD38" s="149" t="s">
        <v>237</v>
      </c>
      <c r="AE38" s="150"/>
      <c r="AF38" s="151"/>
      <c r="AG38" s="149" t="s">
        <v>238</v>
      </c>
      <c r="AH38" s="151"/>
      <c r="AI38" s="146" t="s">
        <v>241</v>
      </c>
      <c r="AJ38" s="147"/>
      <c r="AK38" s="148"/>
    </row>
    <row r="39" spans="1:37" s="17" customFormat="1" ht="14.4" customHeight="1">
      <c r="A39" s="17" t="s">
        <v>101</v>
      </c>
      <c r="I39" s="116" t="s">
        <v>34</v>
      </c>
      <c r="J39" s="116"/>
      <c r="L39" s="17" t="s">
        <v>204</v>
      </c>
      <c r="Q39" s="78" t="s">
        <v>31</v>
      </c>
      <c r="R39" s="78"/>
      <c r="S39" s="78"/>
      <c r="T39" s="78"/>
      <c r="U39" s="78"/>
      <c r="W39" s="37" t="s">
        <v>31</v>
      </c>
      <c r="X39" s="38"/>
      <c r="Y39" s="38"/>
      <c r="Z39" s="38"/>
      <c r="AA39" s="37" t="s">
        <v>31</v>
      </c>
      <c r="AB39" s="38"/>
      <c r="AC39" s="39"/>
      <c r="AD39" s="40" t="s">
        <v>31</v>
      </c>
      <c r="AF39" s="41"/>
      <c r="AG39" s="37" t="s">
        <v>31</v>
      </c>
      <c r="AH39" s="39"/>
      <c r="AI39" s="38" t="s">
        <v>31</v>
      </c>
      <c r="AJ39" s="38"/>
      <c r="AK39" s="39"/>
    </row>
    <row r="40" spans="1:37" s="17" customFormat="1" ht="14.4" customHeight="1">
      <c r="A40" s="17" t="s">
        <v>99</v>
      </c>
      <c r="I40" s="116" t="s">
        <v>34</v>
      </c>
      <c r="J40" s="116"/>
      <c r="L40" s="17" t="s">
        <v>205</v>
      </c>
      <c r="Q40" s="112" t="s">
        <v>31</v>
      </c>
      <c r="R40" s="113"/>
      <c r="S40" s="113"/>
      <c r="T40" s="113"/>
      <c r="U40" s="114"/>
      <c r="W40" s="40" t="s">
        <v>230</v>
      </c>
      <c r="AA40" s="40" t="s">
        <v>234</v>
      </c>
      <c r="AC40" s="41"/>
      <c r="AD40" s="40" t="s">
        <v>44</v>
      </c>
      <c r="AF40" s="41"/>
      <c r="AG40" s="40" t="s">
        <v>42</v>
      </c>
      <c r="AH40" s="41"/>
      <c r="AI40" s="17" t="s">
        <v>244</v>
      </c>
      <c r="AK40" s="41"/>
    </row>
    <row r="41" spans="1:37" s="17" customFormat="1" ht="14.4" customHeight="1">
      <c r="A41" s="17" t="s">
        <v>98</v>
      </c>
      <c r="I41" s="116" t="s">
        <v>34</v>
      </c>
      <c r="J41" s="116"/>
      <c r="L41" s="17" t="s">
        <v>45</v>
      </c>
      <c r="Q41" s="78" t="s">
        <v>35</v>
      </c>
      <c r="R41" s="78"/>
      <c r="S41" s="78"/>
      <c r="T41" s="78"/>
      <c r="U41" s="78"/>
      <c r="W41" s="40" t="s">
        <v>231</v>
      </c>
      <c r="AA41" s="40" t="s">
        <v>219</v>
      </c>
      <c r="AC41" s="41"/>
      <c r="AD41" s="40" t="s">
        <v>40</v>
      </c>
      <c r="AF41" s="41"/>
      <c r="AG41" s="40" t="s">
        <v>239</v>
      </c>
      <c r="AH41" s="41"/>
      <c r="AI41" s="17" t="s">
        <v>245</v>
      </c>
      <c r="AK41" s="41"/>
    </row>
    <row r="42" spans="1:37" s="17" customFormat="1" ht="14.4" customHeight="1">
      <c r="A42" s="17" t="s">
        <v>94</v>
      </c>
      <c r="I42" s="116" t="s">
        <v>62</v>
      </c>
      <c r="J42" s="116"/>
      <c r="L42" s="17" t="s">
        <v>41</v>
      </c>
      <c r="Q42" s="112" t="s">
        <v>31</v>
      </c>
      <c r="R42" s="113"/>
      <c r="S42" s="113"/>
      <c r="T42" s="113"/>
      <c r="U42" s="114"/>
      <c r="W42" s="42"/>
      <c r="X42" s="43"/>
      <c r="Y42" s="43"/>
      <c r="Z42" s="43"/>
      <c r="AA42" s="40" t="s">
        <v>235</v>
      </c>
      <c r="AC42" s="41"/>
      <c r="AD42" s="40" t="s">
        <v>39</v>
      </c>
      <c r="AF42" s="41"/>
      <c r="AG42" s="40" t="s">
        <v>38</v>
      </c>
      <c r="AH42" s="41"/>
      <c r="AI42" s="17" t="s">
        <v>246</v>
      </c>
      <c r="AK42" s="41"/>
    </row>
    <row r="43" spans="1:37" s="17" customFormat="1" ht="14.4" customHeight="1">
      <c r="A43" s="17" t="s">
        <v>93</v>
      </c>
      <c r="I43" s="116" t="s">
        <v>62</v>
      </c>
      <c r="J43" s="116"/>
      <c r="L43" s="17" t="s">
        <v>206</v>
      </c>
      <c r="Q43" s="112" t="s">
        <v>31</v>
      </c>
      <c r="R43" s="113"/>
      <c r="S43" s="113"/>
      <c r="T43" s="113"/>
      <c r="U43" s="114"/>
      <c r="AA43" s="40" t="s">
        <v>236</v>
      </c>
      <c r="AC43" s="41"/>
      <c r="AD43" s="40" t="s">
        <v>36</v>
      </c>
      <c r="AF43" s="41"/>
      <c r="AG43" s="40" t="s">
        <v>240</v>
      </c>
      <c r="AH43" s="41"/>
      <c r="AI43" s="43"/>
      <c r="AJ43" s="43"/>
      <c r="AK43" s="44"/>
    </row>
    <row r="44" spans="1:37" s="17" customFormat="1" ht="14.4" customHeight="1">
      <c r="A44" s="17" t="s">
        <v>88</v>
      </c>
      <c r="I44" s="116" t="s">
        <v>62</v>
      </c>
      <c r="J44" s="116"/>
      <c r="L44" s="17" t="s">
        <v>207</v>
      </c>
      <c r="Q44" s="78" t="s">
        <v>31</v>
      </c>
      <c r="R44" s="78"/>
      <c r="S44" s="78"/>
      <c r="T44" s="78"/>
      <c r="U44" s="78"/>
      <c r="W44" s="156" t="s">
        <v>306</v>
      </c>
      <c r="X44" s="157"/>
      <c r="AA44" s="40" t="s">
        <v>52</v>
      </c>
      <c r="AC44" s="41"/>
      <c r="AD44" s="40" t="s">
        <v>35</v>
      </c>
      <c r="AF44" s="41"/>
      <c r="AG44" s="42"/>
      <c r="AH44" s="44"/>
    </row>
    <row r="45" spans="1:37" s="17" customFormat="1" ht="14.4" customHeight="1">
      <c r="A45" s="18" t="s">
        <v>87</v>
      </c>
      <c r="L45" s="17" t="s">
        <v>208</v>
      </c>
      <c r="Q45" s="78" t="s">
        <v>31</v>
      </c>
      <c r="R45" s="78"/>
      <c r="S45" s="78"/>
      <c r="T45" s="78"/>
      <c r="U45" s="78"/>
      <c r="W45" s="37" t="s">
        <v>31</v>
      </c>
      <c r="X45" s="39"/>
      <c r="AA45" s="40" t="s">
        <v>50</v>
      </c>
      <c r="AC45" s="41"/>
      <c r="AD45" s="42"/>
      <c r="AE45" s="43"/>
      <c r="AF45" s="44"/>
    </row>
    <row r="46" spans="1:37" s="17" customFormat="1" ht="14.4" customHeight="1">
      <c r="A46" s="17" t="s">
        <v>83</v>
      </c>
      <c r="I46" s="116" t="s">
        <v>62</v>
      </c>
      <c r="J46" s="116"/>
      <c r="L46" s="18" t="s">
        <v>304</v>
      </c>
      <c r="Q46" s="112" t="s">
        <v>31</v>
      </c>
      <c r="R46" s="113"/>
      <c r="S46" s="113"/>
      <c r="T46" s="113"/>
      <c r="U46" s="114"/>
      <c r="W46" s="40" t="s">
        <v>243</v>
      </c>
      <c r="X46" s="41"/>
      <c r="AA46" s="42"/>
      <c r="AB46" s="43"/>
      <c r="AC46" s="44"/>
    </row>
    <row r="47" spans="1:37" s="17" customFormat="1" ht="14.4" customHeight="1">
      <c r="A47" s="17" t="s">
        <v>80</v>
      </c>
      <c r="I47" s="116" t="s">
        <v>62</v>
      </c>
      <c r="J47" s="116"/>
      <c r="L47" s="17" t="s">
        <v>305</v>
      </c>
      <c r="Q47" s="112" t="s">
        <v>31</v>
      </c>
      <c r="R47" s="113"/>
      <c r="S47" s="113"/>
      <c r="T47" s="113"/>
      <c r="U47" s="114"/>
      <c r="W47" s="42" t="s">
        <v>242</v>
      </c>
      <c r="X47" s="44"/>
    </row>
    <row r="48" spans="1:37" s="17" customFormat="1" ht="14.4" customHeight="1" thickBot="1">
      <c r="A48" s="17" t="s">
        <v>78</v>
      </c>
      <c r="I48" s="116" t="s">
        <v>62</v>
      </c>
      <c r="J48" s="116"/>
    </row>
    <row r="49" spans="1:35" s="17" customFormat="1" ht="14.4" customHeight="1" thickBot="1">
      <c r="A49" s="17" t="s">
        <v>76</v>
      </c>
      <c r="F49" s="51">
        <v>1</v>
      </c>
      <c r="G49" s="17" t="s">
        <v>191</v>
      </c>
      <c r="L49" s="77" t="s">
        <v>209</v>
      </c>
      <c r="M49" s="77"/>
      <c r="N49" s="77"/>
      <c r="O49" s="77"/>
      <c r="P49" s="77"/>
      <c r="Q49" s="77"/>
      <c r="R49" s="77"/>
      <c r="S49" s="77"/>
      <c r="T49" s="77"/>
      <c r="U49" s="77"/>
      <c r="AI49" s="17" t="s">
        <v>34</v>
      </c>
    </row>
    <row r="50" spans="1:35" s="17" customFormat="1" ht="14.4" customHeight="1">
      <c r="A50" s="17" t="s">
        <v>192</v>
      </c>
      <c r="L50" s="21" t="str">
        <f>IF($A$1=$W$3,W50,AE50)</f>
        <v>31. Pneumatically applied shotcrete shell - Per Code</v>
      </c>
      <c r="M50" s="21"/>
      <c r="N50" s="21"/>
      <c r="O50" s="21"/>
      <c r="T50" s="116"/>
      <c r="U50" s="116"/>
      <c r="W50" s="17" t="s">
        <v>308</v>
      </c>
      <c r="AE50" s="17" t="s">
        <v>309</v>
      </c>
    </row>
    <row r="51" spans="1:35" s="17" customFormat="1" ht="14.4" customHeight="1">
      <c r="A51" s="17" t="s">
        <v>193</v>
      </c>
      <c r="L51" s="17" t="s">
        <v>310</v>
      </c>
      <c r="T51" s="90" t="s">
        <v>251</v>
      </c>
      <c r="U51" s="90"/>
    </row>
    <row r="52" spans="1:35" s="17" customFormat="1" ht="14.4" customHeight="1">
      <c r="A52" s="18" t="s">
        <v>68</v>
      </c>
      <c r="L52" s="17" t="s">
        <v>311</v>
      </c>
      <c r="T52" s="90" t="s">
        <v>31</v>
      </c>
      <c r="U52" s="90"/>
    </row>
    <row r="53" spans="1:35" s="17" customFormat="1" ht="14.4" customHeight="1">
      <c r="A53" s="158" t="s">
        <v>194</v>
      </c>
      <c r="B53" s="158"/>
      <c r="C53" s="158"/>
      <c r="D53" s="158"/>
      <c r="E53" s="158"/>
      <c r="F53" s="158"/>
      <c r="G53" s="158"/>
      <c r="H53" s="158"/>
      <c r="L53" s="17" t="s">
        <v>312</v>
      </c>
      <c r="W53" s="17" t="s">
        <v>307</v>
      </c>
      <c r="AE53" s="17" t="s">
        <v>195</v>
      </c>
    </row>
    <row r="54" spans="1:35" ht="14.4" customHeight="1">
      <c r="A54" s="21" t="str">
        <f>IF($A$1=$W$3,W53,AE53)</f>
        <v>14. Steel reinforcing as per Plan.</v>
      </c>
      <c r="B54" s="21"/>
      <c r="C54" s="21"/>
      <c r="D54" s="21"/>
      <c r="L54" s="17"/>
      <c r="M54" s="30" t="s">
        <v>158</v>
      </c>
      <c r="N54" s="29" t="s">
        <v>92</v>
      </c>
      <c r="O54" s="30" t="s">
        <v>158</v>
      </c>
      <c r="P54" s="29" t="s">
        <v>91</v>
      </c>
      <c r="Q54" s="30" t="s">
        <v>158</v>
      </c>
      <c r="R54" s="29" t="s">
        <v>220</v>
      </c>
      <c r="S54" s="30" t="s">
        <v>158</v>
      </c>
      <c r="T54" s="29" t="s">
        <v>90</v>
      </c>
      <c r="U54" s="17"/>
    </row>
    <row r="55" spans="1:35" ht="14.4" customHeight="1">
      <c r="M55" s="30" t="s">
        <v>158</v>
      </c>
      <c r="N55" s="29" t="s">
        <v>86</v>
      </c>
      <c r="O55" s="30" t="s">
        <v>158</v>
      </c>
      <c r="P55" s="29" t="s">
        <v>85</v>
      </c>
      <c r="Q55" s="27" t="s">
        <v>158</v>
      </c>
      <c r="R55" s="29" t="s">
        <v>221</v>
      </c>
      <c r="S55" s="27" t="s">
        <v>158</v>
      </c>
      <c r="T55" s="29" t="s">
        <v>84</v>
      </c>
      <c r="W55" s="45" t="s">
        <v>250</v>
      </c>
      <c r="X55" s="46"/>
      <c r="Y55" s="45" t="s">
        <v>252</v>
      </c>
      <c r="Z55" s="46"/>
      <c r="AA55" s="47" t="s">
        <v>254</v>
      </c>
      <c r="AB55" s="49"/>
      <c r="AC55" s="47" t="s">
        <v>256</v>
      </c>
      <c r="AD55" s="48"/>
      <c r="AE55" s="49"/>
      <c r="AF55" s="45" t="s">
        <v>0</v>
      </c>
      <c r="AG55" s="59"/>
    </row>
    <row r="56" spans="1:35" ht="14.4" customHeight="1">
      <c r="A56" s="77" t="s">
        <v>196</v>
      </c>
      <c r="B56" s="77"/>
      <c r="C56" s="77"/>
      <c r="D56" s="77"/>
      <c r="E56" s="77"/>
      <c r="F56" s="77"/>
      <c r="G56" s="77"/>
      <c r="H56" s="77"/>
      <c r="I56" s="77"/>
      <c r="J56" s="77"/>
      <c r="L56" s="17" t="s">
        <v>313</v>
      </c>
      <c r="Q56" s="80" t="s">
        <v>31</v>
      </c>
      <c r="R56" s="81"/>
      <c r="S56" s="81"/>
      <c r="T56" s="81"/>
      <c r="U56" s="82"/>
      <c r="W56" s="60" t="s">
        <v>31</v>
      </c>
      <c r="X56" s="48"/>
      <c r="Y56" s="60" t="s">
        <v>31</v>
      </c>
      <c r="Z56" s="48"/>
      <c r="AA56" s="60" t="s">
        <v>31</v>
      </c>
      <c r="AB56" s="49"/>
      <c r="AC56" s="48" t="s">
        <v>31</v>
      </c>
      <c r="AD56" s="48"/>
      <c r="AE56" s="49"/>
      <c r="AF56" s="60" t="s">
        <v>31</v>
      </c>
      <c r="AG56" s="49"/>
    </row>
    <row r="57" spans="1:35" ht="14.4" customHeight="1">
      <c r="A57" t="s">
        <v>197</v>
      </c>
      <c r="E57" s="31" t="s">
        <v>48</v>
      </c>
      <c r="F57" s="50">
        <v>1</v>
      </c>
      <c r="G57" t="s">
        <v>61</v>
      </c>
      <c r="I57" s="116" t="s">
        <v>34</v>
      </c>
      <c r="J57" s="116"/>
      <c r="L57" s="17" t="s">
        <v>314</v>
      </c>
      <c r="Q57" s="80" t="s">
        <v>31</v>
      </c>
      <c r="R57" s="81"/>
      <c r="S57" s="81"/>
      <c r="T57" s="81"/>
      <c r="U57" s="82"/>
      <c r="W57" s="61" t="s">
        <v>251</v>
      </c>
      <c r="Y57" s="61" t="s">
        <v>96</v>
      </c>
      <c r="AA57" s="61" t="s">
        <v>95</v>
      </c>
      <c r="AB57" s="62"/>
      <c r="AC57" t="s">
        <v>257</v>
      </c>
      <c r="AE57" s="62"/>
      <c r="AF57" s="61" t="s">
        <v>259</v>
      </c>
      <c r="AG57" s="62"/>
    </row>
    <row r="58" spans="1:35" ht="14.4" customHeight="1">
      <c r="A58" t="s">
        <v>198</v>
      </c>
      <c r="E58" s="31" t="s">
        <v>48</v>
      </c>
      <c r="F58" s="50">
        <v>3</v>
      </c>
      <c r="G58" t="s">
        <v>61</v>
      </c>
      <c r="I58" s="116" t="s">
        <v>34</v>
      </c>
      <c r="J58" s="116"/>
      <c r="L58" s="17" t="s">
        <v>315</v>
      </c>
      <c r="Q58" s="80" t="s">
        <v>31</v>
      </c>
      <c r="R58" s="81"/>
      <c r="S58" s="81"/>
      <c r="T58" s="81"/>
      <c r="U58" s="82"/>
      <c r="W58" s="63"/>
      <c r="X58" s="65"/>
      <c r="Y58" s="61" t="s">
        <v>253</v>
      </c>
      <c r="AA58" s="61" t="s">
        <v>58</v>
      </c>
      <c r="AB58" s="62"/>
      <c r="AC58" t="s">
        <v>59</v>
      </c>
      <c r="AE58" s="62"/>
      <c r="AF58" s="61" t="s">
        <v>260</v>
      </c>
      <c r="AG58" s="62"/>
    </row>
    <row r="59" spans="1:35" ht="14.4" customHeight="1">
      <c r="A59" t="s">
        <v>199</v>
      </c>
      <c r="I59" s="116" t="s">
        <v>62</v>
      </c>
      <c r="J59" s="116"/>
      <c r="L59" s="17" t="s">
        <v>316</v>
      </c>
      <c r="P59" t="s">
        <v>392</v>
      </c>
      <c r="Q59" s="80" t="s">
        <v>58</v>
      </c>
      <c r="R59" s="81"/>
      <c r="S59" s="81"/>
      <c r="T59" s="81"/>
      <c r="U59" s="82"/>
      <c r="Y59" s="63"/>
      <c r="Z59" s="65"/>
      <c r="AA59" s="61" t="s">
        <v>255</v>
      </c>
      <c r="AB59" s="62"/>
      <c r="AC59" t="s">
        <v>56</v>
      </c>
      <c r="AE59" s="62"/>
      <c r="AF59" s="61" t="s">
        <v>58</v>
      </c>
      <c r="AG59" s="62"/>
    </row>
    <row r="60" spans="1:35" ht="14.4" customHeight="1">
      <c r="A60" t="s">
        <v>200</v>
      </c>
      <c r="I60" s="116" t="s">
        <v>34</v>
      </c>
      <c r="J60" s="116"/>
      <c r="L60" s="17" t="s">
        <v>72</v>
      </c>
      <c r="T60" s="115" t="s">
        <v>34</v>
      </c>
      <c r="U60" s="115"/>
      <c r="AA60" s="61" t="s">
        <v>89</v>
      </c>
      <c r="AB60" s="62"/>
      <c r="AC60" t="s">
        <v>258</v>
      </c>
      <c r="AE60" s="62"/>
      <c r="AF60" s="61" t="s">
        <v>258</v>
      </c>
      <c r="AG60" s="62"/>
    </row>
    <row r="61" spans="1:35" ht="14.4" customHeight="1">
      <c r="A61" t="s">
        <v>201</v>
      </c>
      <c r="I61" s="116" t="s">
        <v>34</v>
      </c>
      <c r="J61" s="116"/>
      <c r="L61" s="17" t="s">
        <v>394</v>
      </c>
      <c r="R61" t="s">
        <v>393</v>
      </c>
      <c r="T61" s="90" t="s">
        <v>62</v>
      </c>
      <c r="U61" s="90"/>
      <c r="AA61" s="63"/>
      <c r="AB61" s="64"/>
      <c r="AC61" t="s">
        <v>51</v>
      </c>
      <c r="AE61" s="62"/>
      <c r="AF61" s="61" t="s">
        <v>51</v>
      </c>
      <c r="AG61" s="62"/>
    </row>
    <row r="62" spans="1:35" ht="14.4" customHeight="1">
      <c r="A62" t="s">
        <v>202</v>
      </c>
      <c r="F62" s="79" t="s">
        <v>31</v>
      </c>
      <c r="G62" s="79"/>
      <c r="H62" s="79"/>
      <c r="I62" s="79"/>
      <c r="J62" s="79"/>
      <c r="L62" s="103" t="s">
        <v>210</v>
      </c>
      <c r="M62" s="103"/>
      <c r="N62" s="103"/>
      <c r="O62" s="103"/>
      <c r="P62" s="103"/>
      <c r="Q62" s="103"/>
      <c r="R62" s="103"/>
      <c r="S62" s="103"/>
      <c r="T62" s="103"/>
      <c r="U62" s="103"/>
      <c r="AC62" s="63"/>
      <c r="AD62" s="65"/>
      <c r="AE62" s="64"/>
      <c r="AF62" s="63"/>
      <c r="AG62" s="64"/>
    </row>
    <row r="63" spans="1:35" ht="14.4" customHeight="1">
      <c r="A63" t="s">
        <v>55</v>
      </c>
      <c r="F63" s="79" t="s">
        <v>31</v>
      </c>
      <c r="G63" s="79"/>
      <c r="H63" s="79"/>
      <c r="I63" s="79"/>
      <c r="J63" s="79"/>
      <c r="L63" s="103"/>
      <c r="M63" s="103"/>
      <c r="N63" s="103"/>
      <c r="O63" s="103"/>
      <c r="P63" s="103"/>
      <c r="Q63" s="103"/>
      <c r="R63" s="103"/>
      <c r="S63" s="103"/>
      <c r="T63" s="103"/>
      <c r="U63" s="103"/>
    </row>
    <row r="64" spans="1:35" ht="14.4" customHeight="1">
      <c r="F64" s="6"/>
      <c r="G64" s="6"/>
      <c r="H64" s="6"/>
      <c r="I64" s="6"/>
      <c r="J64" s="6"/>
      <c r="L64" s="103"/>
      <c r="M64" s="103"/>
      <c r="N64" s="103"/>
      <c r="O64" s="103"/>
      <c r="P64" s="103"/>
      <c r="Q64" s="103"/>
      <c r="R64" s="103"/>
      <c r="S64" s="103"/>
      <c r="T64" s="103"/>
      <c r="U64" s="103"/>
    </row>
    <row r="65" spans="1:35" ht="14.4" customHeight="1">
      <c r="F65" s="6"/>
      <c r="G65" s="6"/>
      <c r="H65" s="6"/>
      <c r="I65" s="6"/>
      <c r="J65" s="6"/>
      <c r="L65" s="14"/>
      <c r="M65" s="14"/>
      <c r="N65" s="14"/>
      <c r="O65" s="32" t="s">
        <v>6</v>
      </c>
      <c r="P65" s="74"/>
      <c r="Q65" s="75"/>
      <c r="R65" s="33"/>
      <c r="S65" s="32" t="s">
        <v>6</v>
      </c>
      <c r="T65" s="74"/>
      <c r="U65" s="75"/>
    </row>
    <row r="66" spans="1:35" ht="14.4" customHeight="1">
      <c r="A66" s="85" t="s">
        <v>369</v>
      </c>
      <c r="B66" s="85"/>
      <c r="C66" s="85"/>
      <c r="D66" s="85"/>
      <c r="E66" s="85"/>
      <c r="F66" s="85"/>
      <c r="G66" s="85"/>
      <c r="H66" s="85"/>
      <c r="I66" s="85"/>
      <c r="J66" s="85"/>
      <c r="K66" s="85"/>
      <c r="L66" s="85"/>
      <c r="M66" s="85"/>
      <c r="N66" s="85"/>
      <c r="O66" s="85"/>
      <c r="P66" s="85"/>
      <c r="Q66" s="85"/>
      <c r="R66" s="85"/>
      <c r="S66" s="85"/>
      <c r="T66" s="85"/>
      <c r="U66" s="85"/>
      <c r="W66" s="70" t="s">
        <v>339</v>
      </c>
    </row>
    <row r="67" spans="1:35" ht="14.4" customHeight="1" thickBot="1">
      <c r="F67" s="86" t="str">
        <f>IF(A1=W3,"NORTH CAROLINA Construction Contract - Home Improvement - Fiberglass Swimming Pool","NORTH CAROLINA Construction Contract - Home Improvement - Shotcrete Swimming Pool")</f>
        <v>NORTH CAROLINA Construction Contract - Home Improvement - Shotcrete Swimming Pool</v>
      </c>
      <c r="G67" s="86"/>
      <c r="H67" s="86"/>
      <c r="I67" s="86"/>
      <c r="J67" s="86"/>
      <c r="K67" s="86"/>
      <c r="L67" s="86"/>
      <c r="M67" s="86"/>
      <c r="N67" s="86"/>
      <c r="O67" s="86"/>
      <c r="P67" s="86"/>
      <c r="Q67" s="86"/>
      <c r="R67" s="86"/>
      <c r="S67" s="86"/>
      <c r="T67" s="86"/>
      <c r="U67" s="86"/>
      <c r="W67" s="53">
        <v>0</v>
      </c>
    </row>
    <row r="68" spans="1:35" ht="14.4" customHeight="1">
      <c r="F68" s="87" t="s">
        <v>161</v>
      </c>
      <c r="G68" s="88"/>
      <c r="H68" s="88"/>
      <c r="I68" s="89">
        <f>I3</f>
        <v>0</v>
      </c>
      <c r="J68" s="89"/>
      <c r="K68" s="89"/>
      <c r="L68" s="89"/>
      <c r="M68" s="89"/>
      <c r="N68" s="89"/>
      <c r="O68" s="89"/>
      <c r="P68" s="88" t="s">
        <v>163</v>
      </c>
      <c r="Q68" s="88"/>
      <c r="R68" s="152">
        <f>R3</f>
        <v>0</v>
      </c>
      <c r="S68" s="152"/>
      <c r="T68" s="152"/>
      <c r="U68" s="153"/>
      <c r="W68" s="54">
        <v>1</v>
      </c>
    </row>
    <row r="69" spans="1:35" ht="14.4" customHeight="1">
      <c r="F69" s="91" t="s">
        <v>164</v>
      </c>
      <c r="G69" s="92"/>
      <c r="H69" s="92"/>
      <c r="I69" s="93">
        <f>I4</f>
        <v>0</v>
      </c>
      <c r="J69" s="93"/>
      <c r="K69" s="93"/>
      <c r="L69" s="93"/>
      <c r="M69" s="93"/>
      <c r="N69" s="93"/>
      <c r="O69" s="93"/>
      <c r="P69" s="92" t="s">
        <v>165</v>
      </c>
      <c r="Q69" s="92"/>
      <c r="R69" s="93">
        <f>R4</f>
        <v>0</v>
      </c>
      <c r="S69" s="93"/>
      <c r="T69" s="93"/>
      <c r="U69" s="94"/>
      <c r="W69" s="54">
        <v>2</v>
      </c>
    </row>
    <row r="70" spans="1:35" ht="14.4" customHeight="1">
      <c r="F70" s="91" t="s">
        <v>166</v>
      </c>
      <c r="G70" s="92"/>
      <c r="H70" s="92"/>
      <c r="I70" s="93">
        <f>I5</f>
        <v>0</v>
      </c>
      <c r="J70" s="93"/>
      <c r="K70" s="93"/>
      <c r="L70" s="93"/>
      <c r="M70" t="s">
        <v>167</v>
      </c>
      <c r="N70" s="93">
        <f>N5</f>
        <v>0</v>
      </c>
      <c r="O70" s="93"/>
      <c r="U70" s="20"/>
      <c r="W70" s="54">
        <v>3</v>
      </c>
    </row>
    <row r="71" spans="1:35" ht="14.4" customHeight="1">
      <c r="F71" s="19"/>
      <c r="U71" s="20"/>
      <c r="W71" s="54">
        <v>4</v>
      </c>
    </row>
    <row r="72" spans="1:35" ht="14.4" customHeight="1">
      <c r="F72" s="91" t="s">
        <v>162</v>
      </c>
      <c r="G72" s="92"/>
      <c r="H72" s="93">
        <f>H7</f>
        <v>0</v>
      </c>
      <c r="I72" s="93"/>
      <c r="J72" s="93"/>
      <c r="K72" s="93"/>
      <c r="L72" s="93"/>
      <c r="M72" s="93"/>
      <c r="N72" s="92" t="s">
        <v>168</v>
      </c>
      <c r="O72" s="92"/>
      <c r="P72" s="93">
        <f>P7</f>
        <v>0</v>
      </c>
      <c r="Q72" s="93"/>
      <c r="R72" s="93"/>
      <c r="S72" s="93"/>
      <c r="T72" s="93"/>
      <c r="U72" s="94"/>
      <c r="W72" s="54">
        <v>5</v>
      </c>
    </row>
    <row r="73" spans="1:35" ht="14.4" customHeight="1" thickBot="1">
      <c r="F73" s="5"/>
      <c r="G73" s="4"/>
      <c r="H73" s="4"/>
      <c r="I73" s="4"/>
      <c r="J73" s="4"/>
      <c r="K73" s="4"/>
      <c r="L73" s="4"/>
      <c r="M73" s="4"/>
      <c r="N73" s="4"/>
      <c r="O73" s="4"/>
      <c r="P73" s="4"/>
      <c r="Q73" s="4"/>
      <c r="R73" s="4"/>
      <c r="S73" s="4"/>
      <c r="T73" s="4"/>
      <c r="U73" s="3"/>
      <c r="W73" s="55"/>
    </row>
    <row r="74" spans="1:35" ht="14.4" customHeight="1">
      <c r="A74" s="129" t="s">
        <v>223</v>
      </c>
      <c r="B74" s="129"/>
      <c r="C74" s="129"/>
      <c r="D74" s="129"/>
      <c r="E74" s="129"/>
      <c r="F74" s="129"/>
      <c r="G74" s="129"/>
      <c r="H74" s="129"/>
      <c r="I74" s="129"/>
      <c r="J74" s="129"/>
      <c r="K74" s="129"/>
      <c r="L74" s="129"/>
      <c r="M74" s="129"/>
      <c r="N74" s="129"/>
      <c r="O74" s="129"/>
      <c r="P74" s="129"/>
      <c r="Q74" s="129"/>
      <c r="R74" s="129"/>
      <c r="S74" s="129"/>
      <c r="T74" s="129"/>
      <c r="U74" s="129"/>
    </row>
    <row r="75" spans="1:35" ht="15" customHeight="1"/>
    <row r="76" spans="1:35" ht="14.4" customHeight="1">
      <c r="A76" s="77" t="s">
        <v>211</v>
      </c>
      <c r="B76" s="77"/>
      <c r="C76" s="77"/>
      <c r="D76" s="77"/>
      <c r="E76" s="77"/>
      <c r="F76" s="77"/>
      <c r="G76" s="77"/>
      <c r="H76" s="77"/>
      <c r="I76" s="77"/>
      <c r="J76" s="77"/>
      <c r="L76" s="77" t="s">
        <v>79</v>
      </c>
      <c r="M76" s="77"/>
      <c r="N76" s="77"/>
      <c r="O76" s="77"/>
      <c r="P76" s="77"/>
      <c r="Q76" s="77"/>
      <c r="R76" s="77"/>
      <c r="S76" s="77"/>
      <c r="T76" s="77"/>
      <c r="U76" s="77"/>
    </row>
    <row r="77" spans="1:35" ht="14.4" customHeight="1">
      <c r="A77" s="9" t="s">
        <v>67</v>
      </c>
      <c r="I77" s="90" t="s">
        <v>34</v>
      </c>
      <c r="J77" s="90"/>
      <c r="L77" t="s">
        <v>77</v>
      </c>
      <c r="T77" s="31" t="s">
        <v>33</v>
      </c>
      <c r="U77" s="69" t="s">
        <v>158</v>
      </c>
    </row>
    <row r="78" spans="1:35" ht="14.4" customHeight="1">
      <c r="A78" s="16" t="s">
        <v>66</v>
      </c>
      <c r="L78" t="s">
        <v>75</v>
      </c>
      <c r="P78" s="78" t="s">
        <v>31</v>
      </c>
      <c r="Q78" s="78"/>
      <c r="R78" s="78"/>
      <c r="S78" s="78"/>
      <c r="T78" s="31" t="s">
        <v>48</v>
      </c>
      <c r="U78" s="69">
        <v>0</v>
      </c>
      <c r="W78" s="149" t="s">
        <v>261</v>
      </c>
      <c r="X78" s="150"/>
      <c r="Y78" s="151"/>
      <c r="Z78" s="149" t="s">
        <v>264</v>
      </c>
      <c r="AA78" s="150"/>
      <c r="AB78" s="151"/>
      <c r="AC78" s="149" t="s">
        <v>271</v>
      </c>
      <c r="AD78" s="151"/>
      <c r="AE78" s="149" t="s">
        <v>276</v>
      </c>
      <c r="AF78" s="151"/>
      <c r="AG78" s="68" t="s">
        <v>278</v>
      </c>
      <c r="AH78" s="68" t="s">
        <v>280</v>
      </c>
      <c r="AI78" s="52" t="s">
        <v>282</v>
      </c>
    </row>
    <row r="79" spans="1:35" ht="14.4" customHeight="1">
      <c r="A79" t="s">
        <v>64</v>
      </c>
      <c r="I79" s="90" t="s">
        <v>34</v>
      </c>
      <c r="J79" s="90"/>
      <c r="L79" t="s">
        <v>74</v>
      </c>
      <c r="Q79" s="79" t="s">
        <v>31</v>
      </c>
      <c r="R79" s="79"/>
      <c r="S79" s="79"/>
      <c r="T79" s="79"/>
      <c r="U79" s="79"/>
      <c r="W79" s="60" t="s">
        <v>31</v>
      </c>
      <c r="X79" s="48"/>
      <c r="Y79" s="48"/>
      <c r="Z79" s="60" t="s">
        <v>31</v>
      </c>
      <c r="AA79" s="48"/>
      <c r="AB79" s="49"/>
      <c r="AC79" s="60" t="s">
        <v>31</v>
      </c>
      <c r="AD79" s="49"/>
      <c r="AE79" s="60" t="s">
        <v>31</v>
      </c>
      <c r="AF79" s="49"/>
      <c r="AG79" s="66" t="s">
        <v>31</v>
      </c>
      <c r="AH79" s="60" t="s">
        <v>31</v>
      </c>
      <c r="AI79" s="66" t="s">
        <v>31</v>
      </c>
    </row>
    <row r="80" spans="1:35" ht="14.4" customHeight="1">
      <c r="A80" t="s">
        <v>63</v>
      </c>
      <c r="I80" s="90" t="s">
        <v>62</v>
      </c>
      <c r="J80" s="90"/>
      <c r="L80" t="s">
        <v>73</v>
      </c>
      <c r="T80" s="76" t="s">
        <v>213</v>
      </c>
      <c r="U80" s="76"/>
      <c r="W80" s="61" t="s">
        <v>262</v>
      </c>
      <c r="Z80" s="61" t="s">
        <v>265</v>
      </c>
      <c r="AB80" s="62"/>
      <c r="AC80" s="61" t="s">
        <v>272</v>
      </c>
      <c r="AD80" s="62"/>
      <c r="AE80" s="61" t="s">
        <v>60</v>
      </c>
      <c r="AF80" s="62"/>
      <c r="AG80" s="67" t="s">
        <v>279</v>
      </c>
      <c r="AH80" s="61" t="s">
        <v>281</v>
      </c>
      <c r="AI80" s="67" t="s">
        <v>279</v>
      </c>
    </row>
    <row r="81" spans="1:35" ht="14.4" customHeight="1">
      <c r="A81" s="16" t="s">
        <v>212</v>
      </c>
      <c r="L81" t="s">
        <v>71</v>
      </c>
      <c r="Q81" s="80" t="str">
        <f>IF(U77="-","None",F102)</f>
        <v>None</v>
      </c>
      <c r="R81" s="81"/>
      <c r="S81" s="81"/>
      <c r="T81" s="81"/>
      <c r="U81" s="82"/>
      <c r="W81" s="61" t="s">
        <v>263</v>
      </c>
      <c r="Z81" s="61" t="s">
        <v>266</v>
      </c>
      <c r="AB81" s="62"/>
      <c r="AC81" s="61" t="s">
        <v>273</v>
      </c>
      <c r="AD81" s="62"/>
      <c r="AE81" s="61" t="s">
        <v>277</v>
      </c>
      <c r="AF81" s="62"/>
      <c r="AG81" s="55"/>
      <c r="AH81" s="63"/>
      <c r="AI81" s="67" t="s">
        <v>277</v>
      </c>
    </row>
    <row r="82" spans="1:35" ht="14.4" customHeight="1">
      <c r="A82" t="s">
        <v>317</v>
      </c>
      <c r="E82" s="79" t="s">
        <v>31</v>
      </c>
      <c r="F82" s="79"/>
      <c r="G82" s="79"/>
      <c r="H82" s="79"/>
      <c r="I82" s="31" t="s">
        <v>48</v>
      </c>
      <c r="J82" s="50">
        <v>3</v>
      </c>
      <c r="L82" s="16" t="s">
        <v>70</v>
      </c>
      <c r="T82" s="83" t="s">
        <v>213</v>
      </c>
      <c r="U82" s="83"/>
      <c r="W82" s="63" t="s">
        <v>398</v>
      </c>
      <c r="X82" s="65"/>
      <c r="Y82" s="65"/>
      <c r="Z82" s="61" t="s">
        <v>267</v>
      </c>
      <c r="AB82" s="62"/>
      <c r="AC82" s="61" t="s">
        <v>222</v>
      </c>
      <c r="AD82" s="62"/>
      <c r="AE82" s="61" t="s">
        <v>51</v>
      </c>
      <c r="AF82" s="62"/>
      <c r="AI82" s="55"/>
    </row>
    <row r="83" spans="1:35" ht="14.4" customHeight="1">
      <c r="A83" t="s">
        <v>318</v>
      </c>
      <c r="E83" s="79" t="s">
        <v>31</v>
      </c>
      <c r="F83" s="111"/>
      <c r="G83" s="111"/>
      <c r="H83" s="111"/>
      <c r="I83" s="31" t="s">
        <v>48</v>
      </c>
      <c r="J83" s="50">
        <v>0</v>
      </c>
      <c r="L83" s="16" t="s">
        <v>69</v>
      </c>
      <c r="T83" s="81" t="s">
        <v>213</v>
      </c>
      <c r="U83" s="81"/>
      <c r="Z83" s="61" t="s">
        <v>268</v>
      </c>
      <c r="AB83" s="62"/>
      <c r="AC83" s="61" t="s">
        <v>274</v>
      </c>
      <c r="AD83" s="62"/>
      <c r="AE83" s="63"/>
      <c r="AF83" s="64"/>
    </row>
    <row r="84" spans="1:35" ht="14.4" customHeight="1">
      <c r="A84" t="s">
        <v>319</v>
      </c>
      <c r="F84" s="79" t="s">
        <v>31</v>
      </c>
      <c r="G84" s="79"/>
      <c r="H84" s="79"/>
      <c r="I84" s="79"/>
      <c r="J84" s="79"/>
      <c r="L84" t="s">
        <v>336</v>
      </c>
      <c r="T84" s="76" t="s">
        <v>213</v>
      </c>
      <c r="U84" s="76"/>
      <c r="W84" s="149" t="s">
        <v>299</v>
      </c>
      <c r="X84" s="150"/>
      <c r="Y84" s="151"/>
      <c r="Z84" s="61" t="s">
        <v>269</v>
      </c>
      <c r="AB84" s="62"/>
      <c r="AC84" s="61" t="s">
        <v>275</v>
      </c>
      <c r="AD84" s="62"/>
    </row>
    <row r="85" spans="1:35" ht="14.4" customHeight="1">
      <c r="A85" t="s">
        <v>320</v>
      </c>
      <c r="I85" s="81" t="s">
        <v>213</v>
      </c>
      <c r="J85" s="81"/>
      <c r="L85" t="s">
        <v>337</v>
      </c>
      <c r="Q85" s="80" t="s">
        <v>31</v>
      </c>
      <c r="R85" s="81"/>
      <c r="S85" s="81"/>
      <c r="T85" s="81"/>
      <c r="U85" s="82"/>
      <c r="W85" s="60" t="s">
        <v>213</v>
      </c>
      <c r="X85" s="48"/>
      <c r="Y85" s="49"/>
      <c r="Z85" s="61" t="s">
        <v>270</v>
      </c>
      <c r="AB85" s="62"/>
      <c r="AC85" s="63"/>
      <c r="AD85" s="64"/>
    </row>
    <row r="86" spans="1:35" ht="14.4" customHeight="1">
      <c r="L86" s="16"/>
      <c r="W86" s="61" t="s">
        <v>109</v>
      </c>
      <c r="Y86" s="62"/>
      <c r="Z86" s="61" t="s">
        <v>395</v>
      </c>
      <c r="AB86" s="62"/>
    </row>
    <row r="87" spans="1:35" ht="14.4" customHeight="1">
      <c r="A87" s="77" t="s">
        <v>54</v>
      </c>
      <c r="B87" s="77"/>
      <c r="C87" s="77"/>
      <c r="D87" s="77"/>
      <c r="E87" s="77"/>
      <c r="F87" s="77"/>
      <c r="G87" s="77"/>
      <c r="H87" s="77"/>
      <c r="I87" s="77"/>
      <c r="J87" s="77"/>
      <c r="L87" s="77" t="s">
        <v>65</v>
      </c>
      <c r="M87" s="77"/>
      <c r="N87" s="77"/>
      <c r="O87" s="77"/>
      <c r="P87" s="77"/>
      <c r="Q87" s="77"/>
      <c r="R87" s="77"/>
      <c r="S87" s="77"/>
      <c r="T87" s="77"/>
      <c r="U87" s="77"/>
      <c r="W87" s="63"/>
      <c r="X87" s="65"/>
      <c r="Y87" s="64"/>
      <c r="Z87" s="61" t="s">
        <v>51</v>
      </c>
      <c r="AA87" s="65"/>
      <c r="AB87" s="64"/>
    </row>
    <row r="88" spans="1:35" ht="14.4" customHeight="1">
      <c r="A88" t="s">
        <v>321</v>
      </c>
      <c r="E88" s="79" t="s">
        <v>31</v>
      </c>
      <c r="F88" s="79"/>
      <c r="G88" s="79"/>
      <c r="H88" s="79"/>
      <c r="I88" s="31" t="s">
        <v>48</v>
      </c>
      <c r="J88" s="50">
        <v>0</v>
      </c>
    </row>
    <row r="89" spans="1:35" ht="14.4" customHeight="1">
      <c r="A89" t="s">
        <v>322</v>
      </c>
      <c r="E89" s="79" t="s">
        <v>31</v>
      </c>
      <c r="F89" s="79"/>
      <c r="G89" s="79"/>
      <c r="H89" s="79"/>
      <c r="I89" s="31" t="s">
        <v>48</v>
      </c>
      <c r="J89" s="50">
        <v>0</v>
      </c>
      <c r="L89" s="16" t="s">
        <v>57</v>
      </c>
      <c r="M89" s="84" t="s">
        <v>3</v>
      </c>
      <c r="N89" s="84"/>
      <c r="O89" s="84"/>
      <c r="P89" s="84"/>
      <c r="Q89" s="84"/>
      <c r="R89" s="84"/>
      <c r="S89" s="84"/>
      <c r="T89" s="84"/>
      <c r="U89" s="84"/>
      <c r="W89" s="146" t="s">
        <v>283</v>
      </c>
      <c r="X89" s="147"/>
      <c r="Y89" s="148"/>
      <c r="Z89" s="149" t="s">
        <v>293</v>
      </c>
      <c r="AA89" s="151"/>
      <c r="AB89" s="149" t="s">
        <v>297</v>
      </c>
      <c r="AC89" s="151"/>
      <c r="AD89" s="149" t="s">
        <v>298</v>
      </c>
      <c r="AE89" s="151"/>
      <c r="AF89" s="52" t="s">
        <v>300</v>
      </c>
    </row>
    <row r="90" spans="1:35" ht="14.4" customHeight="1">
      <c r="A90" t="s">
        <v>323</v>
      </c>
      <c r="E90" s="79" t="s">
        <v>31</v>
      </c>
      <c r="F90" s="79"/>
      <c r="G90" s="79"/>
      <c r="H90" s="79"/>
      <c r="I90" s="31" t="s">
        <v>48</v>
      </c>
      <c r="J90" s="50">
        <v>0</v>
      </c>
      <c r="W90" s="60" t="s">
        <v>31</v>
      </c>
      <c r="X90" s="48"/>
      <c r="Y90" s="49"/>
      <c r="Z90" s="60" t="s">
        <v>31</v>
      </c>
      <c r="AA90" s="49"/>
      <c r="AB90" s="60" t="s">
        <v>108</v>
      </c>
      <c r="AC90" s="49"/>
      <c r="AD90" s="60" t="s">
        <v>31</v>
      </c>
      <c r="AE90" s="48"/>
      <c r="AF90" s="66" t="s">
        <v>31</v>
      </c>
    </row>
    <row r="91" spans="1:35" ht="14.4" customHeight="1">
      <c r="A91" t="s">
        <v>324</v>
      </c>
      <c r="E91" s="79" t="s">
        <v>31</v>
      </c>
      <c r="F91" s="79"/>
      <c r="G91" s="79"/>
      <c r="H91" s="79"/>
      <c r="I91" s="31" t="s">
        <v>48</v>
      </c>
      <c r="J91" s="50">
        <v>0</v>
      </c>
      <c r="L91" s="16" t="s">
        <v>53</v>
      </c>
      <c r="M91" s="84" t="s">
        <v>3</v>
      </c>
      <c r="N91" s="84"/>
      <c r="O91" s="84"/>
      <c r="P91" s="84"/>
      <c r="Q91" s="84"/>
      <c r="R91" s="84"/>
      <c r="S91" s="84"/>
      <c r="T91" s="84"/>
      <c r="U91" s="84"/>
      <c r="W91" s="61" t="s">
        <v>284</v>
      </c>
      <c r="Y91" s="62"/>
      <c r="Z91" s="61" t="s">
        <v>294</v>
      </c>
      <c r="AA91" s="62"/>
      <c r="AB91" s="61" t="s">
        <v>100</v>
      </c>
      <c r="AC91" s="62"/>
      <c r="AD91" s="61" t="s">
        <v>95</v>
      </c>
      <c r="AF91" s="67" t="s">
        <v>95</v>
      </c>
    </row>
    <row r="92" spans="1:35" ht="14.4" customHeight="1">
      <c r="A92" t="s">
        <v>325</v>
      </c>
      <c r="E92" s="79" t="s">
        <v>31</v>
      </c>
      <c r="F92" s="79"/>
      <c r="G92" s="79"/>
      <c r="H92" s="79"/>
      <c r="I92" s="31" t="s">
        <v>48</v>
      </c>
      <c r="J92" s="50">
        <v>0</v>
      </c>
      <c r="W92" s="61" t="s">
        <v>285</v>
      </c>
      <c r="Y92" s="62"/>
      <c r="Z92" s="61" t="s">
        <v>295</v>
      </c>
      <c r="AA92" s="62"/>
      <c r="AB92" s="61" t="s">
        <v>215</v>
      </c>
      <c r="AC92" s="62"/>
      <c r="AD92" s="61" t="s">
        <v>58</v>
      </c>
      <c r="AF92" s="67" t="s">
        <v>58</v>
      </c>
    </row>
    <row r="93" spans="1:35" ht="14.4" customHeight="1">
      <c r="A93" t="s">
        <v>326</v>
      </c>
      <c r="E93" s="79" t="s">
        <v>31</v>
      </c>
      <c r="F93" s="79"/>
      <c r="G93" s="79"/>
      <c r="H93" s="79"/>
      <c r="I93" s="31" t="s">
        <v>48</v>
      </c>
      <c r="J93" s="50">
        <v>0</v>
      </c>
      <c r="L93" s="16" t="s">
        <v>49</v>
      </c>
      <c r="M93" s="84" t="s">
        <v>3</v>
      </c>
      <c r="N93" s="84"/>
      <c r="O93" s="84"/>
      <c r="P93" s="84"/>
      <c r="Q93" s="84"/>
      <c r="R93" s="84"/>
      <c r="S93" s="84"/>
      <c r="T93" s="84"/>
      <c r="U93" s="84"/>
      <c r="W93" s="61" t="s">
        <v>286</v>
      </c>
      <c r="Y93" s="62"/>
      <c r="Z93" s="61" t="s">
        <v>296</v>
      </c>
      <c r="AA93" s="62"/>
      <c r="AB93" s="61" t="s">
        <v>97</v>
      </c>
      <c r="AC93" s="62"/>
      <c r="AD93" s="61" t="s">
        <v>216</v>
      </c>
      <c r="AF93" s="67" t="s">
        <v>255</v>
      </c>
    </row>
    <row r="94" spans="1:35" ht="14.4" customHeight="1">
      <c r="W94" s="61" t="s">
        <v>287</v>
      </c>
      <c r="Y94" s="62"/>
      <c r="Z94" s="63"/>
      <c r="AA94" s="64"/>
      <c r="AB94" s="63"/>
      <c r="AC94" s="64"/>
      <c r="AD94" s="63"/>
      <c r="AE94" s="65"/>
      <c r="AF94" s="67" t="s">
        <v>89</v>
      </c>
    </row>
    <row r="95" spans="1:35" ht="14.4" customHeight="1">
      <c r="A95" s="77" t="s">
        <v>46</v>
      </c>
      <c r="B95" s="77"/>
      <c r="C95" s="77"/>
      <c r="D95" s="77"/>
      <c r="E95" s="77"/>
      <c r="F95" s="77"/>
      <c r="G95" s="77"/>
      <c r="H95" s="77"/>
      <c r="I95" s="77"/>
      <c r="J95" s="77"/>
      <c r="L95" s="16" t="s">
        <v>47</v>
      </c>
      <c r="M95" s="84" t="s">
        <v>3</v>
      </c>
      <c r="N95" s="84"/>
      <c r="O95" s="84"/>
      <c r="P95" s="84"/>
      <c r="Q95" s="84"/>
      <c r="R95" s="84"/>
      <c r="S95" s="84"/>
      <c r="T95" s="84"/>
      <c r="U95" s="84"/>
      <c r="W95" s="61" t="s">
        <v>288</v>
      </c>
      <c r="Y95" s="62"/>
      <c r="AF95" s="55"/>
    </row>
    <row r="96" spans="1:35" ht="14.4" customHeight="1">
      <c r="A96" t="s">
        <v>327</v>
      </c>
      <c r="E96" s="79" t="s">
        <v>31</v>
      </c>
      <c r="F96" s="79"/>
      <c r="G96" s="79"/>
      <c r="H96" s="79"/>
      <c r="I96" s="31" t="s">
        <v>48</v>
      </c>
      <c r="J96" s="50">
        <v>0</v>
      </c>
      <c r="W96" s="61" t="s">
        <v>289</v>
      </c>
      <c r="Y96" s="62"/>
    </row>
    <row r="97" spans="1:25" ht="14.4" customHeight="1">
      <c r="A97" t="s">
        <v>328</v>
      </c>
      <c r="E97" s="79" t="s">
        <v>31</v>
      </c>
      <c r="F97" s="79"/>
      <c r="G97" s="79"/>
      <c r="H97" s="79"/>
      <c r="I97" s="31" t="s">
        <v>48</v>
      </c>
      <c r="J97" s="50">
        <v>0</v>
      </c>
      <c r="L97" s="16" t="s">
        <v>43</v>
      </c>
      <c r="M97" s="84" t="s">
        <v>3</v>
      </c>
      <c r="N97" s="84"/>
      <c r="O97" s="84"/>
      <c r="P97" s="84"/>
      <c r="Q97" s="84"/>
      <c r="R97" s="84"/>
      <c r="S97" s="84"/>
      <c r="T97" s="84"/>
      <c r="U97" s="84"/>
      <c r="W97" s="61" t="s">
        <v>290</v>
      </c>
      <c r="Y97" s="62"/>
    </row>
    <row r="98" spans="1:25" ht="14.4" customHeight="1">
      <c r="A98" t="s">
        <v>329</v>
      </c>
      <c r="E98" s="79" t="s">
        <v>31</v>
      </c>
      <c r="F98" s="79"/>
      <c r="G98" s="79"/>
      <c r="H98" s="79"/>
      <c r="I98" s="31" t="s">
        <v>33</v>
      </c>
      <c r="J98" s="50">
        <v>0</v>
      </c>
      <c r="W98" s="61" t="s">
        <v>291</v>
      </c>
      <c r="Y98" s="62"/>
    </row>
    <row r="99" spans="1:25" ht="14.4" customHeight="1">
      <c r="A99" t="s">
        <v>330</v>
      </c>
      <c r="E99" s="79" t="s">
        <v>31</v>
      </c>
      <c r="F99" s="79"/>
      <c r="G99" s="79"/>
      <c r="H99" s="79"/>
      <c r="I99" s="31" t="s">
        <v>33</v>
      </c>
      <c r="J99" s="50">
        <v>0</v>
      </c>
      <c r="L99" s="16" t="s">
        <v>37</v>
      </c>
      <c r="M99" s="84" t="s">
        <v>3</v>
      </c>
      <c r="N99" s="84"/>
      <c r="O99" s="84"/>
      <c r="P99" s="84"/>
      <c r="Q99" s="84"/>
      <c r="R99" s="84"/>
      <c r="S99" s="84"/>
      <c r="T99" s="84"/>
      <c r="U99" s="84"/>
      <c r="W99" s="61" t="s">
        <v>292</v>
      </c>
      <c r="Y99" s="62"/>
    </row>
    <row r="100" spans="1:25" ht="14.4" customHeight="1">
      <c r="W100" s="61" t="s">
        <v>51</v>
      </c>
      <c r="Y100" s="62"/>
    </row>
    <row r="101" spans="1:25" ht="14.4" customHeight="1">
      <c r="A101" s="77" t="s">
        <v>214</v>
      </c>
      <c r="B101" s="77"/>
      <c r="C101" s="77"/>
      <c r="D101" s="77"/>
      <c r="E101" s="77"/>
      <c r="F101" s="77"/>
      <c r="G101" s="77"/>
      <c r="H101" s="77"/>
      <c r="I101" s="77"/>
      <c r="J101" s="77"/>
      <c r="L101" s="16" t="s">
        <v>32</v>
      </c>
      <c r="M101" s="84" t="s">
        <v>3</v>
      </c>
      <c r="N101" s="84"/>
      <c r="O101" s="84"/>
      <c r="P101" s="84"/>
      <c r="Q101" s="84"/>
      <c r="R101" s="84"/>
      <c r="S101" s="84"/>
      <c r="T101" s="84"/>
      <c r="U101" s="84"/>
      <c r="W101" s="63"/>
      <c r="X101" s="65"/>
      <c r="Y101" s="64"/>
    </row>
    <row r="102" spans="1:25" ht="14.4" customHeight="1">
      <c r="A102" t="s">
        <v>331</v>
      </c>
      <c r="F102" s="80" t="s">
        <v>215</v>
      </c>
      <c r="G102" s="81"/>
      <c r="H102" s="81"/>
      <c r="I102" s="81"/>
      <c r="J102" s="82"/>
      <c r="W102" t="s">
        <v>108</v>
      </c>
    </row>
    <row r="103" spans="1:25" ht="14.4" customHeight="1">
      <c r="A103" t="s">
        <v>332</v>
      </c>
      <c r="I103" s="90" t="s">
        <v>34</v>
      </c>
      <c r="J103" s="90"/>
      <c r="L103" s="16" t="s">
        <v>30</v>
      </c>
      <c r="M103" s="84" t="s">
        <v>3</v>
      </c>
      <c r="N103" s="84"/>
      <c r="O103" s="84"/>
      <c r="P103" s="84"/>
      <c r="Q103" s="84"/>
      <c r="R103" s="84"/>
      <c r="S103" s="84"/>
      <c r="T103" s="84"/>
      <c r="U103" s="84"/>
      <c r="W103" t="s">
        <v>100</v>
      </c>
    </row>
    <row r="104" spans="1:25" ht="14.4" customHeight="1">
      <c r="A104" t="s">
        <v>333</v>
      </c>
      <c r="I104" s="90" t="s">
        <v>62</v>
      </c>
      <c r="J104" s="90"/>
      <c r="W104" t="s">
        <v>215</v>
      </c>
    </row>
    <row r="105" spans="1:25" ht="14.4" customHeight="1">
      <c r="A105" t="s">
        <v>334</v>
      </c>
      <c r="I105" s="90" t="s">
        <v>34</v>
      </c>
      <c r="J105" s="90"/>
      <c r="L105" s="16" t="s">
        <v>301</v>
      </c>
      <c r="M105" s="84" t="s">
        <v>3</v>
      </c>
      <c r="N105" s="84"/>
      <c r="O105" s="84"/>
      <c r="P105" s="84"/>
      <c r="Q105" s="84"/>
      <c r="R105" s="84"/>
      <c r="S105" s="84"/>
      <c r="T105" s="84"/>
      <c r="U105" s="84"/>
      <c r="W105" t="s">
        <v>97</v>
      </c>
    </row>
    <row r="106" spans="1:25" ht="14.4" customHeight="1">
      <c r="A106" t="s">
        <v>335</v>
      </c>
      <c r="I106" s="83" t="str">
        <f>IF(A1=W3,W85,W86)</f>
        <v>YES</v>
      </c>
      <c r="J106" s="83"/>
    </row>
    <row r="107" spans="1:25" ht="14.4" customHeight="1">
      <c r="A107" t="s">
        <v>82</v>
      </c>
      <c r="I107" s="76" t="s">
        <v>81</v>
      </c>
      <c r="J107" s="76"/>
      <c r="L107" s="16" t="s">
        <v>338</v>
      </c>
      <c r="M107" s="84" t="s">
        <v>3</v>
      </c>
      <c r="N107" s="84"/>
      <c r="O107" s="84"/>
      <c r="P107" s="84"/>
      <c r="Q107" s="84"/>
      <c r="R107" s="84"/>
      <c r="S107" s="84"/>
      <c r="T107" s="84"/>
      <c r="U107" s="84"/>
    </row>
    <row r="108" spans="1:25" ht="14.4" customHeight="1">
      <c r="I108" s="6"/>
      <c r="J108" s="6"/>
      <c r="L108" s="16"/>
      <c r="M108" s="6"/>
      <c r="N108" s="6"/>
      <c r="O108" s="6"/>
      <c r="P108" s="6"/>
      <c r="Q108" s="6"/>
      <c r="R108" s="6"/>
      <c r="S108" s="6"/>
      <c r="T108" s="6"/>
      <c r="U108" s="6"/>
    </row>
    <row r="109" spans="1:25" ht="29.4" customHeight="1">
      <c r="A109" s="92" t="s">
        <v>224</v>
      </c>
      <c r="B109" s="101"/>
      <c r="C109" s="105"/>
      <c r="D109" s="106"/>
      <c r="E109" s="106"/>
      <c r="F109" s="106"/>
      <c r="G109" s="107"/>
      <c r="H109" s="100" t="s">
        <v>226</v>
      </c>
      <c r="I109" s="92"/>
      <c r="J109" s="101"/>
      <c r="K109" s="105"/>
      <c r="L109" s="106"/>
      <c r="M109" s="106"/>
      <c r="N109" s="106"/>
      <c r="O109" s="106"/>
      <c r="P109" s="106"/>
      <c r="Q109" s="107"/>
      <c r="R109" s="28" t="s">
        <v>217</v>
      </c>
      <c r="S109" s="105"/>
      <c r="T109" s="106"/>
      <c r="U109" s="107"/>
    </row>
    <row r="110" spans="1:25" ht="14.4" customHeight="1">
      <c r="I110" s="6"/>
      <c r="J110" s="6"/>
      <c r="L110" s="16"/>
      <c r="M110" s="6"/>
      <c r="N110" s="6"/>
      <c r="O110" s="6"/>
      <c r="P110" s="6"/>
      <c r="Q110" s="6"/>
      <c r="R110" s="6"/>
      <c r="S110" s="6"/>
      <c r="T110" s="6"/>
      <c r="U110" s="6"/>
    </row>
    <row r="111" spans="1:25" ht="29.4" customHeight="1">
      <c r="A111" s="92" t="s">
        <v>225</v>
      </c>
      <c r="B111" s="101"/>
      <c r="C111" s="97"/>
      <c r="D111" s="98"/>
      <c r="E111" s="98"/>
      <c r="F111" s="98"/>
      <c r="G111" s="99"/>
      <c r="H111" s="100" t="s">
        <v>227</v>
      </c>
      <c r="I111" s="92"/>
      <c r="J111" s="101"/>
      <c r="K111" s="97"/>
      <c r="L111" s="98"/>
      <c r="M111" s="98"/>
      <c r="N111" s="98"/>
      <c r="O111" s="98"/>
      <c r="P111" s="98"/>
      <c r="Q111" s="99"/>
      <c r="R111" s="28" t="s">
        <v>217</v>
      </c>
      <c r="S111" s="97"/>
      <c r="T111" s="98"/>
      <c r="U111" s="99"/>
    </row>
    <row r="112" spans="1:25" ht="14.4" customHeight="1">
      <c r="I112" s="6"/>
      <c r="J112" s="6"/>
      <c r="L112" s="16"/>
      <c r="M112" s="6"/>
      <c r="N112" s="6"/>
      <c r="O112" s="6"/>
      <c r="P112" s="6"/>
      <c r="Q112" s="6"/>
      <c r="R112" s="6"/>
      <c r="S112" s="6"/>
      <c r="T112" s="6"/>
      <c r="U112" s="6"/>
    </row>
    <row r="113" spans="1:21" ht="29.4" customHeight="1">
      <c r="A113" s="92" t="s">
        <v>225</v>
      </c>
      <c r="B113" s="101"/>
      <c r="C113" s="97"/>
      <c r="D113" s="98"/>
      <c r="E113" s="98"/>
      <c r="F113" s="98"/>
      <c r="G113" s="99"/>
      <c r="H113" s="100" t="s">
        <v>227</v>
      </c>
      <c r="I113" s="92"/>
      <c r="J113" s="101"/>
      <c r="K113" s="97"/>
      <c r="L113" s="98"/>
      <c r="M113" s="98"/>
      <c r="N113" s="98"/>
      <c r="O113" s="98"/>
      <c r="P113" s="98"/>
      <c r="Q113" s="99"/>
      <c r="R113" s="28" t="s">
        <v>217</v>
      </c>
      <c r="S113" s="97"/>
      <c r="T113" s="98"/>
      <c r="U113" s="99"/>
    </row>
    <row r="114" spans="1:21" ht="140.4" customHeight="1">
      <c r="A114" s="103" t="s">
        <v>397</v>
      </c>
      <c r="B114" s="103"/>
      <c r="C114" s="103"/>
      <c r="D114" s="103"/>
      <c r="E114" s="103"/>
      <c r="F114" s="103"/>
      <c r="G114" s="103"/>
      <c r="H114" s="103"/>
      <c r="I114" s="103"/>
      <c r="J114" s="103"/>
      <c r="K114" s="103"/>
      <c r="L114" s="103"/>
      <c r="M114" s="103"/>
      <c r="N114" s="103"/>
      <c r="O114" s="103"/>
      <c r="P114" s="103"/>
      <c r="Q114" s="103"/>
      <c r="R114" s="103"/>
      <c r="S114" s="103"/>
      <c r="T114" s="103"/>
      <c r="U114" s="103"/>
    </row>
    <row r="115" spans="1:21" ht="14.4" customHeight="1">
      <c r="A115" s="35"/>
      <c r="B115" s="35"/>
      <c r="C115" s="35"/>
      <c r="D115" s="35"/>
      <c r="E115" s="35"/>
      <c r="F115" s="35"/>
      <c r="G115" s="35"/>
      <c r="H115" s="35"/>
      <c r="I115" s="35"/>
      <c r="J115" s="35"/>
      <c r="K115" s="35"/>
      <c r="L115" s="35"/>
      <c r="M115" s="35"/>
      <c r="N115" s="35"/>
      <c r="O115" s="35"/>
      <c r="P115" s="35"/>
      <c r="Q115" s="35"/>
      <c r="R115" s="35"/>
      <c r="S115" s="35"/>
      <c r="T115" s="35"/>
      <c r="U115" s="35"/>
    </row>
    <row r="116" spans="1:21" ht="33.9" customHeight="1">
      <c r="A116" s="102" t="s">
        <v>218</v>
      </c>
      <c r="B116" s="102"/>
      <c r="C116" s="102"/>
      <c r="D116" s="102"/>
      <c r="E116" s="102"/>
      <c r="F116" s="102"/>
      <c r="G116" s="102"/>
      <c r="H116" s="102"/>
      <c r="I116" s="102"/>
      <c r="J116" s="102"/>
      <c r="K116" s="102"/>
      <c r="L116" s="102"/>
      <c r="M116" s="102"/>
      <c r="N116" s="102"/>
      <c r="O116" s="102"/>
      <c r="P116" s="102"/>
      <c r="Q116" s="102"/>
      <c r="R116" s="102"/>
      <c r="S116" s="102"/>
      <c r="T116" s="102"/>
      <c r="U116" s="102"/>
    </row>
    <row r="117" spans="1:21" ht="33.9" customHeight="1">
      <c r="A117" s="36"/>
      <c r="B117" s="36"/>
      <c r="C117" s="36"/>
      <c r="D117" s="36"/>
      <c r="E117" s="36"/>
      <c r="F117" s="36"/>
      <c r="G117" s="36"/>
      <c r="H117" s="36"/>
      <c r="I117" s="36"/>
      <c r="J117" s="36"/>
      <c r="K117" s="36"/>
      <c r="L117" s="36"/>
      <c r="M117" s="36"/>
      <c r="N117" s="36"/>
      <c r="O117" s="36"/>
      <c r="P117" s="36"/>
      <c r="Q117" s="36"/>
      <c r="R117" s="36"/>
      <c r="S117" s="36"/>
      <c r="T117" s="36"/>
      <c r="U117" s="36"/>
    </row>
    <row r="118" spans="1:21" ht="14.4" customHeight="1">
      <c r="A118" s="85" t="s">
        <v>368</v>
      </c>
      <c r="B118" s="85"/>
      <c r="C118" s="85"/>
      <c r="D118" s="85"/>
      <c r="E118" s="85"/>
      <c r="F118" s="85"/>
      <c r="G118" s="85"/>
      <c r="H118" s="85"/>
      <c r="I118" s="85"/>
      <c r="J118" s="85"/>
      <c r="K118" s="85"/>
      <c r="L118" s="85"/>
      <c r="M118" s="85"/>
      <c r="N118" s="85"/>
      <c r="O118" s="85"/>
      <c r="P118" s="85"/>
      <c r="Q118" s="85"/>
      <c r="R118" s="85"/>
      <c r="S118" s="85"/>
      <c r="T118" s="85"/>
      <c r="U118" s="85"/>
    </row>
    <row r="119" spans="1:21" ht="18.600000000000001" customHeight="1">
      <c r="A119" s="2"/>
      <c r="B119" s="6"/>
      <c r="C119" s="6"/>
      <c r="D119" s="6"/>
      <c r="E119" s="6"/>
      <c r="F119" s="6"/>
      <c r="G119" s="6"/>
      <c r="H119" s="6"/>
      <c r="I119" s="6"/>
      <c r="J119" s="6"/>
      <c r="K119" s="92" t="s">
        <v>157</v>
      </c>
      <c r="L119" s="92"/>
      <c r="M119" s="92"/>
      <c r="N119" s="101"/>
      <c r="O119" s="108">
        <f>I3</f>
        <v>0</v>
      </c>
      <c r="P119" s="109"/>
      <c r="Q119" s="109"/>
      <c r="R119" s="109"/>
      <c r="S119" s="109"/>
      <c r="T119" s="109"/>
      <c r="U119" s="110"/>
    </row>
    <row r="120" spans="1:21" ht="9.9" customHeight="1">
      <c r="A120" s="2"/>
      <c r="B120" s="6"/>
      <c r="C120" s="6"/>
      <c r="D120" s="6"/>
      <c r="E120" s="6"/>
      <c r="F120" s="6"/>
      <c r="G120" s="6"/>
      <c r="H120" s="6"/>
      <c r="I120" s="6"/>
      <c r="J120" s="6"/>
      <c r="K120" s="6"/>
      <c r="L120" s="6"/>
      <c r="M120" s="6"/>
      <c r="N120" s="6"/>
      <c r="O120" s="6"/>
      <c r="P120" s="6"/>
      <c r="Q120" s="6"/>
      <c r="R120" s="6"/>
      <c r="S120" s="6"/>
      <c r="T120" s="6"/>
      <c r="U120" s="6"/>
    </row>
    <row r="121" spans="1:21">
      <c r="A121" s="95" t="s">
        <v>29</v>
      </c>
      <c r="B121" s="95"/>
      <c r="C121" s="95"/>
      <c r="D121" s="95"/>
      <c r="E121" s="95"/>
      <c r="F121" s="95"/>
      <c r="G121" s="95"/>
      <c r="H121" s="95"/>
      <c r="I121" s="95"/>
      <c r="J121" s="95"/>
      <c r="K121" s="95"/>
      <c r="L121" s="95"/>
      <c r="M121" s="95"/>
      <c r="N121" s="95"/>
      <c r="O121" s="95"/>
      <c r="P121" s="95"/>
      <c r="Q121" s="95"/>
      <c r="R121" s="95"/>
      <c r="S121" s="95"/>
      <c r="T121" s="95"/>
      <c r="U121" s="95"/>
    </row>
    <row r="122" spans="1:21" ht="45" customHeight="1">
      <c r="A122" s="104" t="s">
        <v>28</v>
      </c>
      <c r="B122" s="104"/>
      <c r="C122" s="104"/>
      <c r="D122" s="104"/>
      <c r="E122" s="104"/>
      <c r="F122" s="104"/>
      <c r="G122" s="104"/>
      <c r="H122" s="104"/>
      <c r="I122" s="104"/>
      <c r="J122" s="104"/>
      <c r="K122" s="104"/>
      <c r="L122" s="104"/>
      <c r="M122" s="104"/>
      <c r="N122" s="104"/>
      <c r="O122" s="104"/>
      <c r="P122" s="104"/>
      <c r="Q122" s="104"/>
      <c r="R122" s="104"/>
      <c r="S122" s="104"/>
      <c r="T122" s="104"/>
      <c r="U122" s="104"/>
    </row>
    <row r="123" spans="1:21" ht="30" customHeight="1">
      <c r="A123" s="96" t="s">
        <v>27</v>
      </c>
      <c r="B123" s="96"/>
      <c r="C123" s="96"/>
      <c r="D123" s="96"/>
      <c r="E123" s="96"/>
      <c r="F123" s="96"/>
      <c r="G123" s="96"/>
      <c r="H123" s="96"/>
      <c r="I123" s="96"/>
      <c r="J123" s="96"/>
      <c r="K123" s="96"/>
      <c r="L123" s="96"/>
      <c r="M123" s="96"/>
      <c r="N123" s="96"/>
      <c r="O123" s="96"/>
      <c r="P123" s="96"/>
      <c r="Q123" s="96"/>
      <c r="R123" s="96"/>
      <c r="S123" s="96"/>
      <c r="T123" s="96"/>
      <c r="U123" s="96"/>
    </row>
    <row r="124" spans="1:21" ht="30" customHeight="1">
      <c r="A124" s="96" t="s">
        <v>112</v>
      </c>
      <c r="B124" s="96"/>
      <c r="C124" s="96"/>
      <c r="D124" s="96"/>
      <c r="E124" s="96"/>
      <c r="F124" s="96"/>
      <c r="G124" s="96"/>
      <c r="H124" s="96"/>
      <c r="I124" s="96"/>
      <c r="J124" s="96"/>
      <c r="K124" s="96"/>
      <c r="L124" s="96"/>
      <c r="M124" s="96"/>
      <c r="N124" s="96"/>
      <c r="O124" s="96"/>
      <c r="P124" s="96"/>
      <c r="Q124" s="96"/>
      <c r="R124" s="96"/>
      <c r="S124" s="96"/>
      <c r="T124" s="96"/>
      <c r="U124" s="96"/>
    </row>
    <row r="125" spans="1:21" ht="56.1" customHeight="1">
      <c r="A125" s="96" t="s">
        <v>26</v>
      </c>
      <c r="B125" s="96"/>
      <c r="C125" s="96"/>
      <c r="D125" s="96"/>
      <c r="E125" s="96"/>
      <c r="F125" s="96"/>
      <c r="G125" s="96"/>
      <c r="H125" s="96"/>
      <c r="I125" s="96"/>
      <c r="J125" s="96"/>
      <c r="K125" s="96"/>
      <c r="L125" s="96"/>
      <c r="M125" s="96"/>
      <c r="N125" s="96"/>
      <c r="O125" s="96"/>
      <c r="P125" s="96"/>
      <c r="Q125" s="96"/>
      <c r="R125" s="96"/>
      <c r="S125" s="96"/>
      <c r="T125" s="96"/>
      <c r="U125" s="96"/>
    </row>
    <row r="126" spans="1:21" ht="48.9" customHeight="1">
      <c r="A126" s="96" t="s">
        <v>113</v>
      </c>
      <c r="B126" s="96"/>
      <c r="C126" s="96"/>
      <c r="D126" s="96"/>
      <c r="E126" s="96"/>
      <c r="F126" s="96"/>
      <c r="G126" s="96"/>
      <c r="H126" s="96"/>
      <c r="I126" s="96"/>
      <c r="J126" s="96"/>
      <c r="K126" s="96"/>
      <c r="L126" s="96"/>
      <c r="M126" s="96"/>
      <c r="N126" s="96"/>
      <c r="O126" s="96"/>
      <c r="P126" s="96"/>
      <c r="Q126" s="96"/>
      <c r="R126" s="96"/>
      <c r="S126" s="96"/>
      <c r="T126" s="96"/>
      <c r="U126" s="96"/>
    </row>
    <row r="127" spans="1:21" ht="30" customHeight="1">
      <c r="A127" s="96" t="s">
        <v>25</v>
      </c>
      <c r="B127" s="96"/>
      <c r="C127" s="96"/>
      <c r="D127" s="96"/>
      <c r="E127" s="96"/>
      <c r="F127" s="96"/>
      <c r="G127" s="96"/>
      <c r="H127" s="96"/>
      <c r="I127" s="96"/>
      <c r="J127" s="96"/>
      <c r="K127" s="96"/>
      <c r="L127" s="96"/>
      <c r="M127" s="96"/>
      <c r="N127" s="96"/>
      <c r="O127" s="96"/>
      <c r="P127" s="96"/>
      <c r="Q127" s="96"/>
      <c r="R127" s="96"/>
      <c r="S127" s="96"/>
      <c r="T127" s="96"/>
      <c r="U127" s="96"/>
    </row>
    <row r="128" spans="1:21" ht="26.1" customHeight="1">
      <c r="A128" s="96" t="s">
        <v>24</v>
      </c>
      <c r="B128" s="96"/>
      <c r="C128" s="96"/>
      <c r="D128" s="96"/>
      <c r="E128" s="96"/>
      <c r="F128" s="96"/>
      <c r="G128" s="96"/>
      <c r="H128" s="96"/>
      <c r="I128" s="96"/>
      <c r="J128" s="96"/>
      <c r="K128" s="96"/>
      <c r="L128" s="96"/>
      <c r="M128" s="96"/>
      <c r="N128" s="96"/>
      <c r="O128" s="96"/>
      <c r="P128" s="96"/>
      <c r="Q128" s="96"/>
      <c r="R128" s="96"/>
      <c r="S128" s="96"/>
      <c r="T128" s="96"/>
      <c r="U128" s="96"/>
    </row>
    <row r="129" spans="1:21" ht="9.9" customHeight="1">
      <c r="A129" s="2"/>
      <c r="B129" s="6"/>
      <c r="C129" s="6"/>
      <c r="D129" s="6"/>
      <c r="E129" s="6"/>
      <c r="F129" s="6"/>
      <c r="G129" s="6"/>
      <c r="H129" s="6"/>
      <c r="I129" s="6"/>
      <c r="J129" s="6"/>
      <c r="K129" s="6"/>
      <c r="L129" s="6"/>
      <c r="M129" s="6"/>
      <c r="N129" s="6"/>
      <c r="O129" s="6"/>
      <c r="P129" s="6"/>
      <c r="Q129" s="6"/>
      <c r="R129" s="6"/>
      <c r="S129" s="6"/>
      <c r="T129" s="6"/>
      <c r="U129" s="6"/>
    </row>
    <row r="130" spans="1:21">
      <c r="A130" s="95" t="s">
        <v>23</v>
      </c>
      <c r="B130" s="95"/>
      <c r="C130" s="95"/>
      <c r="D130" s="95"/>
      <c r="E130" s="95"/>
      <c r="F130" s="95"/>
      <c r="G130" s="95"/>
      <c r="H130" s="95"/>
      <c r="I130" s="95"/>
      <c r="J130" s="95"/>
      <c r="K130" s="95"/>
      <c r="L130" s="95"/>
      <c r="M130" s="95"/>
      <c r="N130" s="95"/>
      <c r="O130" s="95"/>
      <c r="P130" s="95"/>
      <c r="Q130" s="95"/>
      <c r="R130" s="95"/>
      <c r="S130" s="95"/>
      <c r="T130" s="95"/>
      <c r="U130" s="95"/>
    </row>
    <row r="131" spans="1:21" ht="86.4" customHeight="1">
      <c r="A131" s="96" t="s">
        <v>114</v>
      </c>
      <c r="B131" s="96"/>
      <c r="C131" s="96"/>
      <c r="D131" s="96"/>
      <c r="E131" s="96"/>
      <c r="F131" s="96"/>
      <c r="G131" s="96"/>
      <c r="H131" s="96"/>
      <c r="I131" s="96"/>
      <c r="J131" s="96"/>
      <c r="K131" s="96"/>
      <c r="L131" s="96"/>
      <c r="M131" s="96"/>
      <c r="N131" s="96"/>
      <c r="O131" s="96"/>
      <c r="P131" s="96"/>
      <c r="Q131" s="96"/>
      <c r="R131" s="96"/>
      <c r="S131" s="96"/>
      <c r="T131" s="96"/>
      <c r="U131" s="96"/>
    </row>
    <row r="132" spans="1:21" ht="25.5" customHeight="1">
      <c r="A132" s="96" t="s">
        <v>22</v>
      </c>
      <c r="B132" s="96"/>
      <c r="C132" s="96"/>
      <c r="D132" s="96"/>
      <c r="E132" s="96"/>
      <c r="F132" s="96"/>
      <c r="G132" s="96"/>
      <c r="H132" s="96"/>
      <c r="I132" s="96"/>
      <c r="J132" s="96"/>
      <c r="K132" s="96"/>
      <c r="L132" s="96"/>
      <c r="M132" s="96"/>
      <c r="N132" s="96"/>
      <c r="O132" s="96"/>
      <c r="P132" s="96"/>
      <c r="Q132" s="96"/>
      <c r="R132" s="96"/>
      <c r="S132" s="96"/>
      <c r="T132" s="96"/>
      <c r="U132" s="96"/>
    </row>
    <row r="133" spans="1:21" ht="9.9" customHeight="1">
      <c r="A133" s="2"/>
      <c r="B133" s="6"/>
      <c r="C133" s="6"/>
      <c r="D133" s="6"/>
      <c r="E133" s="6"/>
      <c r="F133" s="6"/>
      <c r="G133" s="6"/>
      <c r="H133" s="6"/>
      <c r="I133" s="6"/>
      <c r="J133" s="6"/>
      <c r="K133" s="6"/>
      <c r="L133" s="6"/>
      <c r="M133" s="6"/>
      <c r="N133" s="6"/>
      <c r="O133" s="6"/>
      <c r="P133" s="6"/>
      <c r="Q133" s="6"/>
      <c r="R133" s="6"/>
      <c r="S133" s="6"/>
      <c r="T133" s="6"/>
      <c r="U133" s="6"/>
    </row>
    <row r="134" spans="1:21">
      <c r="A134" s="95" t="s">
        <v>21</v>
      </c>
      <c r="B134" s="95"/>
      <c r="C134" s="95"/>
      <c r="D134" s="95"/>
      <c r="E134" s="95"/>
      <c r="F134" s="95"/>
      <c r="G134" s="95"/>
      <c r="H134" s="95"/>
      <c r="I134" s="95"/>
      <c r="J134" s="95"/>
      <c r="K134" s="95"/>
      <c r="L134" s="95"/>
      <c r="M134" s="95"/>
      <c r="N134" s="95"/>
      <c r="O134" s="95"/>
      <c r="P134" s="95"/>
      <c r="Q134" s="95"/>
      <c r="R134" s="95"/>
      <c r="S134" s="95"/>
      <c r="T134" s="95"/>
      <c r="U134" s="95"/>
    </row>
    <row r="135" spans="1:21" ht="77.400000000000006" customHeight="1">
      <c r="A135" s="96" t="s">
        <v>115</v>
      </c>
      <c r="B135" s="96"/>
      <c r="C135" s="96"/>
      <c r="D135" s="96"/>
      <c r="E135" s="96"/>
      <c r="F135" s="96"/>
      <c r="G135" s="96"/>
      <c r="H135" s="96"/>
      <c r="I135" s="96"/>
      <c r="J135" s="96"/>
      <c r="K135" s="96"/>
      <c r="L135" s="96"/>
      <c r="M135" s="96"/>
      <c r="N135" s="96"/>
      <c r="O135" s="96"/>
      <c r="P135" s="96"/>
      <c r="Q135" s="96"/>
      <c r="R135" s="96"/>
      <c r="S135" s="96"/>
      <c r="T135" s="96"/>
      <c r="U135" s="96"/>
    </row>
    <row r="136" spans="1:21" ht="41.4" customHeight="1">
      <c r="A136" s="96" t="s">
        <v>116</v>
      </c>
      <c r="B136" s="96"/>
      <c r="C136" s="96"/>
      <c r="D136" s="96"/>
      <c r="E136" s="96"/>
      <c r="F136" s="96"/>
      <c r="G136" s="96"/>
      <c r="H136" s="96"/>
      <c r="I136" s="96"/>
      <c r="J136" s="96"/>
      <c r="K136" s="96"/>
      <c r="L136" s="96"/>
      <c r="M136" s="96"/>
      <c r="N136" s="96"/>
      <c r="O136" s="96"/>
      <c r="P136" s="96"/>
      <c r="Q136" s="96"/>
      <c r="R136" s="96"/>
      <c r="S136" s="96"/>
      <c r="T136" s="96"/>
      <c r="U136" s="96"/>
    </row>
    <row r="137" spans="1:21" ht="51" customHeight="1">
      <c r="A137" s="96" t="s">
        <v>117</v>
      </c>
      <c r="B137" s="96"/>
      <c r="C137" s="96"/>
      <c r="D137" s="96"/>
      <c r="E137" s="96"/>
      <c r="F137" s="96"/>
      <c r="G137" s="96"/>
      <c r="H137" s="96"/>
      <c r="I137" s="96"/>
      <c r="J137" s="96"/>
      <c r="K137" s="96"/>
      <c r="L137" s="96"/>
      <c r="M137" s="96"/>
      <c r="N137" s="96"/>
      <c r="O137" s="96"/>
      <c r="P137" s="96"/>
      <c r="Q137" s="96"/>
      <c r="R137" s="96"/>
      <c r="S137" s="96"/>
      <c r="T137" s="96"/>
      <c r="U137" s="96"/>
    </row>
    <row r="138" spans="1:21" ht="54" customHeight="1">
      <c r="A138" s="96" t="s">
        <v>20</v>
      </c>
      <c r="B138" s="96"/>
      <c r="C138" s="96"/>
      <c r="D138" s="96"/>
      <c r="E138" s="96"/>
      <c r="F138" s="96"/>
      <c r="G138" s="96"/>
      <c r="H138" s="96"/>
      <c r="I138" s="96"/>
      <c r="J138" s="96"/>
      <c r="K138" s="96"/>
      <c r="L138" s="96"/>
      <c r="M138" s="96"/>
      <c r="N138" s="96"/>
      <c r="O138" s="96"/>
      <c r="P138" s="96"/>
      <c r="Q138" s="96"/>
      <c r="R138" s="96"/>
      <c r="S138" s="96"/>
      <c r="T138" s="96"/>
      <c r="U138" s="96"/>
    </row>
    <row r="139" spans="1:21" ht="42.6" customHeight="1">
      <c r="A139" s="96" t="s">
        <v>19</v>
      </c>
      <c r="B139" s="96"/>
      <c r="C139" s="96"/>
      <c r="D139" s="96"/>
      <c r="E139" s="96"/>
      <c r="F139" s="96"/>
      <c r="G139" s="96"/>
      <c r="H139" s="96"/>
      <c r="I139" s="96"/>
      <c r="J139" s="96"/>
      <c r="K139" s="96"/>
      <c r="L139" s="96"/>
      <c r="M139" s="96"/>
      <c r="N139" s="96"/>
      <c r="O139" s="96"/>
      <c r="P139" s="96"/>
      <c r="Q139" s="96"/>
      <c r="R139" s="96"/>
      <c r="S139" s="96"/>
      <c r="T139" s="96"/>
      <c r="U139" s="96"/>
    </row>
    <row r="140" spans="1:21" ht="9.9" customHeight="1">
      <c r="A140" s="2"/>
      <c r="B140" s="6"/>
      <c r="C140" s="6"/>
      <c r="D140" s="6"/>
      <c r="E140" s="6"/>
      <c r="F140" s="6"/>
      <c r="G140" s="6"/>
      <c r="H140" s="6"/>
      <c r="I140" s="6"/>
      <c r="J140" s="6"/>
      <c r="K140" s="6"/>
      <c r="L140" s="6"/>
      <c r="M140" s="6"/>
      <c r="N140" s="6"/>
      <c r="O140" s="6"/>
      <c r="P140" s="6"/>
      <c r="Q140" s="6"/>
      <c r="R140" s="6"/>
      <c r="S140" s="6"/>
      <c r="T140" s="6"/>
      <c r="U140" s="6"/>
    </row>
    <row r="141" spans="1:21">
      <c r="A141" s="95" t="s">
        <v>18</v>
      </c>
      <c r="B141" s="95"/>
      <c r="C141" s="95"/>
      <c r="D141" s="95"/>
      <c r="E141" s="95"/>
      <c r="F141" s="95"/>
      <c r="G141" s="95"/>
      <c r="H141" s="95"/>
      <c r="I141" s="95"/>
      <c r="J141" s="95"/>
      <c r="K141" s="95"/>
      <c r="L141" s="95"/>
      <c r="M141" s="95"/>
      <c r="N141" s="95"/>
      <c r="O141" s="95"/>
      <c r="P141" s="95"/>
      <c r="Q141" s="95"/>
      <c r="R141" s="95"/>
      <c r="S141" s="95"/>
      <c r="T141" s="95"/>
      <c r="U141" s="95"/>
    </row>
    <row r="142" spans="1:21" ht="30" customHeight="1">
      <c r="A142" s="96" t="s">
        <v>17</v>
      </c>
      <c r="B142" s="96"/>
      <c r="C142" s="96"/>
      <c r="D142" s="96"/>
      <c r="E142" s="96"/>
      <c r="F142" s="96"/>
      <c r="G142" s="96"/>
      <c r="H142" s="96"/>
      <c r="I142" s="96"/>
      <c r="J142" s="96"/>
      <c r="K142" s="96"/>
      <c r="L142" s="96"/>
      <c r="M142" s="96"/>
      <c r="N142" s="96"/>
      <c r="O142" s="96"/>
      <c r="P142" s="96"/>
      <c r="Q142" s="96"/>
      <c r="R142" s="96"/>
      <c r="S142" s="96"/>
      <c r="T142" s="96"/>
      <c r="U142" s="96"/>
    </row>
    <row r="143" spans="1:21" ht="142.5" customHeight="1">
      <c r="A143" s="96" t="s">
        <v>118</v>
      </c>
      <c r="B143" s="96"/>
      <c r="C143" s="96"/>
      <c r="D143" s="96"/>
      <c r="E143" s="96"/>
      <c r="F143" s="96"/>
      <c r="G143" s="96"/>
      <c r="H143" s="96"/>
      <c r="I143" s="96"/>
      <c r="J143" s="96"/>
      <c r="K143" s="96"/>
      <c r="L143" s="96"/>
      <c r="M143" s="96"/>
      <c r="N143" s="96"/>
      <c r="O143" s="96"/>
      <c r="P143" s="96"/>
      <c r="Q143" s="96"/>
      <c r="R143" s="96"/>
      <c r="S143" s="96"/>
      <c r="T143" s="96"/>
      <c r="U143" s="96"/>
    </row>
    <row r="144" spans="1:21" ht="15" customHeight="1">
      <c r="A144" s="13"/>
      <c r="B144" s="13"/>
      <c r="C144" s="13"/>
      <c r="D144" s="13"/>
      <c r="E144" s="13"/>
      <c r="F144" s="13"/>
      <c r="G144" s="13"/>
      <c r="H144" s="13"/>
      <c r="I144" s="13"/>
      <c r="J144" s="13"/>
      <c r="K144" s="13"/>
      <c r="L144" s="13"/>
      <c r="M144" s="13"/>
      <c r="N144" s="13"/>
      <c r="O144" s="32" t="s">
        <v>6</v>
      </c>
      <c r="P144" s="74"/>
      <c r="Q144" s="75"/>
      <c r="R144" s="33"/>
      <c r="S144" s="32" t="s">
        <v>6</v>
      </c>
      <c r="T144" s="74"/>
      <c r="U144" s="75"/>
    </row>
    <row r="145" spans="1:21">
      <c r="A145" s="85" t="s">
        <v>367</v>
      </c>
      <c r="B145" s="85"/>
      <c r="C145" s="85"/>
      <c r="D145" s="85"/>
      <c r="E145" s="85"/>
      <c r="F145" s="85"/>
      <c r="G145" s="85"/>
      <c r="H145" s="85"/>
      <c r="I145" s="85"/>
      <c r="J145" s="85"/>
      <c r="K145" s="85"/>
      <c r="L145" s="85"/>
      <c r="M145" s="85"/>
      <c r="N145" s="85"/>
      <c r="O145" s="85"/>
      <c r="P145" s="85"/>
      <c r="Q145" s="85"/>
      <c r="R145" s="85"/>
      <c r="S145" s="85"/>
      <c r="T145" s="85"/>
      <c r="U145" s="85"/>
    </row>
    <row r="146" spans="1:21" ht="18.600000000000001" customHeight="1">
      <c r="A146" s="6"/>
      <c r="B146" s="6"/>
      <c r="C146" s="6"/>
      <c r="D146" s="6"/>
      <c r="E146" s="6"/>
      <c r="F146" s="6"/>
      <c r="G146" s="6"/>
      <c r="H146" s="6"/>
      <c r="I146" s="6"/>
      <c r="J146" s="6"/>
      <c r="K146" s="92" t="s">
        <v>157</v>
      </c>
      <c r="L146" s="92"/>
      <c r="M146" s="92"/>
      <c r="N146" s="101"/>
      <c r="O146" s="108">
        <f>O119</f>
        <v>0</v>
      </c>
      <c r="P146" s="109"/>
      <c r="Q146" s="109"/>
      <c r="R146" s="109"/>
      <c r="S146" s="109"/>
      <c r="T146" s="109"/>
      <c r="U146" s="110"/>
    </row>
    <row r="147" spans="1:21" ht="9.9" customHeight="1">
      <c r="A147" s="6"/>
      <c r="B147" s="6"/>
      <c r="C147" s="6"/>
      <c r="D147" s="6"/>
      <c r="E147" s="6"/>
      <c r="F147" s="6"/>
      <c r="G147" s="6"/>
      <c r="H147" s="6"/>
      <c r="I147" s="6"/>
      <c r="J147" s="6"/>
      <c r="K147" s="6"/>
      <c r="L147" s="6"/>
      <c r="M147" s="6"/>
      <c r="N147" s="6"/>
      <c r="O147" s="6"/>
      <c r="P147" s="6"/>
      <c r="Q147" s="6"/>
      <c r="R147" s="6"/>
      <c r="S147" s="6"/>
      <c r="T147" s="6"/>
      <c r="U147" s="6"/>
    </row>
    <row r="148" spans="1:21">
      <c r="A148" s="95" t="s">
        <v>16</v>
      </c>
      <c r="B148" s="95"/>
      <c r="C148" s="95"/>
      <c r="D148" s="95"/>
      <c r="E148" s="95"/>
      <c r="F148" s="95"/>
      <c r="G148" s="95"/>
      <c r="H148" s="95"/>
      <c r="I148" s="95"/>
      <c r="J148" s="95"/>
      <c r="K148" s="95"/>
      <c r="L148" s="95"/>
      <c r="M148" s="95"/>
      <c r="N148" s="95"/>
      <c r="O148" s="95"/>
      <c r="P148" s="95"/>
      <c r="Q148" s="95"/>
      <c r="R148" s="95"/>
      <c r="S148" s="95"/>
      <c r="T148" s="95"/>
      <c r="U148" s="95"/>
    </row>
    <row r="149" spans="1:21" ht="25.5" customHeight="1">
      <c r="A149" s="96" t="s">
        <v>119</v>
      </c>
      <c r="B149" s="96"/>
      <c r="C149" s="96"/>
      <c r="D149" s="96"/>
      <c r="E149" s="96"/>
      <c r="F149" s="96"/>
      <c r="G149" s="96"/>
      <c r="H149" s="96"/>
      <c r="I149" s="96"/>
      <c r="J149" s="96"/>
      <c r="K149" s="96"/>
      <c r="L149" s="96"/>
      <c r="M149" s="96"/>
      <c r="N149" s="96"/>
      <c r="O149" s="96"/>
      <c r="P149" s="96"/>
      <c r="Q149" s="96"/>
      <c r="R149" s="96"/>
      <c r="S149" s="96"/>
      <c r="T149" s="96"/>
      <c r="U149" s="96"/>
    </row>
    <row r="150" spans="1:21" ht="32.1" customHeight="1">
      <c r="A150" s="96" t="s">
        <v>120</v>
      </c>
      <c r="B150" s="96"/>
      <c r="C150" s="96"/>
      <c r="D150" s="96"/>
      <c r="E150" s="96"/>
      <c r="F150" s="96"/>
      <c r="G150" s="96"/>
      <c r="H150" s="96"/>
      <c r="I150" s="96"/>
      <c r="J150" s="96"/>
      <c r="K150" s="96"/>
      <c r="L150" s="96"/>
      <c r="M150" s="96"/>
      <c r="N150" s="96"/>
      <c r="O150" s="96"/>
      <c r="P150" s="96"/>
      <c r="Q150" s="96"/>
      <c r="R150" s="96"/>
      <c r="S150" s="96"/>
      <c r="T150" s="96"/>
      <c r="U150" s="96"/>
    </row>
    <row r="151" spans="1:21" ht="20.100000000000001" customHeight="1">
      <c r="A151" s="96" t="s">
        <v>121</v>
      </c>
      <c r="B151" s="96"/>
      <c r="C151" s="96"/>
      <c r="D151" s="96"/>
      <c r="E151" s="96"/>
      <c r="F151" s="96"/>
      <c r="G151" s="96"/>
      <c r="H151" s="96"/>
      <c r="I151" s="96"/>
      <c r="J151" s="96"/>
      <c r="K151" s="96"/>
      <c r="L151" s="96"/>
      <c r="M151" s="96"/>
      <c r="N151" s="96"/>
      <c r="O151" s="96"/>
      <c r="P151" s="96"/>
      <c r="Q151" s="96"/>
      <c r="R151" s="96"/>
      <c r="S151" s="96"/>
      <c r="T151" s="96"/>
      <c r="U151" s="96"/>
    </row>
    <row r="152" spans="1:21" ht="27.9" customHeight="1">
      <c r="A152" s="96" t="s">
        <v>122</v>
      </c>
      <c r="B152" s="96"/>
      <c r="C152" s="96"/>
      <c r="D152" s="96"/>
      <c r="E152" s="96"/>
      <c r="F152" s="96"/>
      <c r="G152" s="96"/>
      <c r="H152" s="96"/>
      <c r="I152" s="96"/>
      <c r="J152" s="96"/>
      <c r="K152" s="96"/>
      <c r="L152" s="96"/>
      <c r="M152" s="96"/>
      <c r="N152" s="96"/>
      <c r="O152" s="96"/>
      <c r="P152" s="96"/>
      <c r="Q152" s="96"/>
      <c r="R152" s="96"/>
      <c r="S152" s="96"/>
      <c r="T152" s="96"/>
      <c r="U152" s="96"/>
    </row>
    <row r="153" spans="1:21" ht="32.4" customHeight="1">
      <c r="A153" s="96" t="s">
        <v>15</v>
      </c>
      <c r="B153" s="96"/>
      <c r="C153" s="96"/>
      <c r="D153" s="96"/>
      <c r="E153" s="96"/>
      <c r="F153" s="96"/>
      <c r="G153" s="96"/>
      <c r="H153" s="96"/>
      <c r="I153" s="96"/>
      <c r="J153" s="96"/>
      <c r="K153" s="96"/>
      <c r="L153" s="96"/>
      <c r="M153" s="96"/>
      <c r="N153" s="96"/>
      <c r="O153" s="96"/>
      <c r="P153" s="96"/>
      <c r="Q153" s="96"/>
      <c r="R153" s="96"/>
      <c r="S153" s="96"/>
      <c r="T153" s="96"/>
      <c r="U153" s="96"/>
    </row>
    <row r="154" spans="1:21" ht="78.900000000000006" customHeight="1">
      <c r="A154" s="96" t="s">
        <v>123</v>
      </c>
      <c r="B154" s="96"/>
      <c r="C154" s="96"/>
      <c r="D154" s="96"/>
      <c r="E154" s="96"/>
      <c r="F154" s="96"/>
      <c r="G154" s="96"/>
      <c r="H154" s="96"/>
      <c r="I154" s="96"/>
      <c r="J154" s="96"/>
      <c r="K154" s="96"/>
      <c r="L154" s="96"/>
      <c r="M154" s="96"/>
      <c r="N154" s="96"/>
      <c r="O154" s="96"/>
      <c r="P154" s="96"/>
      <c r="Q154" s="96"/>
      <c r="R154" s="96"/>
      <c r="S154" s="96"/>
      <c r="T154" s="96"/>
      <c r="U154" s="96"/>
    </row>
    <row r="155" spans="1:21">
      <c r="A155" s="2"/>
      <c r="B155" s="6"/>
      <c r="C155" s="6"/>
      <c r="D155" s="6"/>
      <c r="E155" s="6"/>
      <c r="F155" s="6"/>
      <c r="G155" s="6"/>
      <c r="H155" s="6"/>
      <c r="I155" s="6"/>
      <c r="J155" s="6"/>
      <c r="K155" s="6"/>
      <c r="L155" s="6"/>
      <c r="M155" s="6"/>
      <c r="N155" s="6"/>
      <c r="O155" s="6"/>
      <c r="P155" s="6"/>
      <c r="Q155" s="6"/>
      <c r="R155" s="6"/>
      <c r="S155" s="6"/>
      <c r="T155" s="6"/>
      <c r="U155" s="6"/>
    </row>
    <row r="156" spans="1:21">
      <c r="A156" s="95" t="s">
        <v>14</v>
      </c>
      <c r="B156" s="95"/>
      <c r="C156" s="95"/>
      <c r="D156" s="95"/>
      <c r="E156" s="95"/>
      <c r="F156" s="95"/>
      <c r="G156" s="95"/>
      <c r="H156" s="95"/>
      <c r="I156" s="95"/>
      <c r="J156" s="95"/>
      <c r="K156" s="95"/>
      <c r="L156" s="95"/>
      <c r="M156" s="95"/>
      <c r="N156" s="95"/>
      <c r="O156" s="95"/>
      <c r="P156" s="95"/>
      <c r="Q156" s="95"/>
      <c r="R156" s="95"/>
      <c r="S156" s="95"/>
      <c r="T156" s="95"/>
      <c r="U156" s="95"/>
    </row>
    <row r="157" spans="1:21" ht="30" customHeight="1">
      <c r="A157" s="96" t="s">
        <v>124</v>
      </c>
      <c r="B157" s="96"/>
      <c r="C157" s="96"/>
      <c r="D157" s="96"/>
      <c r="E157" s="96"/>
      <c r="F157" s="96"/>
      <c r="G157" s="96"/>
      <c r="H157" s="96"/>
      <c r="I157" s="96"/>
      <c r="J157" s="96"/>
      <c r="K157" s="96"/>
      <c r="L157" s="96"/>
      <c r="M157" s="96"/>
      <c r="N157" s="96"/>
      <c r="O157" s="96"/>
      <c r="P157" s="96"/>
      <c r="Q157" s="96"/>
      <c r="R157" s="96"/>
      <c r="S157" s="96"/>
      <c r="T157" s="96"/>
      <c r="U157" s="96"/>
    </row>
    <row r="158" spans="1:21">
      <c r="A158" s="2"/>
      <c r="B158" s="6"/>
      <c r="C158" s="6"/>
      <c r="D158" s="6"/>
      <c r="E158" s="6"/>
      <c r="F158" s="6"/>
      <c r="G158" s="6"/>
      <c r="H158" s="6"/>
      <c r="I158" s="6"/>
      <c r="J158" s="6"/>
      <c r="K158" s="6"/>
      <c r="L158" s="6"/>
      <c r="M158" s="6"/>
      <c r="N158" s="6"/>
      <c r="O158" s="6"/>
      <c r="P158" s="6"/>
      <c r="Q158" s="6"/>
      <c r="R158" s="6"/>
      <c r="S158" s="6"/>
      <c r="T158" s="6"/>
      <c r="U158" s="6"/>
    </row>
    <row r="159" spans="1:21">
      <c r="A159" s="95" t="s">
        <v>13</v>
      </c>
      <c r="B159" s="95"/>
      <c r="C159" s="95"/>
      <c r="D159" s="95"/>
      <c r="E159" s="95"/>
      <c r="F159" s="95"/>
      <c r="G159" s="95"/>
      <c r="H159" s="95"/>
      <c r="I159" s="95"/>
      <c r="J159" s="95"/>
      <c r="K159" s="95"/>
      <c r="L159" s="95"/>
      <c r="M159" s="95"/>
      <c r="N159" s="95"/>
      <c r="O159" s="95"/>
      <c r="P159" s="95"/>
      <c r="Q159" s="95"/>
      <c r="R159" s="95"/>
      <c r="S159" s="95"/>
      <c r="T159" s="95"/>
      <c r="U159" s="95"/>
    </row>
    <row r="160" spans="1:21" ht="30.9" customHeight="1">
      <c r="A160" s="96" t="s">
        <v>125</v>
      </c>
      <c r="B160" s="96"/>
      <c r="C160" s="96"/>
      <c r="D160" s="96"/>
      <c r="E160" s="96"/>
      <c r="F160" s="96"/>
      <c r="G160" s="96"/>
      <c r="H160" s="96"/>
      <c r="I160" s="96"/>
      <c r="J160" s="96"/>
      <c r="K160" s="96"/>
      <c r="L160" s="96"/>
      <c r="M160" s="96"/>
      <c r="N160" s="96"/>
      <c r="O160" s="96"/>
      <c r="P160" s="96"/>
      <c r="Q160" s="96"/>
      <c r="R160" s="96"/>
      <c r="S160" s="96"/>
      <c r="T160" s="96"/>
      <c r="U160" s="96"/>
    </row>
    <row r="161" spans="1:21">
      <c r="A161" s="2"/>
      <c r="B161" s="6"/>
      <c r="C161" s="6"/>
      <c r="D161" s="6"/>
      <c r="E161" s="6"/>
      <c r="F161" s="6"/>
      <c r="G161" s="6"/>
      <c r="H161" s="6"/>
      <c r="I161" s="6"/>
      <c r="J161" s="6"/>
      <c r="K161" s="6"/>
      <c r="L161" s="6"/>
      <c r="M161" s="6"/>
      <c r="N161" s="6"/>
      <c r="O161" s="6"/>
      <c r="P161" s="6"/>
      <c r="Q161" s="6"/>
      <c r="R161" s="6"/>
      <c r="S161" s="6"/>
      <c r="T161" s="6"/>
      <c r="U161" s="6"/>
    </row>
    <row r="162" spans="1:21">
      <c r="A162" s="95" t="s">
        <v>12</v>
      </c>
      <c r="B162" s="95"/>
      <c r="C162" s="95"/>
      <c r="D162" s="95"/>
      <c r="E162" s="95"/>
      <c r="F162" s="95"/>
      <c r="G162" s="95"/>
      <c r="H162" s="95"/>
      <c r="I162" s="95"/>
      <c r="J162" s="95"/>
      <c r="K162" s="95"/>
      <c r="L162" s="95"/>
      <c r="M162" s="95"/>
      <c r="N162" s="95"/>
      <c r="O162" s="95"/>
      <c r="P162" s="95"/>
      <c r="Q162" s="95"/>
      <c r="R162" s="95"/>
      <c r="S162" s="95"/>
      <c r="T162" s="95"/>
      <c r="U162" s="95"/>
    </row>
    <row r="163" spans="1:21" ht="44.1" customHeight="1">
      <c r="A163" s="96" t="s">
        <v>126</v>
      </c>
      <c r="B163" s="96"/>
      <c r="C163" s="96"/>
      <c r="D163" s="96"/>
      <c r="E163" s="96"/>
      <c r="F163" s="96"/>
      <c r="G163" s="96"/>
      <c r="H163" s="96"/>
      <c r="I163" s="96"/>
      <c r="J163" s="96"/>
      <c r="K163" s="96"/>
      <c r="L163" s="96"/>
      <c r="M163" s="96"/>
      <c r="N163" s="96"/>
      <c r="O163" s="96"/>
      <c r="P163" s="96"/>
      <c r="Q163" s="96"/>
      <c r="R163" s="96"/>
      <c r="S163" s="96"/>
      <c r="T163" s="96"/>
      <c r="U163" s="96"/>
    </row>
    <row r="164" spans="1:21">
      <c r="A164" s="2"/>
      <c r="B164" s="6"/>
      <c r="C164" s="6"/>
      <c r="D164" s="6"/>
      <c r="E164" s="6"/>
      <c r="F164" s="6"/>
      <c r="G164" s="6"/>
      <c r="H164" s="6"/>
      <c r="I164" s="6"/>
      <c r="J164" s="6"/>
      <c r="K164" s="6"/>
      <c r="L164" s="6"/>
      <c r="M164" s="6"/>
      <c r="N164" s="6"/>
      <c r="O164" s="6"/>
      <c r="P164" s="6"/>
      <c r="Q164" s="6"/>
      <c r="R164" s="6"/>
      <c r="S164" s="6"/>
      <c r="T164" s="6"/>
      <c r="U164" s="6"/>
    </row>
    <row r="165" spans="1:21">
      <c r="A165" s="95" t="s">
        <v>11</v>
      </c>
      <c r="B165" s="95"/>
      <c r="C165" s="95"/>
      <c r="D165" s="95"/>
      <c r="E165" s="95"/>
      <c r="F165" s="95"/>
      <c r="G165" s="95"/>
      <c r="H165" s="95"/>
      <c r="I165" s="95"/>
      <c r="J165" s="95"/>
      <c r="K165" s="95"/>
      <c r="L165" s="95"/>
      <c r="M165" s="95"/>
      <c r="N165" s="95"/>
      <c r="O165" s="95"/>
      <c r="P165" s="95"/>
      <c r="Q165" s="95"/>
      <c r="R165" s="95"/>
      <c r="S165" s="95"/>
      <c r="T165" s="95"/>
      <c r="U165" s="95"/>
    </row>
    <row r="166" spans="1:21" ht="30" customHeight="1">
      <c r="A166" s="96" t="s">
        <v>127</v>
      </c>
      <c r="B166" s="96"/>
      <c r="C166" s="96"/>
      <c r="D166" s="96"/>
      <c r="E166" s="96"/>
      <c r="F166" s="96"/>
      <c r="G166" s="96"/>
      <c r="H166" s="96"/>
      <c r="I166" s="96"/>
      <c r="J166" s="96"/>
      <c r="K166" s="96"/>
      <c r="L166" s="96"/>
      <c r="M166" s="96"/>
      <c r="N166" s="96"/>
      <c r="O166" s="96"/>
      <c r="P166" s="96"/>
      <c r="Q166" s="96"/>
      <c r="R166" s="96"/>
      <c r="S166" s="96"/>
      <c r="T166" s="96"/>
      <c r="U166" s="96"/>
    </row>
    <row r="167" spans="1:21">
      <c r="A167" s="2"/>
      <c r="B167" s="6"/>
      <c r="C167" s="6"/>
      <c r="D167" s="6"/>
      <c r="E167" s="6"/>
      <c r="F167" s="6"/>
      <c r="G167" s="6"/>
      <c r="H167" s="6"/>
      <c r="I167" s="6"/>
      <c r="J167" s="6"/>
      <c r="K167" s="6"/>
      <c r="L167" s="6"/>
      <c r="M167" s="6"/>
      <c r="N167" s="6"/>
      <c r="O167" s="6"/>
      <c r="P167" s="6"/>
      <c r="Q167" s="6"/>
      <c r="R167" s="6"/>
      <c r="S167" s="6"/>
      <c r="T167" s="6"/>
      <c r="U167" s="6"/>
    </row>
    <row r="168" spans="1:21">
      <c r="A168" s="95" t="s">
        <v>10</v>
      </c>
      <c r="B168" s="95"/>
      <c r="C168" s="95"/>
      <c r="D168" s="95"/>
      <c r="E168" s="95"/>
      <c r="F168" s="95"/>
      <c r="G168" s="95"/>
      <c r="H168" s="95"/>
      <c r="I168" s="95"/>
      <c r="J168" s="95"/>
      <c r="K168" s="95"/>
      <c r="L168" s="95"/>
      <c r="M168" s="95"/>
      <c r="N168" s="95"/>
      <c r="O168" s="95"/>
      <c r="P168" s="95"/>
      <c r="Q168" s="95"/>
      <c r="R168" s="95"/>
      <c r="S168" s="95"/>
      <c r="T168" s="95"/>
      <c r="U168" s="95"/>
    </row>
    <row r="169" spans="1:21" ht="57.6" customHeight="1">
      <c r="A169" s="96" t="s">
        <v>9</v>
      </c>
      <c r="B169" s="96"/>
      <c r="C169" s="96"/>
      <c r="D169" s="96"/>
      <c r="E169" s="96"/>
      <c r="F169" s="96"/>
      <c r="G169" s="96"/>
      <c r="H169" s="96"/>
      <c r="I169" s="96"/>
      <c r="J169" s="96"/>
      <c r="K169" s="96"/>
      <c r="L169" s="96"/>
      <c r="M169" s="96"/>
      <c r="N169" s="96"/>
      <c r="O169" s="96"/>
      <c r="P169" s="96"/>
      <c r="Q169" s="96"/>
      <c r="R169" s="96"/>
      <c r="S169" s="96"/>
      <c r="T169" s="96"/>
      <c r="U169" s="96"/>
    </row>
    <row r="170" spans="1:21">
      <c r="A170" s="2"/>
      <c r="B170" s="6"/>
      <c r="C170" s="6"/>
      <c r="D170" s="6"/>
      <c r="E170" s="6"/>
      <c r="F170" s="6"/>
      <c r="G170" s="6"/>
      <c r="H170" s="6"/>
      <c r="I170" s="6"/>
      <c r="J170" s="6"/>
      <c r="K170" s="6"/>
      <c r="L170" s="6"/>
      <c r="M170" s="6"/>
      <c r="N170" s="6"/>
      <c r="O170" s="6"/>
      <c r="P170" s="6"/>
      <c r="Q170" s="6"/>
      <c r="R170" s="6"/>
      <c r="S170" s="6"/>
      <c r="T170" s="6"/>
      <c r="U170" s="6"/>
    </row>
    <row r="171" spans="1:21">
      <c r="A171" s="95" t="s">
        <v>8</v>
      </c>
      <c r="B171" s="95"/>
      <c r="C171" s="95"/>
      <c r="D171" s="95"/>
      <c r="E171" s="95"/>
      <c r="F171" s="95"/>
      <c r="G171" s="95"/>
      <c r="H171" s="95"/>
      <c r="I171" s="95"/>
      <c r="J171" s="95"/>
      <c r="K171" s="95"/>
      <c r="L171" s="95"/>
      <c r="M171" s="95"/>
      <c r="N171" s="95"/>
      <c r="O171" s="95"/>
      <c r="P171" s="95"/>
      <c r="Q171" s="95"/>
      <c r="R171" s="95"/>
      <c r="S171" s="95"/>
      <c r="T171" s="95"/>
      <c r="U171" s="95"/>
    </row>
    <row r="172" spans="1:21" ht="20.100000000000001" customHeight="1">
      <c r="A172" s="96" t="s">
        <v>128</v>
      </c>
      <c r="B172" s="96"/>
      <c r="C172" s="96"/>
      <c r="D172" s="96"/>
      <c r="E172" s="96"/>
      <c r="F172" s="96"/>
      <c r="G172" s="96"/>
      <c r="H172" s="96"/>
      <c r="I172" s="96"/>
      <c r="J172" s="96"/>
      <c r="K172" s="96"/>
      <c r="L172" s="96"/>
      <c r="M172" s="96"/>
      <c r="N172" s="96"/>
      <c r="O172" s="96"/>
      <c r="P172" s="96"/>
      <c r="Q172" s="96"/>
      <c r="R172" s="96"/>
      <c r="S172" s="96"/>
      <c r="T172" s="96"/>
      <c r="U172" s="96"/>
    </row>
    <row r="173" spans="1:21">
      <c r="A173" s="2"/>
      <c r="B173" s="6"/>
      <c r="C173" s="6"/>
      <c r="D173" s="6"/>
      <c r="E173" s="6"/>
      <c r="F173" s="6"/>
      <c r="G173" s="6"/>
      <c r="H173" s="6"/>
      <c r="I173" s="6"/>
      <c r="J173" s="6"/>
      <c r="K173" s="6"/>
      <c r="L173" s="6"/>
      <c r="M173" s="6"/>
      <c r="N173" s="6"/>
      <c r="O173" s="6"/>
      <c r="P173" s="6"/>
      <c r="Q173" s="6"/>
      <c r="R173" s="6"/>
      <c r="S173" s="6"/>
      <c r="T173" s="6"/>
      <c r="U173" s="6"/>
    </row>
    <row r="174" spans="1:21">
      <c r="A174" s="95" t="s">
        <v>7</v>
      </c>
      <c r="B174" s="95"/>
      <c r="C174" s="95"/>
      <c r="D174" s="95"/>
      <c r="E174" s="95"/>
      <c r="F174" s="95"/>
      <c r="G174" s="95"/>
      <c r="H174" s="95"/>
      <c r="I174" s="95"/>
      <c r="J174" s="95"/>
      <c r="K174" s="95"/>
      <c r="L174" s="95"/>
      <c r="M174" s="95"/>
      <c r="N174" s="95"/>
      <c r="O174" s="95"/>
      <c r="P174" s="95"/>
      <c r="Q174" s="95"/>
      <c r="R174" s="95"/>
      <c r="S174" s="95"/>
      <c r="T174" s="95"/>
      <c r="U174" s="95"/>
    </row>
    <row r="175" spans="1:21" ht="78.599999999999994" customHeight="1">
      <c r="A175" s="96" t="s">
        <v>129</v>
      </c>
      <c r="B175" s="96"/>
      <c r="C175" s="96"/>
      <c r="D175" s="96"/>
      <c r="E175" s="96"/>
      <c r="F175" s="96"/>
      <c r="G175" s="96"/>
      <c r="H175" s="96"/>
      <c r="I175" s="96"/>
      <c r="J175" s="96"/>
      <c r="K175" s="96"/>
      <c r="L175" s="96"/>
      <c r="M175" s="96"/>
      <c r="N175" s="96"/>
      <c r="O175" s="96"/>
      <c r="P175" s="96"/>
      <c r="Q175" s="96"/>
      <c r="R175" s="96"/>
      <c r="S175" s="96"/>
      <c r="T175" s="96"/>
      <c r="U175" s="96"/>
    </row>
    <row r="176" spans="1:21" ht="91.5" customHeight="1">
      <c r="A176" s="122" t="s">
        <v>130</v>
      </c>
      <c r="B176" s="122"/>
      <c r="C176" s="122"/>
      <c r="D176" s="122"/>
      <c r="E176" s="122"/>
      <c r="F176" s="122"/>
      <c r="G176" s="122"/>
      <c r="H176" s="122"/>
      <c r="I176" s="122"/>
      <c r="J176" s="122"/>
      <c r="K176" s="122"/>
      <c r="L176" s="122"/>
      <c r="M176" s="122"/>
      <c r="N176" s="122"/>
      <c r="O176" s="122"/>
      <c r="P176" s="122"/>
      <c r="Q176" s="122"/>
      <c r="R176" s="122"/>
      <c r="S176" s="122"/>
      <c r="T176" s="122"/>
      <c r="U176" s="122"/>
    </row>
    <row r="177" spans="1:21" ht="35.1" customHeight="1">
      <c r="A177" s="122" t="s">
        <v>131</v>
      </c>
      <c r="B177" s="122"/>
      <c r="C177" s="122"/>
      <c r="D177" s="122"/>
      <c r="E177" s="122"/>
      <c r="F177" s="122"/>
      <c r="G177" s="122"/>
      <c r="H177" s="122"/>
      <c r="I177" s="122"/>
      <c r="J177" s="122"/>
      <c r="K177" s="122"/>
      <c r="L177" s="122"/>
      <c r="M177" s="122"/>
      <c r="N177" s="122"/>
      <c r="O177" s="122"/>
      <c r="P177" s="122"/>
      <c r="Q177" s="122"/>
      <c r="R177" s="122"/>
      <c r="S177" s="122"/>
      <c r="T177" s="122"/>
      <c r="U177" s="122"/>
    </row>
    <row r="178" spans="1:21" ht="69" customHeight="1">
      <c r="A178" s="122"/>
      <c r="B178" s="122"/>
      <c r="C178" s="122"/>
      <c r="D178" s="122"/>
      <c r="E178" s="122"/>
      <c r="F178" s="122"/>
      <c r="G178" s="122"/>
      <c r="H178" s="122"/>
      <c r="I178" s="122"/>
      <c r="J178" s="122"/>
      <c r="K178" s="122"/>
      <c r="L178" s="122"/>
      <c r="M178" s="122"/>
      <c r="N178" s="122"/>
      <c r="O178" s="122"/>
      <c r="P178" s="122"/>
      <c r="Q178" s="122"/>
      <c r="R178" s="122"/>
      <c r="S178" s="122"/>
      <c r="T178" s="122"/>
      <c r="U178" s="122"/>
    </row>
    <row r="179" spans="1:21" ht="15" customHeight="1">
      <c r="A179" s="12"/>
      <c r="E179" s="12"/>
      <c r="F179" s="6"/>
      <c r="G179" s="6"/>
      <c r="H179" s="6"/>
      <c r="I179" s="6"/>
      <c r="J179" s="6"/>
      <c r="K179" s="6"/>
      <c r="L179" s="6"/>
      <c r="M179" s="6"/>
      <c r="N179" s="6"/>
      <c r="O179" s="32" t="s">
        <v>6</v>
      </c>
      <c r="P179" s="74"/>
      <c r="Q179" s="75"/>
      <c r="R179" s="33"/>
      <c r="S179" s="32" t="s">
        <v>6</v>
      </c>
      <c r="T179" s="74"/>
      <c r="U179" s="75"/>
    </row>
    <row r="180" spans="1:21">
      <c r="A180" s="85" t="s">
        <v>366</v>
      </c>
      <c r="B180" s="85"/>
      <c r="C180" s="85"/>
      <c r="D180" s="85"/>
      <c r="E180" s="85"/>
      <c r="F180" s="85"/>
      <c r="G180" s="85"/>
      <c r="H180" s="85"/>
      <c r="I180" s="85"/>
      <c r="J180" s="85"/>
      <c r="K180" s="85"/>
      <c r="L180" s="85"/>
      <c r="M180" s="85"/>
      <c r="N180" s="85"/>
      <c r="O180" s="85"/>
      <c r="P180" s="85"/>
      <c r="Q180" s="85"/>
      <c r="R180" s="85"/>
      <c r="S180" s="85"/>
      <c r="T180" s="85"/>
      <c r="U180" s="85"/>
    </row>
    <row r="181" spans="1:21" ht="18.600000000000001" customHeight="1">
      <c r="A181" s="2"/>
      <c r="B181" s="6"/>
      <c r="C181" s="6"/>
      <c r="D181" s="6"/>
      <c r="E181" s="6"/>
      <c r="F181" s="6"/>
      <c r="G181" s="6"/>
      <c r="H181" s="6"/>
      <c r="I181" s="6"/>
      <c r="J181" s="6"/>
      <c r="K181" s="92" t="s">
        <v>157</v>
      </c>
      <c r="L181" s="92"/>
      <c r="M181" s="92"/>
      <c r="N181" s="101"/>
      <c r="O181" s="108">
        <f>O119</f>
        <v>0</v>
      </c>
      <c r="P181" s="109"/>
      <c r="Q181" s="109"/>
      <c r="R181" s="109"/>
      <c r="S181" s="109"/>
      <c r="T181" s="109"/>
      <c r="U181" s="110"/>
    </row>
    <row r="182" spans="1:21" ht="6" customHeight="1"/>
    <row r="183" spans="1:21" ht="51.9" customHeight="1">
      <c r="A183" s="103" t="s">
        <v>229</v>
      </c>
      <c r="B183" s="103"/>
      <c r="C183" s="103"/>
      <c r="D183" s="103"/>
      <c r="E183" s="103"/>
      <c r="F183" s="103"/>
      <c r="G183" s="103"/>
      <c r="H183" s="103"/>
      <c r="I183" s="103"/>
      <c r="J183" s="103"/>
      <c r="K183" s="103"/>
      <c r="L183" s="103"/>
      <c r="M183" s="103"/>
      <c r="N183" s="103"/>
      <c r="O183" s="103"/>
      <c r="P183" s="103"/>
      <c r="Q183" s="103"/>
      <c r="R183" s="103"/>
      <c r="S183" s="103"/>
      <c r="T183" s="103"/>
      <c r="U183" s="103"/>
    </row>
    <row r="185" spans="1:21" ht="15.6" customHeight="1">
      <c r="A185" s="126" t="s">
        <v>6</v>
      </c>
      <c r="B185" s="126"/>
      <c r="C185" s="1" t="s">
        <v>5</v>
      </c>
    </row>
    <row r="186" spans="1:21">
      <c r="A186" s="117"/>
      <c r="B186" s="118"/>
      <c r="C186" s="125" t="s">
        <v>132</v>
      </c>
      <c r="D186" s="123"/>
      <c r="E186" s="123"/>
      <c r="F186" s="123"/>
      <c r="G186" s="123"/>
      <c r="H186" s="123"/>
      <c r="I186" s="123"/>
      <c r="J186" s="123"/>
      <c r="K186" s="123"/>
      <c r="L186" s="123"/>
      <c r="M186" s="123"/>
      <c r="N186" s="123"/>
      <c r="O186" s="123"/>
      <c r="P186" s="123"/>
      <c r="Q186" s="123"/>
      <c r="R186" s="123"/>
      <c r="S186" s="123"/>
      <c r="T186" s="123"/>
      <c r="U186" s="123"/>
    </row>
    <row r="187" spans="1:21" ht="26.4" customHeight="1">
      <c r="C187" s="119" t="s">
        <v>133</v>
      </c>
      <c r="D187" s="119"/>
      <c r="E187" s="119"/>
      <c r="F187" s="119"/>
      <c r="G187" s="119"/>
      <c r="H187" s="119"/>
      <c r="I187" s="119"/>
      <c r="J187" s="119"/>
      <c r="K187" s="119"/>
      <c r="L187" s="119"/>
      <c r="M187" s="119"/>
      <c r="N187" s="119"/>
      <c r="O187" s="119"/>
      <c r="P187" s="119"/>
      <c r="Q187" s="119"/>
      <c r="R187" s="119"/>
      <c r="S187" s="119"/>
      <c r="T187" s="119"/>
      <c r="U187" s="119"/>
    </row>
    <row r="188" spans="1:21" ht="7.5" customHeight="1"/>
    <row r="189" spans="1:21">
      <c r="A189" s="117"/>
      <c r="B189" s="118"/>
      <c r="C189" s="128" t="s">
        <v>4</v>
      </c>
      <c r="D189" s="123"/>
      <c r="E189" s="123"/>
      <c r="F189" s="123"/>
      <c r="G189" s="123"/>
      <c r="H189" s="123"/>
      <c r="I189" s="123"/>
      <c r="J189" s="123"/>
      <c r="K189" s="123"/>
      <c r="L189" s="123"/>
      <c r="M189" s="123"/>
      <c r="N189" s="123"/>
      <c r="O189" s="123"/>
      <c r="P189" s="123"/>
      <c r="Q189" s="123"/>
      <c r="R189" s="123"/>
      <c r="S189" s="123"/>
      <c r="T189" s="123"/>
      <c r="U189" s="123"/>
    </row>
    <row r="190" spans="1:21">
      <c r="A190" s="8"/>
      <c r="B190" s="8"/>
      <c r="C190" s="10"/>
      <c r="D190" s="9" t="str">
        <f>A28</f>
        <v>Non-Refundable Deposit:</v>
      </c>
      <c r="E190" s="9"/>
      <c r="F190" s="9"/>
      <c r="G190" s="9"/>
      <c r="H190" s="9"/>
      <c r="I190" s="9"/>
      <c r="J190" s="9"/>
      <c r="K190" s="9"/>
      <c r="L190" s="121">
        <f>G28</f>
        <v>0</v>
      </c>
      <c r="M190" s="121"/>
      <c r="N190" s="121"/>
      <c r="O190" s="9"/>
      <c r="P190" s="9"/>
      <c r="Q190" s="9"/>
      <c r="R190" s="9"/>
      <c r="S190" s="9"/>
      <c r="T190" s="9"/>
      <c r="U190" s="9"/>
    </row>
    <row r="191" spans="1:21">
      <c r="C191" s="7"/>
      <c r="D191" s="9" t="str">
        <f>A29</f>
        <v>30% - Prior to Excavation</v>
      </c>
      <c r="L191" s="121">
        <f>G29</f>
        <v>0</v>
      </c>
      <c r="M191" s="121"/>
      <c r="N191" s="121"/>
    </row>
    <row r="192" spans="1:21">
      <c r="D192" s="9" t="str">
        <f>A30</f>
        <v xml:space="preserve">30% - Prior to Shotcete </v>
      </c>
      <c r="L192" s="121">
        <f>G30</f>
        <v>0</v>
      </c>
      <c r="M192" s="121"/>
      <c r="N192" s="121"/>
    </row>
    <row r="193" spans="1:21">
      <c r="D193" s="9" t="str">
        <f>A31</f>
        <v>30% - Prior to Decking</v>
      </c>
      <c r="L193" s="121">
        <f>G31</f>
        <v>0</v>
      </c>
      <c r="M193" s="121"/>
      <c r="N193" s="121"/>
    </row>
    <row r="194" spans="1:21">
      <c r="D194" s="9" t="str">
        <f>A32</f>
        <v xml:space="preserve">10% - Prior to Interior Finish </v>
      </c>
      <c r="L194" s="121">
        <f>G32</f>
        <v>0</v>
      </c>
      <c r="M194" s="121"/>
      <c r="N194" s="121"/>
    </row>
    <row r="195" spans="1:21" ht="7.5" customHeight="1">
      <c r="D195" s="7"/>
    </row>
    <row r="196" spans="1:21">
      <c r="A196" s="117"/>
      <c r="B196" s="118"/>
      <c r="C196" s="123" t="s">
        <v>134</v>
      </c>
      <c r="D196" s="124"/>
      <c r="E196" s="124"/>
      <c r="F196" s="124"/>
      <c r="G196" s="124"/>
      <c r="H196" s="124"/>
      <c r="I196" s="124"/>
      <c r="J196" s="124"/>
      <c r="K196" s="124"/>
      <c r="L196" s="124"/>
      <c r="M196" s="124"/>
      <c r="N196" s="124"/>
      <c r="O196" s="124"/>
      <c r="P196" s="124"/>
      <c r="Q196" s="124"/>
      <c r="R196" s="124"/>
      <c r="S196" s="124"/>
      <c r="T196" s="124"/>
      <c r="U196" s="124"/>
    </row>
    <row r="197" spans="1:21">
      <c r="A197" s="6"/>
      <c r="B197" s="6"/>
      <c r="C197" s="119" t="s">
        <v>135</v>
      </c>
      <c r="D197" s="119"/>
      <c r="E197" s="119"/>
      <c r="F197" s="119"/>
      <c r="G197" s="119"/>
      <c r="H197" s="119"/>
      <c r="I197" s="119"/>
      <c r="J197" s="119"/>
      <c r="K197" s="119"/>
      <c r="L197" s="119"/>
      <c r="M197" s="119"/>
      <c r="N197" s="119"/>
      <c r="O197" s="119"/>
      <c r="P197" s="119"/>
      <c r="Q197" s="119"/>
      <c r="R197" s="119"/>
      <c r="S197" s="119"/>
      <c r="T197" s="119"/>
      <c r="U197" s="119"/>
    </row>
    <row r="198" spans="1:21" ht="7.5" customHeight="1"/>
    <row r="199" spans="1:21">
      <c r="A199" s="117"/>
      <c r="B199" s="118"/>
      <c r="C199" t="s">
        <v>138</v>
      </c>
    </row>
    <row r="200" spans="1:21" ht="29.4" customHeight="1">
      <c r="A200" s="6"/>
      <c r="B200" s="6"/>
      <c r="C200" s="119" t="s">
        <v>139</v>
      </c>
      <c r="D200" s="127"/>
      <c r="E200" s="127"/>
      <c r="F200" s="127"/>
      <c r="G200" s="127"/>
      <c r="H200" s="127"/>
      <c r="I200" s="127"/>
      <c r="J200" s="127"/>
      <c r="K200" s="127"/>
      <c r="L200" s="127"/>
      <c r="M200" s="127"/>
      <c r="N200" s="127"/>
      <c r="O200" s="127"/>
      <c r="P200" s="127"/>
      <c r="Q200" s="127"/>
      <c r="R200" s="127"/>
      <c r="S200" s="127"/>
      <c r="T200" s="127"/>
      <c r="U200" s="127"/>
    </row>
    <row r="201" spans="1:21" ht="7.5" customHeight="1">
      <c r="C201" s="127"/>
      <c r="D201" s="127"/>
      <c r="E201" s="127"/>
      <c r="F201" s="127"/>
      <c r="G201" s="127"/>
      <c r="H201" s="127"/>
      <c r="I201" s="127"/>
      <c r="J201" s="127"/>
      <c r="K201" s="127"/>
      <c r="L201" s="127"/>
      <c r="M201" s="127"/>
      <c r="N201" s="127"/>
      <c r="O201" s="127"/>
      <c r="P201" s="127"/>
      <c r="Q201" s="127"/>
      <c r="R201" s="127"/>
      <c r="S201" s="127"/>
      <c r="T201" s="127"/>
      <c r="U201" s="127"/>
    </row>
    <row r="202" spans="1:21">
      <c r="A202" s="117"/>
      <c r="B202" s="118"/>
      <c r="C202" t="s">
        <v>136</v>
      </c>
    </row>
    <row r="203" spans="1:21">
      <c r="A203" s="8"/>
      <c r="B203" s="8"/>
      <c r="C203" s="7" t="s">
        <v>137</v>
      </c>
    </row>
    <row r="204" spans="1:21" ht="7.5" customHeight="1"/>
    <row r="205" spans="1:21">
      <c r="A205" s="117"/>
      <c r="B205" s="118"/>
      <c r="C205" t="s">
        <v>140</v>
      </c>
    </row>
    <row r="206" spans="1:21" ht="38.4" customHeight="1">
      <c r="C206" s="119" t="s">
        <v>141</v>
      </c>
      <c r="D206" s="127"/>
      <c r="E206" s="127"/>
      <c r="F206" s="127"/>
      <c r="G206" s="127"/>
      <c r="H206" s="127"/>
      <c r="I206" s="127"/>
      <c r="J206" s="127"/>
      <c r="K206" s="127"/>
      <c r="L206" s="127"/>
      <c r="M206" s="127"/>
      <c r="N206" s="127"/>
      <c r="O206" s="127"/>
      <c r="P206" s="127"/>
      <c r="Q206" s="127"/>
      <c r="R206" s="127"/>
      <c r="S206" s="127"/>
      <c r="T206" s="127"/>
      <c r="U206" s="127"/>
    </row>
    <row r="207" spans="1:21" ht="7.5" customHeight="1"/>
    <row r="208" spans="1:21">
      <c r="A208" s="117"/>
      <c r="B208" s="118"/>
      <c r="C208" t="s">
        <v>228</v>
      </c>
    </row>
    <row r="209" spans="1:23" ht="7.5" customHeight="1"/>
    <row r="210" spans="1:23" ht="15.6" customHeight="1">
      <c r="C210" s="1" t="s">
        <v>2</v>
      </c>
      <c r="U210" s="6"/>
      <c r="V210" s="6"/>
      <c r="W210" s="6"/>
    </row>
    <row r="211" spans="1:23">
      <c r="A211" s="117"/>
      <c r="B211" s="118"/>
      <c r="C211" t="s">
        <v>142</v>
      </c>
      <c r="U211" s="6"/>
      <c r="V211" s="6"/>
      <c r="W211" s="6"/>
    </row>
    <row r="212" spans="1:23" ht="29.4" customHeight="1">
      <c r="C212" s="119" t="s">
        <v>143</v>
      </c>
      <c r="D212" s="119"/>
      <c r="E212" s="119"/>
      <c r="F212" s="119"/>
      <c r="G212" s="119"/>
      <c r="H212" s="119"/>
      <c r="I212" s="119"/>
      <c r="J212" s="119"/>
      <c r="K212" s="119"/>
      <c r="L212" s="119"/>
      <c r="M212" s="119"/>
      <c r="N212" s="119"/>
      <c r="O212" s="119"/>
      <c r="P212" s="119"/>
      <c r="Q212" s="119"/>
      <c r="R212" s="119"/>
      <c r="S212" s="119"/>
      <c r="T212" s="119"/>
      <c r="U212" s="119"/>
    </row>
    <row r="213" spans="1:23" ht="7.5" customHeight="1">
      <c r="C213" s="7"/>
    </row>
    <row r="214" spans="1:23" ht="15.6" customHeight="1">
      <c r="C214" s="1" t="s">
        <v>1</v>
      </c>
    </row>
    <row r="215" spans="1:23">
      <c r="A215" s="117"/>
      <c r="B215" s="118"/>
      <c r="C215" t="s">
        <v>144</v>
      </c>
    </row>
    <row r="216" spans="1:23" ht="28.5" customHeight="1">
      <c r="C216" s="119" t="s">
        <v>145</v>
      </c>
      <c r="D216" s="127"/>
      <c r="E216" s="127"/>
      <c r="F216" s="127"/>
      <c r="G216" s="127"/>
      <c r="H216" s="127"/>
      <c r="I216" s="127"/>
      <c r="J216" s="127"/>
      <c r="K216" s="127"/>
      <c r="L216" s="127"/>
      <c r="M216" s="127"/>
      <c r="N216" s="127"/>
      <c r="O216" s="127"/>
      <c r="P216" s="127"/>
      <c r="Q216" s="127"/>
      <c r="R216" s="127"/>
      <c r="S216" s="127"/>
      <c r="T216" s="127"/>
      <c r="U216" s="127"/>
    </row>
    <row r="217" spans="1:23" ht="7.5" customHeight="1">
      <c r="C217" s="7"/>
    </row>
    <row r="218" spans="1:23">
      <c r="A218" s="117"/>
      <c r="B218" s="118"/>
      <c r="C218" s="125" t="s">
        <v>396</v>
      </c>
      <c r="D218" s="124"/>
      <c r="E218" s="124"/>
      <c r="F218" s="124"/>
      <c r="G218" s="124"/>
      <c r="H218" s="124"/>
      <c r="I218" s="124"/>
      <c r="J218" s="124"/>
      <c r="K218" s="124"/>
      <c r="L218" s="124"/>
      <c r="M218" s="124"/>
      <c r="N218" s="124"/>
      <c r="O218" s="124"/>
      <c r="P218" s="124"/>
      <c r="Q218" s="124"/>
      <c r="R218" s="124"/>
      <c r="S218" s="124"/>
      <c r="T218" s="124"/>
      <c r="U218" s="124"/>
    </row>
    <row r="219" spans="1:23" ht="41.1" customHeight="1">
      <c r="C219" s="119" t="s">
        <v>146</v>
      </c>
      <c r="D219" s="119"/>
      <c r="E219" s="119"/>
      <c r="F219" s="119"/>
      <c r="G219" s="119"/>
      <c r="H219" s="119"/>
      <c r="I219" s="119"/>
      <c r="J219" s="119"/>
      <c r="K219" s="119"/>
      <c r="L219" s="119"/>
      <c r="M219" s="119"/>
      <c r="N219" s="119"/>
      <c r="O219" s="119"/>
      <c r="P219" s="119"/>
      <c r="Q219" s="119"/>
      <c r="R219" s="119"/>
      <c r="S219" s="119"/>
      <c r="T219" s="119"/>
      <c r="U219" s="119"/>
    </row>
    <row r="220" spans="1:23" ht="7.5" customHeight="1"/>
    <row r="221" spans="1:23">
      <c r="A221" s="117"/>
      <c r="B221" s="118"/>
      <c r="C221" t="s">
        <v>147</v>
      </c>
    </row>
    <row r="222" spans="1:23" ht="27.6" customHeight="1">
      <c r="C222" s="119" t="s">
        <v>148</v>
      </c>
      <c r="D222" s="119"/>
      <c r="E222" s="119"/>
      <c r="F222" s="119"/>
      <c r="G222" s="119"/>
      <c r="H222" s="119"/>
      <c r="I222" s="119"/>
      <c r="J222" s="119"/>
      <c r="K222" s="119"/>
      <c r="L222" s="119"/>
      <c r="M222" s="119"/>
      <c r="N222" s="119"/>
      <c r="O222" s="119"/>
      <c r="P222" s="119"/>
      <c r="Q222" s="119"/>
      <c r="R222" s="119"/>
      <c r="S222" s="119"/>
      <c r="T222" s="119"/>
      <c r="U222" s="119"/>
    </row>
    <row r="223" spans="1:23" ht="7.5" customHeight="1"/>
    <row r="224" spans="1:23">
      <c r="A224" s="117"/>
      <c r="B224" s="118"/>
      <c r="C224" t="s">
        <v>149</v>
      </c>
    </row>
    <row r="225" spans="1:21">
      <c r="C225" t="s">
        <v>150</v>
      </c>
    </row>
    <row r="226" spans="1:21" ht="7.5" customHeight="1"/>
    <row r="227" spans="1:21" ht="15.6" customHeight="1">
      <c r="C227" s="1" t="s">
        <v>0</v>
      </c>
    </row>
    <row r="228" spans="1:21">
      <c r="A228" s="117"/>
      <c r="B228" s="118"/>
      <c r="C228" t="s">
        <v>151</v>
      </c>
    </row>
    <row r="229" spans="1:21" ht="27" customHeight="1">
      <c r="A229" s="8"/>
      <c r="B229" s="8"/>
      <c r="C229" s="119" t="s">
        <v>152</v>
      </c>
      <c r="D229" s="119"/>
      <c r="E229" s="119"/>
      <c r="F229" s="119"/>
      <c r="G229" s="119"/>
      <c r="H229" s="119"/>
      <c r="I229" s="119"/>
      <c r="J229" s="119"/>
      <c r="K229" s="119"/>
      <c r="L229" s="119"/>
      <c r="M229" s="119"/>
      <c r="N229" s="119"/>
      <c r="O229" s="119"/>
      <c r="P229" s="119"/>
      <c r="Q229" s="119"/>
      <c r="R229" s="119"/>
      <c r="S229" s="119"/>
      <c r="T229" s="119"/>
      <c r="U229" s="119"/>
    </row>
    <row r="230" spans="1:21" ht="7.5" customHeight="1"/>
    <row r="231" spans="1:21">
      <c r="A231" s="117"/>
      <c r="B231" s="118"/>
      <c r="C231" t="s">
        <v>153</v>
      </c>
    </row>
    <row r="232" spans="1:21" ht="25.5" customHeight="1">
      <c r="C232" s="119" t="s">
        <v>154</v>
      </c>
      <c r="D232" s="119"/>
      <c r="E232" s="119"/>
      <c r="F232" s="119"/>
      <c r="G232" s="119"/>
      <c r="H232" s="119"/>
      <c r="I232" s="119"/>
      <c r="J232" s="119"/>
      <c r="K232" s="119"/>
      <c r="L232" s="119"/>
      <c r="M232" s="119"/>
      <c r="N232" s="119"/>
      <c r="O232" s="119"/>
      <c r="P232" s="119"/>
      <c r="Q232" s="119"/>
      <c r="R232" s="119"/>
      <c r="S232" s="119"/>
      <c r="T232" s="119"/>
      <c r="U232" s="119"/>
    </row>
    <row r="233" spans="1:21" ht="7.5" customHeight="1"/>
    <row r="234" spans="1:21">
      <c r="A234" s="117"/>
      <c r="B234" s="118"/>
      <c r="C234" s="9" t="s">
        <v>155</v>
      </c>
      <c r="D234" s="10"/>
      <c r="E234" s="10"/>
      <c r="F234" s="10"/>
      <c r="G234" s="10"/>
      <c r="H234" s="10"/>
      <c r="I234" s="10"/>
      <c r="J234" s="10"/>
      <c r="K234" s="10"/>
      <c r="L234" s="10"/>
      <c r="M234" s="10"/>
      <c r="N234" s="10"/>
      <c r="O234" s="10"/>
      <c r="P234" s="10"/>
      <c r="Q234" s="10"/>
      <c r="R234" s="10"/>
      <c r="S234" s="10"/>
      <c r="T234" s="10"/>
      <c r="U234" s="9"/>
    </row>
    <row r="235" spans="1:21" ht="41.4" customHeight="1">
      <c r="A235" s="8"/>
      <c r="B235" s="8"/>
      <c r="C235" s="120" t="s">
        <v>156</v>
      </c>
      <c r="D235" s="120"/>
      <c r="E235" s="120"/>
      <c r="F235" s="120"/>
      <c r="G235" s="120"/>
      <c r="H235" s="120"/>
      <c r="I235" s="120"/>
      <c r="J235" s="120"/>
      <c r="K235" s="120"/>
      <c r="L235" s="120"/>
      <c r="M235" s="120"/>
      <c r="N235" s="120"/>
      <c r="O235" s="120"/>
      <c r="P235" s="120"/>
      <c r="Q235" s="120"/>
      <c r="R235" s="120"/>
      <c r="S235" s="120"/>
      <c r="T235" s="120"/>
      <c r="U235" s="120"/>
    </row>
    <row r="236" spans="1:21" ht="7.5" customHeight="1">
      <c r="A236" s="8"/>
      <c r="B236" s="8"/>
      <c r="C236" s="15"/>
      <c r="D236" s="15"/>
      <c r="E236" s="15"/>
      <c r="F236" s="15"/>
      <c r="G236" s="15"/>
      <c r="H236" s="15"/>
      <c r="I236" s="15"/>
      <c r="J236" s="15"/>
      <c r="K236" s="15"/>
      <c r="L236" s="15"/>
      <c r="M236" s="15"/>
      <c r="N236" s="15"/>
      <c r="O236" s="15"/>
      <c r="P236" s="15"/>
      <c r="Q236" s="15"/>
      <c r="R236" s="15"/>
      <c r="S236" s="15"/>
      <c r="T236" s="15"/>
      <c r="U236" s="15"/>
    </row>
    <row r="237" spans="1:21" ht="13.5" customHeight="1">
      <c r="A237" s="117"/>
      <c r="B237" s="118"/>
      <c r="C237" s="165" t="s">
        <v>372</v>
      </c>
      <c r="D237" s="166"/>
      <c r="E237" s="166"/>
      <c r="F237" s="166"/>
      <c r="G237" s="166"/>
      <c r="H237" s="166"/>
      <c r="I237" s="166"/>
      <c r="J237" s="166"/>
      <c r="K237" s="166"/>
      <c r="L237" s="166"/>
      <c r="M237" s="166"/>
      <c r="N237" s="166"/>
      <c r="O237" s="166"/>
      <c r="P237" s="166"/>
      <c r="Q237" s="166"/>
      <c r="R237" s="166"/>
      <c r="S237" s="166"/>
      <c r="T237" s="166"/>
      <c r="U237" s="166"/>
    </row>
    <row r="238" spans="1:21" ht="13.5" customHeight="1">
      <c r="A238" s="8"/>
      <c r="B238" s="8"/>
      <c r="C238" s="15"/>
      <c r="D238" s="15"/>
      <c r="E238" s="15"/>
      <c r="F238" s="15"/>
      <c r="G238" s="15"/>
      <c r="H238" s="15"/>
      <c r="I238" s="15"/>
      <c r="J238" s="15"/>
      <c r="K238" s="15"/>
      <c r="L238" s="15"/>
      <c r="M238" s="15"/>
      <c r="N238" s="15"/>
      <c r="O238" s="15"/>
      <c r="P238" s="15"/>
      <c r="Q238" s="15"/>
      <c r="R238" s="15"/>
      <c r="S238" s="15"/>
      <c r="T238" s="15"/>
      <c r="U238" s="15"/>
    </row>
    <row r="239" spans="1:21" ht="13.5" customHeight="1">
      <c r="A239" s="117"/>
      <c r="B239" s="118"/>
      <c r="C239" s="165" t="s">
        <v>373</v>
      </c>
      <c r="D239" s="166"/>
      <c r="E239" s="166"/>
      <c r="F239" s="166"/>
      <c r="G239" s="166"/>
      <c r="H239" s="166"/>
      <c r="I239" s="166"/>
      <c r="J239" s="166"/>
      <c r="K239" s="166"/>
      <c r="L239" s="166"/>
      <c r="M239" s="166"/>
      <c r="N239" s="166"/>
      <c r="O239" s="166"/>
      <c r="P239" s="166"/>
      <c r="Q239" s="166"/>
      <c r="R239" s="166"/>
      <c r="S239" s="166"/>
      <c r="T239" s="166"/>
      <c r="U239" s="166"/>
    </row>
    <row r="240" spans="1:21" ht="13.5" customHeight="1">
      <c r="A240" s="8"/>
      <c r="B240" s="8"/>
      <c r="C240" s="15"/>
      <c r="D240" s="15"/>
      <c r="E240" s="15"/>
      <c r="F240" s="15"/>
      <c r="G240" s="15"/>
      <c r="H240" s="15"/>
      <c r="I240" s="15"/>
      <c r="J240" s="15"/>
      <c r="K240" s="15"/>
      <c r="L240" s="15"/>
      <c r="M240" s="15"/>
      <c r="N240" s="15"/>
      <c r="O240" s="15"/>
      <c r="P240" s="15"/>
      <c r="Q240" s="15"/>
      <c r="R240" s="15"/>
      <c r="S240" s="15"/>
      <c r="T240" s="15"/>
      <c r="U240" s="15"/>
    </row>
    <row r="241" spans="1:26" ht="13.5" customHeight="1">
      <c r="A241" s="8"/>
      <c r="B241" s="8"/>
      <c r="C241" s="15"/>
      <c r="D241" s="15"/>
      <c r="E241" s="15"/>
      <c r="F241" s="15"/>
      <c r="G241" s="15"/>
      <c r="H241" s="15"/>
      <c r="I241" s="15"/>
      <c r="J241" s="15"/>
      <c r="K241" s="15"/>
      <c r="L241" s="15"/>
      <c r="M241" s="15"/>
      <c r="N241" s="15"/>
      <c r="O241" s="15"/>
      <c r="P241" s="15"/>
      <c r="Q241" s="15"/>
      <c r="R241" s="15"/>
      <c r="S241" s="15"/>
      <c r="T241" s="15"/>
      <c r="U241" s="15"/>
    </row>
    <row r="242" spans="1:26" ht="13.5" customHeight="1">
      <c r="A242" s="8"/>
      <c r="B242" s="8"/>
      <c r="C242" s="15"/>
      <c r="D242" s="15"/>
      <c r="E242" s="15"/>
      <c r="F242" s="15"/>
      <c r="G242" s="15"/>
      <c r="H242" s="15"/>
      <c r="I242" s="15"/>
      <c r="J242" s="15"/>
      <c r="K242" s="15"/>
      <c r="L242" s="15"/>
      <c r="M242" s="15"/>
      <c r="N242" s="15"/>
      <c r="O242" s="15"/>
      <c r="P242" s="15"/>
      <c r="Q242" s="15"/>
      <c r="R242" s="15"/>
      <c r="S242" s="15"/>
      <c r="T242" s="15"/>
      <c r="U242" s="15"/>
    </row>
    <row r="243" spans="1:26" ht="13.5" customHeight="1">
      <c r="A243" s="85" t="s">
        <v>365</v>
      </c>
      <c r="B243" s="85"/>
      <c r="C243" s="85"/>
      <c r="D243" s="85"/>
      <c r="E243" s="85"/>
      <c r="F243" s="85"/>
      <c r="G243" s="85"/>
      <c r="H243" s="85"/>
      <c r="I243" s="85"/>
      <c r="J243" s="85"/>
      <c r="K243" s="85"/>
      <c r="L243" s="85"/>
      <c r="M243" s="85"/>
      <c r="N243" s="85"/>
      <c r="O243" s="85"/>
      <c r="P243" s="85"/>
      <c r="Q243" s="85"/>
      <c r="R243" s="85"/>
      <c r="S243" s="85"/>
      <c r="T243" s="85"/>
      <c r="U243" s="85"/>
    </row>
    <row r="244" spans="1:26" ht="18.600000000000001" customHeight="1">
      <c r="A244" s="2"/>
      <c r="B244" s="6"/>
      <c r="C244" s="6"/>
      <c r="D244" s="6"/>
      <c r="E244" s="6"/>
      <c r="F244" s="6"/>
      <c r="G244" s="6"/>
      <c r="H244" s="6"/>
      <c r="I244" s="6"/>
      <c r="J244" s="6"/>
      <c r="K244" s="92" t="s">
        <v>157</v>
      </c>
      <c r="L244" s="92"/>
      <c r="M244" s="92"/>
      <c r="N244" s="101"/>
      <c r="O244" s="108">
        <f>O180</f>
        <v>0</v>
      </c>
      <c r="P244" s="109"/>
      <c r="Q244" s="109"/>
      <c r="R244" s="109"/>
      <c r="S244" s="109"/>
      <c r="T244" s="109"/>
      <c r="U244" s="110"/>
    </row>
    <row r="245" spans="1:26" ht="5.4" customHeight="1"/>
    <row r="246" spans="1:26" ht="51.9" customHeight="1">
      <c r="A246" s="103" t="s">
        <v>229</v>
      </c>
      <c r="B246" s="103"/>
      <c r="C246" s="103"/>
      <c r="D246" s="103"/>
      <c r="E246" s="103"/>
      <c r="F246" s="103"/>
      <c r="G246" s="103"/>
      <c r="H246" s="103"/>
      <c r="I246" s="103"/>
      <c r="J246" s="103"/>
      <c r="K246" s="103"/>
      <c r="L246" s="103"/>
      <c r="M246" s="103"/>
      <c r="N246" s="103"/>
      <c r="O246" s="103"/>
      <c r="P246" s="103"/>
      <c r="Q246" s="103"/>
      <c r="R246" s="103"/>
      <c r="S246" s="103"/>
      <c r="T246" s="103"/>
      <c r="U246" s="103"/>
    </row>
    <row r="248" spans="1:26" ht="15.6">
      <c r="A248" s="126" t="s">
        <v>6</v>
      </c>
      <c r="B248" s="126"/>
      <c r="C248" s="1" t="str">
        <f>IF($W$248="SHOTCRETE","INTERIOR FINISH","FIBERGLASS")</f>
        <v>INTERIOR FINISH</v>
      </c>
      <c r="W248" t="str">
        <f>A1</f>
        <v>SHOTCRETE</v>
      </c>
    </row>
    <row r="249" spans="1:26">
      <c r="A249" s="117"/>
      <c r="B249" s="118"/>
      <c r="C249" s="125" t="str">
        <f>Z249</f>
        <v xml:space="preserve">Proper water chemistry levels (Chlorine, pH, Alkalinity, etc.) are imperative to ensure a long-lasting, durable and attractive interior finish. </v>
      </c>
      <c r="D249" s="123"/>
      <c r="E249" s="123"/>
      <c r="F249" s="123"/>
      <c r="G249" s="123"/>
      <c r="H249" s="123"/>
      <c r="I249" s="123"/>
      <c r="J249" s="123"/>
      <c r="K249" s="123"/>
      <c r="L249" s="123"/>
      <c r="M249" s="123"/>
      <c r="N249" s="123"/>
      <c r="O249" s="123"/>
      <c r="P249" s="123"/>
      <c r="Q249" s="123"/>
      <c r="R249" s="123"/>
      <c r="S249" s="123"/>
      <c r="T249" s="123"/>
      <c r="U249" s="123"/>
      <c r="Z249" t="s">
        <v>344</v>
      </c>
    </row>
    <row r="250" spans="1:26" ht="39.9" customHeight="1">
      <c r="C250" s="119" t="str">
        <f>IF(W249="FIBERGLASS","",Z250)</f>
        <v>Failure to maintain these levels willvoid any warranty on your interior finish.  Premier Pools &amp; Spas recommends having your pool water professionally tested at least once a month to protect your finish and your warranty.  Please keep a record of these professional tests as documentation of the testing.</v>
      </c>
      <c r="D250" s="119"/>
      <c r="E250" s="119"/>
      <c r="F250" s="119"/>
      <c r="G250" s="119"/>
      <c r="H250" s="119"/>
      <c r="I250" s="119"/>
      <c r="J250" s="119"/>
      <c r="K250" s="119"/>
      <c r="L250" s="119"/>
      <c r="M250" s="119"/>
      <c r="N250" s="119"/>
      <c r="O250" s="119"/>
      <c r="P250" s="119"/>
      <c r="Q250" s="119"/>
      <c r="R250" s="119"/>
      <c r="S250" s="119"/>
      <c r="T250" s="119"/>
      <c r="U250" s="119"/>
      <c r="Z250" t="s">
        <v>345</v>
      </c>
    </row>
    <row r="251" spans="1:26">
      <c r="A251" s="8"/>
      <c r="B251" s="8"/>
      <c r="C251" s="7"/>
      <c r="Z251" s="7"/>
    </row>
    <row r="252" spans="1:26" ht="15.6">
      <c r="A252" s="8"/>
      <c r="B252" s="8"/>
      <c r="C252" s="1" t="str">
        <f>IF($W$248="SHOTCRETE","NON-PEBBLE FINISH","")</f>
        <v>NON-PEBBLE FINISH</v>
      </c>
    </row>
    <row r="253" spans="1:26" ht="13.8">
      <c r="A253" s="117"/>
      <c r="B253" s="118"/>
      <c r="C253" s="125" t="str">
        <f>IF($W$248="FIBERGLASS",Z278,Z254)</f>
        <v>Interior finish cannot be guaranteed for evenness of color and may not be the exact shade requested.</v>
      </c>
      <c r="D253" s="123"/>
      <c r="E253" s="123"/>
      <c r="F253" s="123"/>
      <c r="G253" s="123"/>
      <c r="H253" s="123"/>
      <c r="I253" s="123"/>
      <c r="J253" s="123"/>
      <c r="K253" s="123"/>
      <c r="L253" s="123"/>
      <c r="M253" s="123"/>
      <c r="N253" s="123"/>
      <c r="O253" s="123"/>
      <c r="P253" s="123"/>
      <c r="Q253" s="123"/>
      <c r="R253" s="123"/>
      <c r="S253" s="123"/>
      <c r="T253" s="123"/>
      <c r="U253" s="123"/>
      <c r="Z253" s="71" t="s">
        <v>340</v>
      </c>
    </row>
    <row r="254" spans="1:26">
      <c r="A254" s="8"/>
      <c r="B254" s="8"/>
      <c r="C254" s="7"/>
      <c r="Z254" t="s">
        <v>346</v>
      </c>
    </row>
    <row r="255" spans="1:26" ht="12.9" customHeight="1">
      <c r="A255" s="117"/>
      <c r="B255" s="118"/>
      <c r="C255" s="125" t="str">
        <f>IF($W$248="FIBERGLASS",Z280,Z256)</f>
        <v>Shading and color variation is a natural occurrence in all non-pebble interior finishes.</v>
      </c>
      <c r="D255" s="123"/>
      <c r="E255" s="123"/>
      <c r="F255" s="123"/>
      <c r="G255" s="123"/>
      <c r="H255" s="123"/>
      <c r="I255" s="123"/>
      <c r="J255" s="123"/>
      <c r="K255" s="123"/>
      <c r="L255" s="123"/>
      <c r="M255" s="123"/>
      <c r="N255" s="123"/>
      <c r="O255" s="123"/>
      <c r="P255" s="123"/>
      <c r="Q255" s="123"/>
      <c r="R255" s="123"/>
      <c r="S255" s="123"/>
      <c r="T255" s="123"/>
      <c r="U255" s="123"/>
    </row>
    <row r="256" spans="1:26">
      <c r="A256" s="8"/>
      <c r="B256" s="8"/>
      <c r="C256" s="7"/>
      <c r="Z256" s="7" t="s">
        <v>341</v>
      </c>
    </row>
    <row r="257" spans="1:26">
      <c r="A257" s="117"/>
      <c r="B257" s="118"/>
      <c r="C257" s="125" t="str">
        <f>IF($W$248="FIBERGLASS",Z282,Z258)</f>
        <v>The original color will fade over time due to sun and chemical exposure.</v>
      </c>
      <c r="D257" s="123"/>
      <c r="E257" s="123"/>
      <c r="F257" s="123"/>
      <c r="G257" s="123"/>
      <c r="H257" s="123"/>
      <c r="I257" s="123"/>
      <c r="J257" s="123"/>
      <c r="K257" s="123"/>
      <c r="L257" s="123"/>
      <c r="M257" s="123"/>
      <c r="N257" s="123"/>
      <c r="O257" s="123"/>
      <c r="P257" s="123"/>
      <c r="Q257" s="123"/>
      <c r="R257" s="123"/>
      <c r="S257" s="123"/>
      <c r="T257" s="123"/>
      <c r="U257" s="123"/>
    </row>
    <row r="258" spans="1:26">
      <c r="A258" s="8"/>
      <c r="B258" s="8"/>
      <c r="C258" s="7"/>
      <c r="Z258" s="7" t="s">
        <v>342</v>
      </c>
    </row>
    <row r="259" spans="1:26">
      <c r="A259" s="117"/>
      <c r="B259" s="118"/>
      <c r="C259" s="125" t="str">
        <f>IF($W$248="FIBERGLASS",Z288,Z260)</f>
        <v xml:space="preserve">Non-Pebble interior finishes have a tendency to be streaked, blotchy and have a mottled appearance.  These are not workmanship </v>
      </c>
      <c r="D259" s="123"/>
      <c r="E259" s="123"/>
      <c r="F259" s="123"/>
      <c r="G259" s="123"/>
      <c r="H259" s="123"/>
      <c r="I259" s="123"/>
      <c r="J259" s="123"/>
      <c r="K259" s="123"/>
      <c r="L259" s="123"/>
      <c r="M259" s="123"/>
      <c r="N259" s="123"/>
      <c r="O259" s="123"/>
      <c r="P259" s="123"/>
      <c r="Q259" s="123"/>
      <c r="R259" s="123"/>
      <c r="S259" s="123"/>
      <c r="T259" s="123"/>
      <c r="U259" s="123"/>
    </row>
    <row r="260" spans="1:26">
      <c r="A260" s="8"/>
      <c r="B260" s="8"/>
      <c r="C260" s="123" t="str">
        <f>IF($W$248="FIBERGLASS",Z289,Z261)</f>
        <v>items and thus not covered under warranty.</v>
      </c>
      <c r="D260" s="123"/>
      <c r="E260" s="123"/>
      <c r="F260" s="123"/>
      <c r="G260" s="123"/>
      <c r="H260" s="123"/>
      <c r="I260" s="123"/>
      <c r="J260" s="123"/>
      <c r="K260" s="123"/>
      <c r="L260" s="123"/>
      <c r="M260" s="123"/>
      <c r="N260" s="123"/>
      <c r="O260" s="123"/>
      <c r="P260" s="123"/>
      <c r="Q260" s="123"/>
      <c r="R260" s="123"/>
      <c r="S260" s="123"/>
      <c r="T260" s="123"/>
      <c r="U260" s="123"/>
      <c r="Z260" t="s">
        <v>347</v>
      </c>
    </row>
    <row r="261" spans="1:26">
      <c r="A261" s="8"/>
      <c r="B261" s="8"/>
      <c r="C261" s="123"/>
      <c r="D261" s="123"/>
      <c r="E261" s="123"/>
      <c r="F261" s="123"/>
      <c r="G261" s="123"/>
      <c r="H261" s="123"/>
      <c r="I261" s="123"/>
      <c r="J261" s="123"/>
      <c r="K261" s="123"/>
      <c r="L261" s="123"/>
      <c r="M261" s="123"/>
      <c r="N261" s="123"/>
      <c r="O261" s="123"/>
      <c r="P261" s="123"/>
      <c r="Q261" s="123"/>
      <c r="R261" s="123"/>
      <c r="S261" s="123"/>
      <c r="T261" s="123"/>
      <c r="U261" s="123"/>
      <c r="Z261" t="s">
        <v>348</v>
      </c>
    </row>
    <row r="262" spans="1:26">
      <c r="A262" s="117"/>
      <c r="B262" s="118"/>
      <c r="C262" s="123" t="str">
        <f>IF($W$248="FIBERGLASS",Z284,Z263)</f>
        <v>Crazing (cracks in the surface) are unavoidable with non-pebble interior finishes and will be more pronounced with darker colors.  Again,</v>
      </c>
      <c r="D262" s="123"/>
      <c r="E262" s="123"/>
      <c r="F262" s="123"/>
      <c r="G262" s="123"/>
      <c r="H262" s="123"/>
      <c r="I262" s="123"/>
      <c r="J262" s="123"/>
      <c r="K262" s="123"/>
      <c r="L262" s="123"/>
      <c r="M262" s="123"/>
      <c r="N262" s="123"/>
      <c r="O262" s="123"/>
      <c r="P262" s="123"/>
      <c r="Q262" s="123"/>
      <c r="R262" s="123"/>
      <c r="S262" s="123"/>
      <c r="T262" s="123"/>
      <c r="U262" s="123"/>
    </row>
    <row r="263" spans="1:26">
      <c r="A263" s="8"/>
      <c r="B263" s="8"/>
      <c r="C263" s="123" t="str">
        <f>IF($W$248="FIBERGLASS",Z285,Z264)</f>
        <v>these are not workmanship items and thus are not covered under warranty.</v>
      </c>
      <c r="D263" s="123"/>
      <c r="E263" s="123"/>
      <c r="F263" s="123"/>
      <c r="G263" s="123"/>
      <c r="H263" s="123"/>
      <c r="I263" s="123"/>
      <c r="J263" s="123"/>
      <c r="K263" s="123"/>
      <c r="L263" s="123"/>
      <c r="M263" s="123"/>
      <c r="N263" s="123"/>
      <c r="O263" s="123"/>
      <c r="P263" s="123"/>
      <c r="Q263" s="123"/>
      <c r="R263" s="123"/>
      <c r="S263" s="123"/>
      <c r="T263" s="123"/>
      <c r="U263" s="123"/>
      <c r="Z263" t="s">
        <v>349</v>
      </c>
    </row>
    <row r="264" spans="1:26">
      <c r="A264" s="8"/>
      <c r="B264" s="8"/>
      <c r="C264" s="123" t="str">
        <f>IF($W$248="FIBERGLASS",Z286,"")</f>
        <v/>
      </c>
      <c r="D264" s="123"/>
      <c r="E264" s="123"/>
      <c r="F264" s="123"/>
      <c r="G264" s="123"/>
      <c r="H264" s="123"/>
      <c r="I264" s="123"/>
      <c r="J264" s="123"/>
      <c r="K264" s="123"/>
      <c r="L264" s="123"/>
      <c r="M264" s="123"/>
      <c r="N264" s="123"/>
      <c r="O264" s="123"/>
      <c r="P264" s="123"/>
      <c r="Q264" s="123"/>
      <c r="R264" s="123"/>
      <c r="S264" s="123"/>
      <c r="T264" s="123"/>
      <c r="U264" s="123"/>
      <c r="Z264" t="s">
        <v>350</v>
      </c>
    </row>
    <row r="265" spans="1:26" ht="15.6">
      <c r="A265" s="8"/>
      <c r="B265" s="8"/>
      <c r="C265" s="1" t="str">
        <f>IF($W$248="SHOTCRETE","PEBBLE FINISH","")</f>
        <v>PEBBLE FINISH</v>
      </c>
    </row>
    <row r="266" spans="1:26" ht="13.8">
      <c r="A266" s="117"/>
      <c r="B266" s="118"/>
      <c r="C266" s="123" t="str">
        <f>IF($W$248="FIBERGLASS",Z291,Z267)</f>
        <v xml:space="preserve">Pebble interior finishes are natural products and as such will have a certain amount of unevenness or variation in the exposure of the </v>
      </c>
      <c r="D266" s="123"/>
      <c r="E266" s="123"/>
      <c r="F266" s="123"/>
      <c r="G266" s="123"/>
      <c r="H266" s="123"/>
      <c r="I266" s="123"/>
      <c r="J266" s="123"/>
      <c r="K266" s="123"/>
      <c r="L266" s="123"/>
      <c r="M266" s="123"/>
      <c r="N266" s="123"/>
      <c r="O266" s="123"/>
      <c r="P266" s="123"/>
      <c r="Q266" s="123"/>
      <c r="R266" s="123"/>
      <c r="S266" s="123"/>
      <c r="T266" s="123"/>
      <c r="U266" s="123"/>
      <c r="Z266" s="71" t="s">
        <v>343</v>
      </c>
    </row>
    <row r="267" spans="1:26">
      <c r="A267" s="8"/>
      <c r="B267" s="8"/>
      <c r="C267" s="123" t="str">
        <f>IF($W$248="FIBERGLASS",Z292,Z268)</f>
        <v xml:space="preserve">pebbles. This is part of the beauty of these finishes and is most common on the edges of the steps and benches, as well as, the coves </v>
      </c>
      <c r="D267" s="123"/>
      <c r="E267" s="123"/>
      <c r="F267" s="123"/>
      <c r="G267" s="123"/>
      <c r="H267" s="123"/>
      <c r="I267" s="123"/>
      <c r="J267" s="123"/>
      <c r="K267" s="123"/>
      <c r="L267" s="123"/>
      <c r="M267" s="123"/>
      <c r="N267" s="123"/>
      <c r="O267" s="123"/>
      <c r="P267" s="123"/>
      <c r="Q267" s="123"/>
      <c r="R267" s="123"/>
      <c r="S267" s="123"/>
      <c r="T267" s="123"/>
      <c r="U267" s="123"/>
      <c r="Z267" t="s">
        <v>351</v>
      </c>
    </row>
    <row r="268" spans="1:26">
      <c r="A268" s="8"/>
      <c r="B268" s="8"/>
      <c r="C268" s="123" t="str">
        <f>IF($W$248="FIBERGLASS",Z293,Z269)</f>
        <v>(where the pool wall and pool floor meet).</v>
      </c>
      <c r="D268" s="123"/>
      <c r="E268" s="123"/>
      <c r="F268" s="123"/>
      <c r="G268" s="123"/>
      <c r="H268" s="123"/>
      <c r="I268" s="123"/>
      <c r="J268" s="123"/>
      <c r="K268" s="123"/>
      <c r="L268" s="123"/>
      <c r="M268" s="123"/>
      <c r="N268" s="123"/>
      <c r="O268" s="123"/>
      <c r="P268" s="123"/>
      <c r="Q268" s="123"/>
      <c r="R268" s="123"/>
      <c r="S268" s="123"/>
      <c r="T268" s="123"/>
      <c r="U268" s="123"/>
      <c r="Z268" t="s">
        <v>353</v>
      </c>
    </row>
    <row r="269" spans="1:26">
      <c r="A269" s="8"/>
      <c r="B269" s="8"/>
      <c r="C269" s="7"/>
      <c r="Z269" t="s">
        <v>352</v>
      </c>
    </row>
    <row r="270" spans="1:26">
      <c r="A270" s="117"/>
      <c r="B270" s="118"/>
      <c r="C270" s="123" t="str">
        <f>IF($W$248="FIBERGLASS",Z295,Z271)</f>
        <v xml:space="preserve">During the first year, your pool will continuously lose pebbles.  This is to be expected and is not cause for concern; nor will it diminish </v>
      </c>
      <c r="D270" s="123"/>
      <c r="E270" s="123"/>
      <c r="F270" s="123"/>
      <c r="G270" s="123"/>
      <c r="H270" s="123"/>
      <c r="I270" s="123"/>
      <c r="J270" s="123"/>
      <c r="K270" s="123"/>
      <c r="L270" s="123"/>
      <c r="M270" s="123"/>
      <c r="N270" s="123"/>
      <c r="O270" s="123"/>
      <c r="P270" s="123"/>
      <c r="Q270" s="123"/>
      <c r="R270" s="123"/>
      <c r="S270" s="123"/>
      <c r="T270" s="123"/>
      <c r="U270" s="123"/>
    </row>
    <row r="271" spans="1:26">
      <c r="A271" s="8"/>
      <c r="B271" s="8"/>
      <c r="C271" s="123" t="str">
        <f>IF($W$248="FIBERGLASS",Z296,Z272)</f>
        <v>the durability of the interior finish.</v>
      </c>
      <c r="D271" s="123"/>
      <c r="E271" s="123"/>
      <c r="F271" s="123"/>
      <c r="G271" s="123"/>
      <c r="H271" s="123"/>
      <c r="I271" s="123"/>
      <c r="J271" s="123"/>
      <c r="K271" s="123"/>
      <c r="L271" s="123"/>
      <c r="M271" s="123"/>
      <c r="N271" s="123"/>
      <c r="O271" s="123"/>
      <c r="P271" s="123"/>
      <c r="Q271" s="123"/>
      <c r="R271" s="123"/>
      <c r="S271" s="123"/>
      <c r="T271" s="123"/>
      <c r="U271" s="123"/>
      <c r="Z271" t="s">
        <v>354</v>
      </c>
    </row>
    <row r="272" spans="1:26">
      <c r="Z272" t="s">
        <v>355</v>
      </c>
    </row>
    <row r="273" spans="1:26">
      <c r="A273" s="117"/>
      <c r="B273" s="118"/>
      <c r="C273" s="123" t="str">
        <f>IF($W$248="FIBERGLASS",Z298,Z274)</f>
        <v>The durability of a pebble finish comes from the surface material being primarily aggregate. Although these stones give the pool an</v>
      </c>
      <c r="D273" s="123"/>
      <c r="E273" s="123"/>
      <c r="F273" s="123"/>
      <c r="G273" s="123"/>
      <c r="H273" s="123"/>
      <c r="I273" s="123"/>
      <c r="J273" s="123"/>
      <c r="K273" s="123"/>
      <c r="L273" s="123"/>
      <c r="M273" s="123"/>
      <c r="N273" s="123"/>
      <c r="O273" s="123"/>
      <c r="P273" s="123"/>
      <c r="Q273" s="123"/>
      <c r="R273" s="123"/>
      <c r="S273" s="123"/>
      <c r="T273" s="123"/>
      <c r="U273" s="123"/>
    </row>
    <row r="274" spans="1:26">
      <c r="A274" s="8"/>
      <c r="B274" s="8"/>
      <c r="C274" s="9" t="str">
        <f>IF($W$248="FIBERGLASS",Z299,Z275)</f>
        <v>extremely durable finish, they also give the surface a potentially "textured" or "rough" feel.</v>
      </c>
      <c r="D274" s="9"/>
      <c r="E274" s="9"/>
      <c r="F274" s="9"/>
      <c r="G274" s="9"/>
      <c r="H274" s="9"/>
      <c r="I274" s="9"/>
      <c r="J274" s="9"/>
      <c r="K274" s="9"/>
      <c r="L274" s="9"/>
      <c r="M274" s="9"/>
      <c r="N274" s="9"/>
      <c r="O274" s="9"/>
      <c r="P274" s="9"/>
      <c r="Q274" s="9"/>
      <c r="R274" s="9"/>
      <c r="S274" s="9"/>
      <c r="T274" s="9"/>
      <c r="U274" s="9"/>
      <c r="Z274" t="s">
        <v>381</v>
      </c>
    </row>
    <row r="275" spans="1:26">
      <c r="A275" s="8"/>
      <c r="B275" s="8"/>
      <c r="C275" s="7"/>
      <c r="Z275" t="s">
        <v>382</v>
      </c>
    </row>
    <row r="276" spans="1:26">
      <c r="A276" s="8"/>
      <c r="B276" s="8"/>
      <c r="C276" s="7"/>
    </row>
    <row r="277" spans="1:26">
      <c r="A277" s="8"/>
      <c r="B277" s="8"/>
      <c r="C277" s="7"/>
      <c r="Z277" t="s">
        <v>159</v>
      </c>
    </row>
    <row r="278" spans="1:26">
      <c r="A278" s="8"/>
      <c r="B278" s="8"/>
      <c r="C278" s="7"/>
      <c r="Z278" t="s">
        <v>356</v>
      </c>
    </row>
    <row r="279" spans="1:26">
      <c r="A279" s="8"/>
      <c r="B279" s="8"/>
      <c r="C279" s="7"/>
    </row>
    <row r="280" spans="1:26">
      <c r="A280" s="8"/>
      <c r="B280" s="8"/>
      <c r="C280" s="7"/>
      <c r="Z280" t="s">
        <v>359</v>
      </c>
    </row>
    <row r="281" spans="1:26">
      <c r="A281" s="8"/>
      <c r="B281" s="8"/>
      <c r="C281" s="7"/>
    </row>
    <row r="282" spans="1:26">
      <c r="A282" s="8"/>
      <c r="B282" s="8"/>
      <c r="C282" s="7"/>
      <c r="Z282" t="s">
        <v>360</v>
      </c>
    </row>
    <row r="283" spans="1:26">
      <c r="A283" s="8"/>
      <c r="B283" s="8"/>
      <c r="C283" s="7"/>
    </row>
    <row r="284" spans="1:26">
      <c r="A284" s="8"/>
      <c r="B284" s="8"/>
      <c r="C284" s="7"/>
      <c r="Z284" t="s">
        <v>357</v>
      </c>
    </row>
    <row r="285" spans="1:26">
      <c r="A285" s="8"/>
      <c r="B285" s="8"/>
      <c r="C285" s="7"/>
      <c r="Z285" s="16" t="s">
        <v>358</v>
      </c>
    </row>
    <row r="286" spans="1:26">
      <c r="A286" s="8"/>
      <c r="B286" s="8"/>
      <c r="C286" s="7"/>
      <c r="Z286" t="s">
        <v>376</v>
      </c>
    </row>
    <row r="287" spans="1:26">
      <c r="A287" s="8"/>
      <c r="B287" s="8"/>
      <c r="C287" s="7"/>
    </row>
    <row r="288" spans="1:26">
      <c r="A288" s="8"/>
      <c r="B288" s="8"/>
      <c r="C288" s="7"/>
      <c r="Z288" t="s">
        <v>377</v>
      </c>
    </row>
    <row r="289" spans="1:26">
      <c r="A289" s="8"/>
      <c r="B289" s="8"/>
      <c r="C289" s="7"/>
      <c r="Z289" t="s">
        <v>378</v>
      </c>
    </row>
    <row r="290" spans="1:26">
      <c r="A290" s="8"/>
      <c r="B290" s="8"/>
      <c r="C290" s="7"/>
    </row>
    <row r="291" spans="1:26">
      <c r="A291" s="8"/>
      <c r="B291" s="8"/>
      <c r="C291" s="7"/>
      <c r="Z291" t="s">
        <v>361</v>
      </c>
    </row>
    <row r="292" spans="1:26">
      <c r="A292" s="8"/>
      <c r="B292" s="8"/>
      <c r="C292" s="7"/>
      <c r="Z292" t="s">
        <v>362</v>
      </c>
    </row>
    <row r="293" spans="1:26">
      <c r="A293" s="8"/>
      <c r="B293" s="8"/>
      <c r="C293" s="7"/>
      <c r="Z293" t="s">
        <v>363</v>
      </c>
    </row>
    <row r="294" spans="1:26">
      <c r="A294" s="8"/>
      <c r="B294" s="8"/>
      <c r="C294" s="7"/>
    </row>
    <row r="295" spans="1:26">
      <c r="A295" s="8"/>
      <c r="B295" s="8"/>
      <c r="C295" s="7"/>
      <c r="Z295" t="s">
        <v>379</v>
      </c>
    </row>
    <row r="296" spans="1:26">
      <c r="A296" s="8"/>
      <c r="B296" s="8"/>
      <c r="C296" s="7"/>
      <c r="Z296" t="s">
        <v>380</v>
      </c>
    </row>
    <row r="297" spans="1:26">
      <c r="A297" s="8"/>
      <c r="B297" s="8"/>
      <c r="C297" s="7"/>
    </row>
    <row r="298" spans="1:26">
      <c r="A298" s="8"/>
      <c r="B298" s="8"/>
      <c r="C298" s="7"/>
      <c r="Z298" t="s">
        <v>374</v>
      </c>
    </row>
    <row r="299" spans="1:26">
      <c r="A299" s="8"/>
      <c r="B299" s="8"/>
      <c r="C299" s="7"/>
      <c r="Z299" t="s">
        <v>375</v>
      </c>
    </row>
    <row r="300" spans="1:26">
      <c r="A300" s="8"/>
      <c r="B300" s="8"/>
      <c r="C300" s="7"/>
    </row>
    <row r="301" spans="1:26">
      <c r="A301" s="8"/>
      <c r="B301" s="8"/>
      <c r="C301" s="7"/>
    </row>
    <row r="302" spans="1:26">
      <c r="A302" s="8"/>
      <c r="B302" s="8"/>
      <c r="C302" s="7"/>
    </row>
    <row r="303" spans="1:26">
      <c r="A303" s="8"/>
      <c r="B303" s="8"/>
      <c r="C303" s="7"/>
    </row>
    <row r="304" spans="1:26">
      <c r="A304" s="8"/>
      <c r="B304" s="8"/>
      <c r="C304" s="7"/>
    </row>
    <row r="305" spans="1:21">
      <c r="A305" s="8"/>
      <c r="B305" s="8"/>
      <c r="C305" s="7"/>
    </row>
    <row r="306" spans="1:21">
      <c r="A306" s="8"/>
      <c r="B306" s="8"/>
      <c r="C306" s="7"/>
    </row>
    <row r="307" spans="1:21">
      <c r="A307" s="8"/>
      <c r="B307" s="8"/>
      <c r="C307" s="7"/>
    </row>
    <row r="308" spans="1:21">
      <c r="A308" s="8"/>
      <c r="B308" s="8"/>
      <c r="C308" s="7"/>
    </row>
    <row r="309" spans="1:21">
      <c r="A309" s="8"/>
      <c r="B309" s="8"/>
      <c r="C309" s="7"/>
    </row>
    <row r="310" spans="1:21">
      <c r="A310" s="8"/>
      <c r="B310" s="8"/>
      <c r="C310" s="7"/>
    </row>
    <row r="311" spans="1:21">
      <c r="A311" s="8"/>
      <c r="B311" s="8"/>
      <c r="C311" s="7"/>
    </row>
    <row r="312" spans="1:21">
      <c r="A312" s="85" t="s">
        <v>364</v>
      </c>
      <c r="B312" s="85"/>
      <c r="C312" s="85"/>
      <c r="D312" s="85"/>
      <c r="E312" s="85"/>
      <c r="F312" s="85"/>
      <c r="G312" s="85"/>
      <c r="H312" s="85"/>
      <c r="I312" s="85"/>
      <c r="J312" s="85"/>
      <c r="K312" s="85"/>
      <c r="L312" s="85"/>
      <c r="M312" s="85"/>
      <c r="N312" s="85"/>
      <c r="O312" s="85"/>
      <c r="P312" s="85"/>
      <c r="Q312" s="85"/>
      <c r="R312" s="85"/>
      <c r="S312" s="85"/>
      <c r="T312" s="85"/>
      <c r="U312" s="85"/>
    </row>
  </sheetData>
  <mergeCells count="321">
    <mergeCell ref="A237:B237"/>
    <mergeCell ref="C237:U237"/>
    <mergeCell ref="A239:B239"/>
    <mergeCell ref="C239:U239"/>
    <mergeCell ref="C273:U273"/>
    <mergeCell ref="A273:B273"/>
    <mergeCell ref="C264:U264"/>
    <mergeCell ref="C263:U263"/>
    <mergeCell ref="A262:B262"/>
    <mergeCell ref="C266:U266"/>
    <mergeCell ref="C267:U267"/>
    <mergeCell ref="C268:U268"/>
    <mergeCell ref="C270:U270"/>
    <mergeCell ref="C271:U271"/>
    <mergeCell ref="A266:B266"/>
    <mergeCell ref="A270:B270"/>
    <mergeCell ref="C255:U255"/>
    <mergeCell ref="C257:U257"/>
    <mergeCell ref="C259:U259"/>
    <mergeCell ref="C261:U261"/>
    <mergeCell ref="C260:U260"/>
    <mergeCell ref="A259:B259"/>
    <mergeCell ref="A257:B257"/>
    <mergeCell ref="A255:B255"/>
    <mergeCell ref="C262:U262"/>
    <mergeCell ref="K244:N244"/>
    <mergeCell ref="O244:U244"/>
    <mergeCell ref="A246:U246"/>
    <mergeCell ref="A248:B248"/>
    <mergeCell ref="A249:B249"/>
    <mergeCell ref="C249:U249"/>
    <mergeCell ref="C250:U250"/>
    <mergeCell ref="C253:U253"/>
    <mergeCell ref="A253:B253"/>
    <mergeCell ref="W84:Y84"/>
    <mergeCell ref="W89:Y89"/>
    <mergeCell ref="Z89:AA89"/>
    <mergeCell ref="AB89:AC89"/>
    <mergeCell ref="AD89:AE89"/>
    <mergeCell ref="T84:U84"/>
    <mergeCell ref="Q85:U85"/>
    <mergeCell ref="A1:U1"/>
    <mergeCell ref="W2:X2"/>
    <mergeCell ref="Q47:U47"/>
    <mergeCell ref="W44:X44"/>
    <mergeCell ref="A74:U74"/>
    <mergeCell ref="I61:J61"/>
    <mergeCell ref="A38:J38"/>
    <mergeCell ref="A53:H53"/>
    <mergeCell ref="A56:J56"/>
    <mergeCell ref="I57:J57"/>
    <mergeCell ref="I58:J58"/>
    <mergeCell ref="L33:U33"/>
    <mergeCell ref="A25:U25"/>
    <mergeCell ref="A34:U34"/>
    <mergeCell ref="A36:U36"/>
    <mergeCell ref="W27:AB27"/>
    <mergeCell ref="AE27:AH27"/>
    <mergeCell ref="AI38:AK38"/>
    <mergeCell ref="W38:Z38"/>
    <mergeCell ref="AA38:AC38"/>
    <mergeCell ref="AD38:AF38"/>
    <mergeCell ref="AG38:AH38"/>
    <mergeCell ref="L62:U64"/>
    <mergeCell ref="W78:Y78"/>
    <mergeCell ref="Z78:AB78"/>
    <mergeCell ref="AC78:AD78"/>
    <mergeCell ref="AE78:AF78"/>
    <mergeCell ref="L38:U38"/>
    <mergeCell ref="T52:U52"/>
    <mergeCell ref="L49:U49"/>
    <mergeCell ref="Q59:U59"/>
    <mergeCell ref="T61:U61"/>
    <mergeCell ref="H72:M72"/>
    <mergeCell ref="N72:O72"/>
    <mergeCell ref="P72:U72"/>
    <mergeCell ref="P68:Q68"/>
    <mergeCell ref="R68:U68"/>
    <mergeCell ref="F69:H69"/>
    <mergeCell ref="I69:O69"/>
    <mergeCell ref="P69:Q69"/>
    <mergeCell ref="I59:J59"/>
    <mergeCell ref="S28:T28"/>
    <mergeCell ref="I16:M16"/>
    <mergeCell ref="Q16:T16"/>
    <mergeCell ref="Q17:T17"/>
    <mergeCell ref="A27:J27"/>
    <mergeCell ref="I20:N20"/>
    <mergeCell ref="I21:N21"/>
    <mergeCell ref="A23:U23"/>
    <mergeCell ref="L27:U27"/>
    <mergeCell ref="F2:U2"/>
    <mergeCell ref="F3:H3"/>
    <mergeCell ref="I3:O3"/>
    <mergeCell ref="P3:Q3"/>
    <mergeCell ref="R3:U3"/>
    <mergeCell ref="F7:G7"/>
    <mergeCell ref="N7:O7"/>
    <mergeCell ref="H7:M7"/>
    <mergeCell ref="P7:U7"/>
    <mergeCell ref="F4:H4"/>
    <mergeCell ref="I4:O4"/>
    <mergeCell ref="P4:Q4"/>
    <mergeCell ref="F5:H5"/>
    <mergeCell ref="I5:L5"/>
    <mergeCell ref="N5:O5"/>
    <mergeCell ref="R4:U4"/>
    <mergeCell ref="A153:U153"/>
    <mergeCell ref="A154:U154"/>
    <mergeCell ref="A208:B208"/>
    <mergeCell ref="I60:J60"/>
    <mergeCell ref="C10:F10"/>
    <mergeCell ref="P10:S10"/>
    <mergeCell ref="H11:N11"/>
    <mergeCell ref="H12:N12"/>
    <mergeCell ref="H13:N13"/>
    <mergeCell ref="P15:S15"/>
    <mergeCell ref="I39:J39"/>
    <mergeCell ref="O11:T11"/>
    <mergeCell ref="O12:T12"/>
    <mergeCell ref="O13:T13"/>
    <mergeCell ref="B11:G11"/>
    <mergeCell ref="B12:G12"/>
    <mergeCell ref="B13:G13"/>
    <mergeCell ref="B14:T14"/>
    <mergeCell ref="G29:J29"/>
    <mergeCell ref="G30:J30"/>
    <mergeCell ref="G31:J31"/>
    <mergeCell ref="G32:J32"/>
    <mergeCell ref="G28:J28"/>
    <mergeCell ref="N28:O28"/>
    <mergeCell ref="A142:U142"/>
    <mergeCell ref="A143:U143"/>
    <mergeCell ref="A148:U148"/>
    <mergeCell ref="P144:Q144"/>
    <mergeCell ref="T144:U144"/>
    <mergeCell ref="A149:U149"/>
    <mergeCell ref="A150:U150"/>
    <mergeCell ref="A151:U151"/>
    <mergeCell ref="A152:U152"/>
    <mergeCell ref="I46:J46"/>
    <mergeCell ref="I47:J47"/>
    <mergeCell ref="I48:J48"/>
    <mergeCell ref="A312:U312"/>
    <mergeCell ref="C232:U232"/>
    <mergeCell ref="C218:U218"/>
    <mergeCell ref="C219:U219"/>
    <mergeCell ref="C216:U216"/>
    <mergeCell ref="A189:B189"/>
    <mergeCell ref="C189:U189"/>
    <mergeCell ref="A135:U135"/>
    <mergeCell ref="A136:U136"/>
    <mergeCell ref="A174:U174"/>
    <mergeCell ref="A175:U175"/>
    <mergeCell ref="A228:B228"/>
    <mergeCell ref="A231:B231"/>
    <mergeCell ref="A199:B199"/>
    <mergeCell ref="A202:B202"/>
    <mergeCell ref="A205:B205"/>
    <mergeCell ref="A145:U145"/>
    <mergeCell ref="C197:U197"/>
    <mergeCell ref="C200:U201"/>
    <mergeCell ref="C206:U206"/>
    <mergeCell ref="C212:U212"/>
    <mergeCell ref="A243:U243"/>
    <mergeCell ref="A162:U162"/>
    <mergeCell ref="A137:U137"/>
    <mergeCell ref="A138:U138"/>
    <mergeCell ref="A139:U139"/>
    <mergeCell ref="A141:U141"/>
    <mergeCell ref="A156:U156"/>
    <mergeCell ref="A157:U157"/>
    <mergeCell ref="A159:U159"/>
    <mergeCell ref="A160:U160"/>
    <mergeCell ref="K146:N146"/>
    <mergeCell ref="O146:U146"/>
    <mergeCell ref="O181:U181"/>
    <mergeCell ref="A180:U180"/>
    <mergeCell ref="A163:U163"/>
    <mergeCell ref="A165:U165"/>
    <mergeCell ref="A166:U166"/>
    <mergeCell ref="A168:U168"/>
    <mergeCell ref="A169:U169"/>
    <mergeCell ref="A171:U171"/>
    <mergeCell ref="A172:U172"/>
    <mergeCell ref="A176:U176"/>
    <mergeCell ref="A177:U177"/>
    <mergeCell ref="A186:B186"/>
    <mergeCell ref="P179:Q179"/>
    <mergeCell ref="T179:U179"/>
    <mergeCell ref="A178:U178"/>
    <mergeCell ref="K181:N181"/>
    <mergeCell ref="A218:B218"/>
    <mergeCell ref="C187:U187"/>
    <mergeCell ref="A211:B211"/>
    <mergeCell ref="A196:B196"/>
    <mergeCell ref="C196:U196"/>
    <mergeCell ref="C186:U186"/>
    <mergeCell ref="A215:B215"/>
    <mergeCell ref="A185:B185"/>
    <mergeCell ref="A183:U183"/>
    <mergeCell ref="A221:B221"/>
    <mergeCell ref="A224:B224"/>
    <mergeCell ref="C222:U222"/>
    <mergeCell ref="C235:U235"/>
    <mergeCell ref="A234:B234"/>
    <mergeCell ref="L190:N190"/>
    <mergeCell ref="L191:N191"/>
    <mergeCell ref="L192:N192"/>
    <mergeCell ref="L193:N193"/>
    <mergeCell ref="L194:N194"/>
    <mergeCell ref="C229:U229"/>
    <mergeCell ref="E89:H89"/>
    <mergeCell ref="E90:H90"/>
    <mergeCell ref="E91:H91"/>
    <mergeCell ref="Q39:U39"/>
    <mergeCell ref="Q41:U41"/>
    <mergeCell ref="Q42:U42"/>
    <mergeCell ref="Q43:U43"/>
    <mergeCell ref="Q44:U44"/>
    <mergeCell ref="Q45:U45"/>
    <mergeCell ref="Q40:U40"/>
    <mergeCell ref="F62:J62"/>
    <mergeCell ref="F63:J63"/>
    <mergeCell ref="Q57:U57"/>
    <mergeCell ref="Q58:U58"/>
    <mergeCell ref="Q56:U56"/>
    <mergeCell ref="T60:U60"/>
    <mergeCell ref="Q46:U46"/>
    <mergeCell ref="T50:U50"/>
    <mergeCell ref="T51:U51"/>
    <mergeCell ref="I40:J40"/>
    <mergeCell ref="I41:J41"/>
    <mergeCell ref="I42:J42"/>
    <mergeCell ref="I43:J43"/>
    <mergeCell ref="I44:J44"/>
    <mergeCell ref="I70:L70"/>
    <mergeCell ref="N70:O70"/>
    <mergeCell ref="I80:J80"/>
    <mergeCell ref="E82:H82"/>
    <mergeCell ref="E83:H83"/>
    <mergeCell ref="F84:J84"/>
    <mergeCell ref="I85:J85"/>
    <mergeCell ref="A87:J87"/>
    <mergeCell ref="E88:H88"/>
    <mergeCell ref="E92:H92"/>
    <mergeCell ref="E93:H93"/>
    <mergeCell ref="A95:J95"/>
    <mergeCell ref="E96:H96"/>
    <mergeCell ref="A123:U123"/>
    <mergeCell ref="E97:H97"/>
    <mergeCell ref="E98:H98"/>
    <mergeCell ref="E99:H99"/>
    <mergeCell ref="A101:J101"/>
    <mergeCell ref="M95:U95"/>
    <mergeCell ref="M97:U97"/>
    <mergeCell ref="M99:U99"/>
    <mergeCell ref="M101:U101"/>
    <mergeCell ref="M103:U103"/>
    <mergeCell ref="K119:N119"/>
    <mergeCell ref="M105:U105"/>
    <mergeCell ref="M107:U107"/>
    <mergeCell ref="F102:J102"/>
    <mergeCell ref="I103:J103"/>
    <mergeCell ref="I104:J104"/>
    <mergeCell ref="I105:J105"/>
    <mergeCell ref="I106:J106"/>
    <mergeCell ref="A118:U118"/>
    <mergeCell ref="O119:U119"/>
    <mergeCell ref="C109:G109"/>
    <mergeCell ref="K109:Q109"/>
    <mergeCell ref="S109:U109"/>
    <mergeCell ref="H109:J109"/>
    <mergeCell ref="A109:B109"/>
    <mergeCell ref="A111:B111"/>
    <mergeCell ref="C111:G111"/>
    <mergeCell ref="H111:J111"/>
    <mergeCell ref="K111:Q111"/>
    <mergeCell ref="S111:U111"/>
    <mergeCell ref="A121:U121"/>
    <mergeCell ref="A130:U130"/>
    <mergeCell ref="A131:U131"/>
    <mergeCell ref="A132:U132"/>
    <mergeCell ref="A134:U134"/>
    <mergeCell ref="C113:G113"/>
    <mergeCell ref="H113:J113"/>
    <mergeCell ref="K113:Q113"/>
    <mergeCell ref="S113:U113"/>
    <mergeCell ref="A116:U116"/>
    <mergeCell ref="A114:U114"/>
    <mergeCell ref="A113:B113"/>
    <mergeCell ref="A122:U122"/>
    <mergeCell ref="A124:U124"/>
    <mergeCell ref="A125:U125"/>
    <mergeCell ref="A126:U126"/>
    <mergeCell ref="A128:U128"/>
    <mergeCell ref="A127:U127"/>
    <mergeCell ref="T65:U65"/>
    <mergeCell ref="P65:Q65"/>
    <mergeCell ref="I107:J107"/>
    <mergeCell ref="L76:U76"/>
    <mergeCell ref="P78:S78"/>
    <mergeCell ref="Q79:U79"/>
    <mergeCell ref="T80:U80"/>
    <mergeCell ref="Q81:U81"/>
    <mergeCell ref="T82:U82"/>
    <mergeCell ref="T83:U83"/>
    <mergeCell ref="L87:U87"/>
    <mergeCell ref="M89:U89"/>
    <mergeCell ref="M91:U91"/>
    <mergeCell ref="M93:U93"/>
    <mergeCell ref="A66:U66"/>
    <mergeCell ref="F67:U67"/>
    <mergeCell ref="F68:H68"/>
    <mergeCell ref="I68:O68"/>
    <mergeCell ref="A76:J76"/>
    <mergeCell ref="I77:J77"/>
    <mergeCell ref="I79:J79"/>
    <mergeCell ref="F72:G72"/>
    <mergeCell ref="R69:U69"/>
    <mergeCell ref="F70:H70"/>
  </mergeCells>
  <phoneticPr fontId="7" type="noConversion"/>
  <dataValidations count="32">
    <dataValidation type="list" allowBlank="1" showInputMessage="1" showErrorMessage="1" sqref="I85:J85 T82:U84 T80:U80" xr:uid="{F501C1D7-13EC-475C-A300-CC861B22F54B}">
      <formula1>$W$85:$W$87</formula1>
    </dataValidation>
    <dataValidation type="list" allowBlank="1" showInputMessage="1" showErrorMessage="1" sqref="P78:S78 E82:H83" xr:uid="{01AC2D54-89D9-4C88-976C-C1CA0667B792}">
      <formula1>$W$79:$W$82</formula1>
    </dataValidation>
    <dataValidation type="list" allowBlank="1" showInputMessage="1" showErrorMessage="1" sqref="Q79:U79" xr:uid="{94ADE62D-A80C-478A-94CF-A52D4291D36D}">
      <formula1>$AD$90:$AD$94</formula1>
    </dataValidation>
    <dataValidation type="list" allowBlank="1" showInputMessage="1" showErrorMessage="1" sqref="F102:J102" xr:uid="{7E4C4207-6D31-4F2A-93F8-B0A51640E34D}">
      <formula1>$W$102:$W$105</formula1>
    </dataValidation>
    <dataValidation type="list" allowBlank="1" showInputMessage="1" showErrorMessage="1" sqref="F62:J62 Q39:U40" xr:uid="{61755880-C4A1-40A1-A721-8DD9E245DD76}">
      <formula1>$W$39:$W$42</formula1>
    </dataValidation>
    <dataValidation type="list" allowBlank="1" showInputMessage="1" showErrorMessage="1" sqref="F63:J63" xr:uid="{2CD815E4-B454-4A08-AA5A-37052120720A}">
      <formula1>$AA$39:$AA$46</formula1>
    </dataValidation>
    <dataValidation type="list" allowBlank="1" showInputMessage="1" showErrorMessage="1" sqref="Q41:U43" xr:uid="{716227E8-07F3-4B05-A4D3-EC80A7996F5D}">
      <formula1>$AD$39:$AD$45</formula1>
    </dataValidation>
    <dataValidation type="list" allowBlank="1" showInputMessage="1" showErrorMessage="1" sqref="Q44:U44" xr:uid="{CAE83B24-43BF-4AD7-B2FB-2C9A1D5A1AA6}">
      <formula1>$AG$39:$AG$44</formula1>
    </dataValidation>
    <dataValidation type="list" allowBlank="1" showInputMessage="1" showErrorMessage="1" sqref="Q45:U45" xr:uid="{4E5B7ABF-2217-4B9E-8F39-82305896631E}">
      <formula1>$AI$39:$AI$43</formula1>
    </dataValidation>
    <dataValidation type="list" allowBlank="1" showInputMessage="1" showErrorMessage="1" sqref="F49" xr:uid="{73A70583-D246-404D-93CE-442CCB971BC7}">
      <formula1>$AK$28:$AK$33</formula1>
    </dataValidation>
    <dataValidation type="list" allowBlank="1" showInputMessage="1" showErrorMessage="1" sqref="F57" xr:uid="{BE781D15-5625-4530-A77B-DC8EF6823935}">
      <formula1>$AI$28:$AI$31</formula1>
    </dataValidation>
    <dataValidation type="list" allowBlank="1" showInputMessage="1" showErrorMessage="1" sqref="F58" xr:uid="{4C1925AB-F12B-4564-B14C-21D6E9075B8E}">
      <formula1>$AJ$28:$AJ$31</formula1>
    </dataValidation>
    <dataValidation type="list" allowBlank="1" showInputMessage="1" showErrorMessage="1" sqref="T51:U51" xr:uid="{131FE77C-8E00-4B3A-8B89-D2FD275DACD4}">
      <formula1>$W$56:$W$58</formula1>
    </dataValidation>
    <dataValidation type="list" allowBlank="1" showInputMessage="1" showErrorMessage="1" sqref="T52:U52" xr:uid="{110052F2-2666-4656-84EB-0C157265CCF5}">
      <formula1>$Y$56:$Y$59</formula1>
    </dataValidation>
    <dataValidation type="list" allowBlank="1" showInputMessage="1" showErrorMessage="1" sqref="Q56:U57" xr:uid="{6D15EDCA-3EBA-4A06-89C9-89DA401AAEB8}">
      <formula1>$AA$56:$AA$61</formula1>
    </dataValidation>
    <dataValidation type="list" allowBlank="1" showInputMessage="1" showErrorMessage="1" sqref="Q58:U58" xr:uid="{F4C19EC2-9DCD-4896-9BE7-5FF49415C475}">
      <formula1>$AC$56:$AC$62</formula1>
    </dataValidation>
    <dataValidation type="list" allowBlank="1" showInputMessage="1" showErrorMessage="1" sqref="Q59:U59" xr:uid="{B7AD79CC-3AD7-40B5-8821-D0A65757AD0E}">
      <formula1>$AF$56:$AF$62</formula1>
    </dataValidation>
    <dataValidation type="list" allowBlank="1" showInputMessage="1" showErrorMessage="1" sqref="F84:J84" xr:uid="{402AF463-51EA-4FD3-994A-5AB75A322096}">
      <formula1>$Z$79:$Z$87</formula1>
    </dataValidation>
    <dataValidation type="list" allowBlank="1" showInputMessage="1" showErrorMessage="1" sqref="E88:H89" xr:uid="{9766E516-2E17-465C-A3C6-E0A785734C72}">
      <formula1>$AC$79:$AC$85</formula1>
    </dataValidation>
    <dataValidation type="list" allowBlank="1" showInputMessage="1" showErrorMessage="1" sqref="E90:H90" xr:uid="{AD71C200-D09E-4BA9-8875-9F74304422EF}">
      <formula1>$AE$79:$AE$83</formula1>
    </dataValidation>
    <dataValidation type="list" allowBlank="1" showInputMessage="1" showErrorMessage="1" sqref="E91:H91" xr:uid="{35364625-E6E8-4259-9907-42CD752F1736}">
      <formula1>$AG$79:$AG$81</formula1>
    </dataValidation>
    <dataValidation type="list" allowBlank="1" showInputMessage="1" showErrorMessage="1" sqref="E92:H92" xr:uid="{AD8C2BCE-E8FA-43E2-9ED8-F05B6427F757}">
      <formula1>$AH$79:$AH$81</formula1>
    </dataValidation>
    <dataValidation type="list" allowBlank="1" showInputMessage="1" showErrorMessage="1" sqref="E93:H93" xr:uid="{81C04927-68B6-483C-A498-DEB5B0C4204A}">
      <formula1>$AI$79:$AI$82</formula1>
    </dataValidation>
    <dataValidation type="list" allowBlank="1" showInputMessage="1" showErrorMessage="1" sqref="E96:H97" xr:uid="{2644A656-1092-4CA7-A131-94F2A652964F}">
      <formula1>$W$90:$W$101</formula1>
    </dataValidation>
    <dataValidation type="list" allowBlank="1" showInputMessage="1" showErrorMessage="1" sqref="E98:H99" xr:uid="{42E46A7F-28EE-4E51-AAE2-C712DB41FC43}">
      <formula1>$Z$90:$Z$94</formula1>
    </dataValidation>
    <dataValidation type="list" allowBlank="1" showInputMessage="1" showErrorMessage="1" sqref="Q85:U85" xr:uid="{7880882B-E075-470D-9933-D3736F48C927}">
      <formula1>$AF$90:$AF$95</formula1>
    </dataValidation>
    <dataValidation type="list" allowBlank="1" showInputMessage="1" showErrorMessage="1" sqref="A1" xr:uid="{0D7DC5EF-F909-4425-BC89-4E6C0F21A6CD}">
      <formula1>$W$3:$W$4</formula1>
    </dataValidation>
    <dataValidation type="list" allowBlank="1" showInputMessage="1" showErrorMessage="1" sqref="I46:J48 I39:J44 I57:J61 T60:T61 I79:J80 I77:J77 I103:J105" xr:uid="{4D1DDB85-47EC-440C-A411-77F17EADD057}">
      <formula1>$Z$4:$Z$5</formula1>
    </dataValidation>
    <dataValidation type="list" allowBlank="1" showInputMessage="1" showErrorMessage="1" sqref="Q47:U47" xr:uid="{4DC985E2-CD44-4C9F-9DCC-52C8FEC2A8AF}">
      <formula1>$W$45:$W$47</formula1>
    </dataValidation>
    <dataValidation type="list" allowBlank="1" showInputMessage="1" showErrorMessage="1" sqref="J82:J83 J88:J93 J96:J99" xr:uid="{415554EF-F47C-4805-8A8A-8918489A0CFF}">
      <formula1>$W$67:$W$73</formula1>
    </dataValidation>
    <dataValidation type="list" allowBlank="1" showInputMessage="1" showErrorMessage="1" sqref="U78" xr:uid="{E23F0DF3-981B-4347-AAA3-1C90AD843B31}">
      <formula1>$W$67:$W$69</formula1>
    </dataValidation>
    <dataValidation type="list" allowBlank="1" showInputMessage="1" showErrorMessage="1" sqref="Q46" xr:uid="{93C83D6A-5B25-4184-8AB8-6A1421647E35}">
      <formula1>$Z$3:$Z$5</formula1>
    </dataValidation>
  </dataValidations>
  <printOptions horizontalCentered="1"/>
  <pageMargins left="0.7" right="0.7" top="0.75" bottom="0.75" header="0.3" footer="0.3"/>
  <pageSetup paperSize="3" scale="70" fitToHeight="0" orientation="portrait" r:id="rId1"/>
  <rowBreaks count="5" manualBreakCount="5">
    <brk id="66" max="16383" man="1"/>
    <brk id="118" max="20" man="1"/>
    <brk id="145" max="20" man="1"/>
    <brk id="180" max="20" man="1"/>
    <brk id="243" max="20" man="1"/>
  </rowBreak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CONTRACT</vt:lpstr>
      <vt:lpstr>CONTRACT!Print_Area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Gurley</dc:creator>
  <cp:lastModifiedBy>Brian Kummer</cp:lastModifiedBy>
  <cp:lastPrinted>2025-12-10T03:10:14Z</cp:lastPrinted>
  <dcterms:created xsi:type="dcterms:W3CDTF">2023-11-30T14:32:49Z</dcterms:created>
  <dcterms:modified xsi:type="dcterms:W3CDTF">2025-12-10T08:53:56Z</dcterms:modified>
</cp:coreProperties>
</file>