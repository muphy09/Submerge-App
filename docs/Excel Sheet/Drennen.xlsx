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4EB4B316-4401-4413-98F0-76E363B1B628}" xr6:coauthVersionLast="47" xr6:coauthVersionMax="47" xr10:uidLastSave="{00000000-0000-0000-0000-000000000000}"/>
  <bookViews>
    <workbookView xWindow="30612" yWindow="-7752" windowWidth="17496" windowHeight="30936" firstSheet="1" activeTab="3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1" i="6" l="1"/>
  <c r="D344" i="7"/>
  <c r="D25" i="13" l="1"/>
  <c r="R62" i="2"/>
  <c r="R65" i="2"/>
  <c r="R64" i="2"/>
  <c r="R66" i="2"/>
  <c r="R69" i="2"/>
  <c r="N127" i="2"/>
  <c r="D208" i="7"/>
  <c r="D204" i="7"/>
  <c r="D206" i="7"/>
  <c r="D31" i="13"/>
  <c r="D11" i="22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D33" i="13" s="1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D32" i="13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 s="1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S65" i="2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S62" i="2"/>
  <c r="S64" i="2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S66" i="2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B248" i="28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38" i="15" l="1"/>
  <c r="D15" i="18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F188" i="7" l="1"/>
  <c r="D188" i="7" s="1"/>
  <c r="D108" i="7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10" i="7" l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F16" i="13"/>
  <c r="F17" i="13" s="1"/>
  <c r="F18" i="13" s="1"/>
  <c r="G18" i="13" s="1"/>
  <c r="D109" i="7"/>
  <c r="D11" i="13"/>
  <c r="D31" i="17" l="1"/>
  <c r="D31" i="18"/>
  <c r="I31" i="18" s="1"/>
  <c r="K31" i="18" s="1"/>
  <c r="M31" i="18" s="1"/>
  <c r="F14" i="13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F260" i="7" s="1"/>
  <c r="D260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D261" i="7" s="1"/>
  <c r="P138" i="2"/>
  <c r="P111" i="2" s="1"/>
  <c r="D43" i="8"/>
  <c r="D266" i="28" s="1"/>
  <c r="D39" i="29" s="1"/>
  <c r="C268" i="7"/>
  <c r="D37" i="29" l="1"/>
  <c r="D65" i="29" s="1"/>
  <c r="D335" i="28"/>
  <c r="D268" i="7"/>
  <c r="D272" i="7" s="1"/>
  <c r="D47" i="8"/>
  <c r="P136" i="2"/>
  <c r="P2" i="2"/>
  <c r="D37" i="18"/>
  <c r="I37" i="18" s="1"/>
  <c r="K37" i="18" s="1"/>
  <c r="M37" i="18" s="1"/>
  <c r="D39" i="17"/>
  <c r="D110" i="7"/>
  <c r="D121" i="7" s="1"/>
  <c r="D17" i="11"/>
  <c r="P37" i="2"/>
  <c r="D348" i="7" l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D71" i="17"/>
  <c r="I19" i="18"/>
  <c r="D59" i="18"/>
  <c r="C191" i="6" l="1"/>
  <c r="D346" i="7" s="1"/>
  <c r="I59" i="18"/>
  <c r="K59" i="18" s="1"/>
  <c r="M59" i="18" s="1"/>
  <c r="K19" i="18"/>
  <c r="M19" i="18" s="1"/>
  <c r="E149" i="4" l="1"/>
  <c r="D350" i="7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<sst xmlns="http://schemas.openxmlformats.org/spreadsheetml/2006/main" count="1777" uniqueCount="1147">
  <si>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</si>
  <si>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</si>
  <si>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</si>
  <si>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</si>
  <si>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</si>
  <si>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</si>
  <si>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</si>
  <si>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</si>
  <si>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</si>
  <si>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</si>
  <si>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</si>
  <si>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</si>
  <si>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</si>
  <si>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</si>
  <si>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</si>
  <si>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</si>
  <si>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</si>
  <si>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</si>
  <si>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</si>
  <si>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</si>
  <si>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</si>
  <si>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</si>
  <si>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</si>
  <si>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</si>
  <si>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</si>
  <si>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</si>
  <si>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</si>
  <si>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</si>
  <si>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</si>
  <si>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</si>
  <si>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</si>
  <si>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</si>
  <si>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</si>
  <si>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</si>
  <si>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</si>
  <si>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</si>
  <si>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</si>
  <si>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</si>
  <si>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</si>
  <si>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</si>
  <si>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</si>
  <si>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</si>
  <si>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</si>
  <si>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</si>
  <si>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</si>
  <si>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</si>
  <si>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</si>
  <si>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</si>
  <si>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</si>
  <si>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</si>
  <si>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</si>
  <si>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</si>
  <si>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</si>
  <si>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</si>
  <si>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</si>
  <si>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</si>
  <si>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</si>
  <si>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</si>
  <si>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</si>
  <si>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</si>
  <si>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</si>
  <si>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</si>
  <si>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</si>
  <si>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</si>
  <si>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</si>
  <si>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</si>
  <si>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</si>
  <si>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</si>
  <si>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</si>
  <si>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</si>
  <si>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</si>
  <si>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</si>
  <si>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</si>
  <si>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</si>
  <si>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</si>
  <si>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</si>
  <si>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</si>
  <si>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</si>
  <si>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</si>
  <si>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</si>
  <si>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</si>
  <si>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</si>
  <si>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</si>
  <si>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</si>
  <si>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</si>
  <si>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</si>
  <si>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</si>
  <si>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</si>
  <si>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</si>
  <si>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</si>
  <si>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</si>
  <si>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</si>
  <si>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</si>
  <si>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</si>
  <si>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</si>
  <si>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</si>
  <si>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</si>
  <si>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</si>
  <si>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</si>
  <si>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</si>
  <si>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</si>
  <si>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</si>
  <si>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</si>
  <si>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</si>
  <si>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</si>
  <si>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</si>
  <si>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</si>
  <si>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</si>
  <si>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</si>
  <si>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</si>
  <si>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</si>
  <si>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</si>
  <si>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</si>
  <si>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</si>
  <si>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</si>
  <si>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</si>
  <si>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</si>
  <si>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</si>
  <si>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</si>
  <si>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</si>
  <si>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</si>
  <si>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</si>
  <si>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</si>
  <si>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</si>
  <si>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</si>
  <si>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</si>
  <si>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</si>
  <si>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</si>
  <si>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</si>
  <si>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</si>
  <si>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</si>
  <si>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</si>
  <si>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</si>
  <si>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</si>
  <si>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</si>
  <si>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</si>
  <si>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</si>
  <si>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</si>
  <si>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</si>
  <si>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</si>
  <si>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</si>
  <si>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</si>
  <si>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</si>
  <si>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</si>
  <si>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</si>
  <si>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</si>
  <si>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</si>
  <si>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</si>
  <si>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</si>
  <si>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</si>
  <si>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</si>
  <si>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</si>
  <si>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</si>
  <si>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</si>
  <si>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</si>
  <si>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</si>
  <si>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</si>
  <si>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</si>
  <si>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</si>
  <si>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</si>
  <si>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</si>
  <si>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</si>
  <si>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</si>
  <si>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</si>
  <si>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</si>
  <si>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</si>
  <si>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</si>
  <si>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</si>
  <si>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</si>
  <si>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</si>
  <si>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</si>
  <si>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</si>
  <si>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</si>
  <si>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</si>
  <si>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</si>
  <si>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</si>
  <si>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</si>
  <si>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</si>
  <si>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</si>
  <si>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</si>
  <si>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</si>
  <si>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</si>
  <si>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</si>
  <si>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</si>
  <si>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</si>
  <si>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</si>
  <si>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</si>
  <si>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</si>
  <si>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</si>
  <si>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</si>
  <si>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</si>
  <si>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</si>
  <si>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</si>
  <si>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</si>
  <si>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</si>
  <si>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</si>
  <si>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</si>
  <si>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</si>
  <si>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</si>
  <si>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</si>
  <si>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</si>
  <si>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</si>
  <si>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</si>
  <si>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</si>
  <si>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</si>
  <si>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</si>
  <si>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</si>
  <si>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</si>
  <si>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</si>
  <si>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</si>
  <si>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</si>
  <si>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</si>
  <si>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</si>
  <si>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</si>
  <si>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</si>
  <si>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</si>
  <si>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</si>
  <si>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</si>
  <si>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</si>
  <si>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</si>
  <si>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</si>
  <si>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</si>
  <si>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</si>
  <si>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</si>
  <si>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</si>
  <si>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</si>
  <si>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</si>
  <si>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</si>
  <si>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</si>
  <si>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</si>
  <si>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</si>
  <si>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</si>
  <si>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</si>
  <si>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</si>
  <si>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</si>
  <si>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</si>
  <si>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</si>
  <si>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</si>
  <si>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</si>
  <si>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</si>
  <si>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</si>
  <si>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</si>
  <si>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</si>
  <si>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</si>
  <si>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</si>
  <si>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</si>
  <si>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</si>
  <si>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</si>
  <si>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</si>
  <si>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</si>
  <si>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</si>
  <si>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</si>
  <si>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</si>
  <si>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</si>
  <si>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</si>
  <si>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</si>
  <si>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</si>
  <si>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</si>
  <si>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</si>
  <si>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</si>
  <si>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</si>
  <si>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</si>
  <si>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</si>
  <si>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</si>
  <si>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</si>
  <si>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</si>
  <si>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</si>
  <si>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</si>
  <si>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</si>
  <si>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</si>
  <si>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</si>
  <si>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</si>
  <si>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</si>
  <si>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</si>
  <si>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</si>
  <si>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</si>
  <si>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</si>
  <si>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</si>
  <si>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</si>
  <si>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</si>
  <si>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</si>
  <si>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</si>
  <si>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</si>
  <si>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</si>
  <si>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</si>
  <si>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</si>
  <si>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</si>
  <si>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</si>
  <si>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</si>
  <si>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</si>
  <si>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</si>
  <si>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</si>
  <si>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</si>
  <si>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</si>
  <si>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</si>
  <si>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</si>
  <si>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</si>
  <si>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</si>
  <si>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</si>
  <si>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</si>
  <si>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</si>
  <si>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</si>
  <si>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</si>
  <si>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</si>
  <si>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</si>
  <si>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</si>
  <si>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</si>
  <si>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</si>
  <si>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</si>
  <si>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</si>
  <si>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</si>
  <si>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</si>
  <si>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</si>
  <si>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</si>
  <si>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</si>
  <si>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</si>
  <si>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</si>
  <si>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</si>
  <si>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</si>
  <si>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</si>
  <si>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</si>
  <si>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</si>
  <si>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</si>
  <si>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</si>
  <si>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</si>
  <si>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</si>
  <si>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</si>
  <si>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</si>
  <si>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</si>
  <si>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</si>
  <si>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</si>
  <si>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</si>
  <si>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</si>
  <si>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</si>
  <si>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</si>
  <si>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</si>
  <si>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</si>
  <si>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</si>
  <si>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</si>
  <si>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</si>
  <si>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</si>
  <si>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</si>
  <si>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</si>
  <si>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</si>
  <si>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</si>
  <si>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</si>
  <si>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</si>
  <si>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</si>
  <si>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</si>
  <si>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</si>
  <si>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</si>
  <si>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</si>
  <si>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</si>
  <si>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</si>
  <si>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</si>
  <si>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</si>
  <si>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</si>
  <si>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</si>
  <si>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</si>
  <si>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</si>
  <si>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</si>
  <si>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</si>
  <si>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</si>
  <si>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</si>
  <si>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</si>
  <si>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</si>
  <si>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</si>
  <si>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</si>
  <si>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</si>
  <si>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</si>
  <si>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</si>
  <si>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</si>
  <si>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</si>
  <si>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</si>
  <si>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</si>
  <si>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</si>
  <si>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</si>
  <si>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</si>
  <si>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</si>
  <si>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</si>
  <si>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</si>
  <si>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</si>
  <si>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</si>
  <si>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</si>
  <si>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</si>
  <si>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</si>
  <si>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</si>
  <si>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</si>
  <si>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</si>
  <si>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</si>
  <si>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</si>
  <si>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</si>
  <si>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</si>
  <si>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</si>
  <si>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</si>
  <si>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</si>
  <si>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</si>
  <si>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</si>
  <si>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</si>
  <si>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</si>
  <si>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</si>
  <si>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</si>
  <si>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</si>
  <si>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</si>
  <si>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</si>
  <si>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</si>
  <si>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</si>
  <si>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</si>
  <si>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</si>
  <si>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</si>
  <si>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</si>
  <si>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</si>
  <si>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</si>
  <si>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</si>
  <si>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</si>
  <si>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</si>
  <si>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</si>
  <si>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</si>
  <si>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</si>
  <si>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</si>
  <si>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</si>
  <si>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</si>
  <si>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</si>
  <si>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</si>
  <si>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</si>
  <si>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</si>
  <si>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</si>
  <si>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</si>
  <si>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</si>
  <si>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</si>
  <si>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</si>
  <si>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</si>
  <si>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</si>
  <si>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</si>
  <si>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</si>
  <si>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</si>
  <si>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</si>
  <si>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</si>
  <si>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</si>
  <si>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</si>
  <si>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</si>
  <si>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</si>
  <si>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</si>
  <si>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</si>
  <si>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</si>
  <si>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</si>
  <si>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</si>
  <si>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</si>
  <si>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</si>
  <si>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</si>
  <si>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</si>
  <si>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</si>
  <si>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</si>
  <si>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</si>
  <si>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</si>
  <si>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</si>
  <si>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</si>
  <si>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</si>
  <si>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</si>
  <si>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</si>
  <si>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</si>
  <si>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</si>
  <si>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</si>
  <si>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</si>
  <si>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</si>
  <si>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</si>
  <si>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</si>
  <si>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</si>
  <si>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</si>
  <si>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</si>
  <si>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</si>
  <si>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</si>
  <si>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</si>
  <si>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</si>
  <si>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</si>
  <si>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</si>
  <si>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</si>
  <si>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</si>
  <si>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</si>
  <si>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</si>
  <si>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</si>
  <si>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</si>
  <si>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</si>
  <si>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</si>
  <si>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</si>
  <si>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</si>
  <si>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</si>
  <si>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</si>
  <si>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</si>
  <si>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</si>
  <si>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</si>
  <si>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</si>
  <si>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</si>
  <si>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</si>
  <si>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</si>
  <si>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</si>
  <si>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</si>
  <si>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</si>
  <si>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</si>
  <si>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</si>
  <si>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</si>
  <si>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</si>
  <si>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</si>
  <si>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</si>
  <si>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</si>
  <si>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</si>
  <si>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</si>
  <si>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</si>
  <si>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</si>
  <si>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</si>
  <si>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</si>
  <si>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</si>
  <si>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</si>
  <si>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</si>
  <si>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</si>
  <si>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</si>
  <si>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</si>
  <si>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</si>
  <si>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</si>
  <si>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</si>
  <si>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</si>
  <si>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</si>
  <si>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</si>
  <si>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</si>
  <si>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</si>
  <si>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</si>
  <si>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</si>
  <si>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</si>
  <si>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</si>
  <si>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</si>
  <si>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</si>
  <si>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</si>
  <si>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</si>
  <si>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</si>
  <si>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</si>
  <si>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</si>
  <si>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</si>
  <si>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</si>
  <si>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</si>
  <si>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</si>
  <si>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</si>
  <si>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</si>
  <si>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</si>
  <si>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</si>
  <si>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</si>
  <si>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</si>
  <si>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</si>
  <si>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</si>
  <si>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</si>
  <si>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</si>
  <si>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</si>
  <si>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</si>
  <si>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</si>
  <si>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</si>
  <si>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</si>
  <si>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</si>
  <si>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</si>
  <si>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</si>
  <si>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</si>
  <si>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</si>
  <si>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</si>
  <si>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</si>
  <si>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</si>
  <si>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</si>
  <si>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</si>
  <si>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</si>
  <si>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</si>
  <si>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</si>
  <si>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</si>
  <si>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</si>
  <si>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</si>
  <si>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</si>
  <si>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</si>
  <si>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</si>
  <si>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</si>
  <si>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</si>
  <si>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</si>
  <si>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</si>
  <si>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</si>
  <si>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</si>
  <si>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</si>
  <si>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</si>
  <si>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</si>
  <si>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</si>
  <si>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</si>
  <si>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</si>
  <si>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</si>
  <si>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</si>
  <si>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</si>
  <si>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</si>
  <si>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</si>
  <si>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</si>
  <si>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</si>
  <si>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</si>
  <si>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</si>
  <si>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</si>
  <si>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</si>
  <si>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</si>
  <si>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</si>
  <si>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</si>
  <si>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</si>
  <si>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</si>
  <si>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</si>
  <si>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</si>
  <si>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</si>
  <si>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</si>
  <si>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</si>
  <si>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</si>
  <si>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</si>
  <si>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</si>
  <si>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</si>
  <si>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</si>
  <si>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</si>
  <si>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</si>
  <si>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</si>
  <si>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</si>
  <si>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</si>
  <si>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</si>
  <si>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</si>
  <si>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</si>
  <si>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</si>
  <si>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</si>
  <si>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</si>
  <si>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</si>
  <si>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</si>
  <si>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</si>
  <si>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</si>
  <si>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</si>
  <si>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</si>
  <si>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</si>
  <si>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</si>
  <si>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</si>
  <si>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</si>
  <si>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</si>
  <si>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</si>
  <si>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</si>
  <si>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</si>
  <si>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</si>
  <si>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</si>
  <si>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</si>
  <si>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</si>
  <si>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</si>
  <si>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</si>
  <si>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</si>
  <si>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</si>
  <si>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</si>
  <si>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</si>
  <si>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</si>
  <si>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</si>
  <si>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</si>
  <si>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</si>
  <si>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</si>
  <si>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</si>
  <si>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</si>
  <si>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</si>
  <si>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</si>
  <si>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</si>
  <si>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</si>
  <si>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</si>
  <si>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</si>
  <si>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</si>
  <si>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</si>
  <si>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</si>
  <si>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</si>
  <si>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</si>
  <si>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</si>
  <si>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</si>
  <si>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</si>
  <si>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</si>
  <si>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</si>
  <si>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</si>
  <si>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</si>
  <si>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</si>
  <si>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</si>
  <si>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</si>
  <si>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</si>
  <si>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</si>
  <si>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</si>
  <si>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</si>
  <si>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</si>
  <si>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</si>
  <si>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</si>
  <si>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</si>
  <si>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</si>
  <si>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</si>
  <si>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</si>
  <si>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</si>
  <si>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</si>
  <si>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</si>
  <si>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</si>
  <si>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</si>
  <si>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</si>
  <si>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</si>
  <si>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</si>
  <si>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</si>
  <si>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</si>
  <si>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</si>
  <si>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</si>
  <si>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</si>
  <si>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</si>
  <si>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</si>
  <si>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</si>
  <si>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</si>
  <si>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</si>
  <si>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</si>
  <si>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</si>
  <si>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</si>
  <si>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</si>
  <si>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</si>
  <si>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</si>
  <si>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</si>
  <si>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</si>
  <si>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</si>
  <si>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</si>
  <si>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</si>
  <si>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</si>
  <si>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</si>
  <si>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</si>
  <si>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</si>
  <si>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</si>
  <si>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</si>
  <si>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</si>
  <si>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</si>
  <si>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</si>
  <si>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</si>
  <si>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</si>
  <si>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</si>
  <si>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</si>
  <si>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</si>
  <si>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</si>
  <si>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</si>
  <si>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</si>
  <si>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</si>
  <si>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</si>
  <si>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</si>
  <si>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</si>
  <si>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</si>
  <si>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</si>
  <si>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</si>
  <si>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</si>
  <si>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</si>
  <si>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</si>
  <si>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</si>
  <si>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</si>
  <si>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</si>
  <si>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</si>
  <si>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</si>
  <si>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</si>
  <si>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</si>
  <si>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</si>
  <si>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</si>
  <si>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</si>
  <si>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</si>
  <si>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</si>
  <si>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</si>
  <si>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</si>
  <si>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</si>
  <si>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</si>
  <si>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</si>
  <si>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</si>
  <si>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</si>
  <si>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</si>
  <si>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</si>
  <si>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</si>
  <si>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</si>
  <si>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</si>
  <si>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</si>
  <si>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</si>
  <si>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</si>
  <si>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</si>
  <si>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</si>
  <si>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</si>
  <si>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</si>
  <si>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</si>
  <si>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</si>
  <si>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</si>
  <si>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</si>
  <si>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</si>
  <si>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</si>
  <si>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</si>
  <si>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</si>
  <si>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</si>
  <si>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</si>
  <si>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</si>
  <si>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</si>
  <si>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</si>
  <si>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</si>
  <si>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</si>
  <si>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</si>
  <si>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</si>
  <si>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</si>
  <si>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</si>
  <si>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</si>
  <si>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</si>
  <si>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</si>
  <si>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</si>
  <si>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</si>
  <si>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</si>
  <si>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</si>
  <si>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</si>
  <si>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</si>
  <si>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</si>
  <si>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</si>
  <si>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</si>
  <si>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</si>
  <si>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</si>
  <si>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</si>
  <si>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</si>
  <si>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</si>
  <si>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</si>
  <si>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</si>
  <si>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</si>
  <si>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</si>
  <si>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</si>
  <si>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</si>
  <si>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</si>
  <si>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</si>
  <si>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</si>
  <si>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</si>
  <si>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</si>
  <si>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</si>
  <si>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</si>
  <si>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</si>
  <si>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</si>
  <si>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</si>
  <si>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</si>
  <si>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</si>
  <si>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</si>
  <si>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</si>
  <si>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</si>
  <si>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</si>
  <si>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</si>
  <si>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</si>
  <si>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</si>
  <si>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</si>
  <si>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</si>
  <si>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</si>
  <si>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</si>
  <si>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</si>
  <si>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</si>
  <si>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</si>
  <si>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</si>
  <si>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</si>
  <si>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</si>
  <si>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</si>
  <si>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</si>
  <si>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</si>
  <si>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</si>
  <si>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</si>
  <si>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</si>
  <si>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</si>
  <si>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</si>
  <si>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</si>
  <si>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</si>
  <si>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</si>
  <si>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</si>
  <si>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</si>
  <si>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</si>
  <si>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</si>
  <si>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</si>
  <si>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</si>
  <si>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</si>
  <si>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</si>
  <si>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</si>
  <si>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</si>
  <si>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</si>
  <si>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</si>
  <si>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</si>
  <si>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</si>
  <si>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</si>
  <si>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</si>
  <si>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</si>
  <si>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</si>
  <si>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</si>
  <si>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</si>
  <si>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</si>
  <si>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</si>
  <si>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</si>
  <si>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</si>
  <si>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</si>
  <si>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</si>
  <si>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</si>
  <si>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</si>
  <si>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</si>
  <si>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</si>
  <si>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</si>
  <si>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</si>
  <si>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</si>
  <si>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</si>
  <si>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</si>
  <si>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</si>
  <si>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</si>
  <si>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</si>
  <si>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</si>
  <si>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</si>
  <si>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</si>
  <si>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</si>
  <si>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</si>
  <si>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</si>
  <si>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</si>
  <si>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</si>
  <si>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</si>
  <si>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</si>
  <si>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</si>
  <si>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</si>
  <si>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</si>
  <si>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</si>
  <si>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</si>
  <si>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</si>
  <si>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</si>
  <si>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</si>
  <si>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</si>
  <si>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</si>
  <si>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</si>
  <si>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</si>
  <si>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</si>
  <si>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</si>
  <si>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</si>
  <si>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</si>
  <si>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</si>
  <si>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</si>
  <si>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</si>
  <si>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</si>
  <si>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</si>
  <si>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</si>
  <si>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</si>
  <si>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</si>
  <si>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</si>
  <si>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</si>
  <si>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</si>
  <si>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</si>
  <si>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</si>
  <si>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</si>
  <si>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</si>
  <si>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</si>
  <si>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</si>
  <si>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</si>
  <si>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</si>
  <si>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</si>
  <si>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</si>
  <si>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</si>
  <si>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</si>
  <si>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</si>
  <si>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</si>
  <si>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</si>
  <si>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</si>
  <si>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</si>
  <si>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</si>
  <si>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</si>
  <si>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</si>
  <si>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</si>
  <si>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</si>
  <si>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</si>
  <si>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</si>
  <si>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</si>
  <si>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</si>
  <si>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</si>
  <si>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</si>
  <si>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</si>
  <si>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</si>
  <si>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</si>
  <si>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</si>
  <si>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</si>
  <si>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</si>
  <si>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</si>
  <si>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</si>
  <si>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</si>
  <si>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</si>
  <si>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</si>
  <si>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</si>
  <si>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</si>
  <si>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</si>
  <si>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</si>
  <si>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</si>
  <si>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</si>
  <si>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</si>
  <si>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</si>
  <si>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</si>
  <si>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</si>
  <si>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</si>
  <si>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</si>
  <si>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</si>
  <si>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</si>
  <si>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</si>
  <si>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</si>
  <si>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</si>
  <si>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</si>
  <si>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</si>
  <si>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</si>
  <si>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</si>
  <si>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</si>
  <si>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</si>
  <si>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</si>
  <si>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</si>
  <si>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</si>
  <si>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</si>
  <si>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</si>
  <si>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</si>
  <si>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</si>
  <si>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</si>
  <si>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</si>
  <si>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</si>
  <si>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</si>
  <si>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</si>
  <si>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</si>
  <si>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</si>
  <si>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</si>
  <si>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</si>
  <si>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</si>
  <si>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</si>
  <si>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</si>
  <si>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</si>
  <si>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</si>
  <si>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</si>
  <si>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</si>
  <si>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</si>
  <si>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</si>
  <si>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</si>
  <si>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</si>
  <si>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</si>
  <si>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</si>
  <si>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</si>
  <si>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</si>
  <si>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</si>
  <si>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</si>
  <si>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</si>
  <si>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</si>
  <si>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</si>
  <si>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</si>
  <si>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</si>
  <si>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</si>
  <si>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</si>
  <si>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</si>
  <si>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</si>
  <si>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</si>
  <si>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</si>
  <si>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</si>
  <si>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</si>
  <si>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</si>
  <si>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</si>
  <si>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</si>
  <si>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</si>
  <si>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</si>
  <si>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</si>
  <si>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</si>
  <si>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</si>
  <si>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</si>
  <si>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</si>
  <si>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</si>
  <si>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</si>
  <si>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</si>
  <si>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</si>
  <si>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</si>
  <si>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</si>
  <si>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</si>
  <si>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</si>
  <si>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</si>
  <si>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</si>
  <si>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</si>
  <si>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</si>
  <si>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</si>
  <si>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</si>
  <si>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</si>
  <si>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</si>
  <si>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</si>
  <si>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</si>
  <si>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</si>
  <si>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</si>
  <si>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</si>
  <si>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</si>
  <si>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</si>
  <si>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</si>
  <si>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</si>
  <si>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</si>
  <si>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</si>
  <si>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</si>
  <si>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</si>
  <si>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</si>
  <si>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</si>
  <si>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</si>
  <si>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</si>
  <si>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</si>
  <si>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</si>
  <si>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</si>
  <si>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</si>
  <si>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</si>
  <si>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</si>
  <si>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</si>
  <si>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</si>
  <si>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</si>
  <si>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</si>
  <si>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</si>
  <si>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</si>
  <si>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</si>
  <si>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</si>
  <si>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</si>
  <si>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</si>
  <si>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</si>
  <si>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</si>
  <si>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</si>
  <si>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</si>
  <si>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</si>
  <si>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</si>
  <si>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</si>
  <si>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</si>
  <si>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</si>
  <si>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</si>
  <si>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</si>
  <si>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</si>
  <si>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</si>
  <si>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</si>
  <si>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</si>
  <si>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</si>
  <si>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</si>
  <si>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</si>
  <si>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</si>
  <si>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</si>
  <si>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</si>
  <si>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</si>
  <si>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</si>
  <si>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</si>
  <si>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</si>
  <si>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</si>
  <si>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</si>
  <si>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</si>
  <si>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</si>
  <si>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</si>
  <si>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</si>
  <si>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</si>
  <si>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</si>
  <si>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</si>
  <si>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</si>
  <si>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</si>
  <si>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</si>
  <si>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</si>
  <si>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</si>
  <si>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</si>
  <si>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</si>
  <si>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</si>
  <si>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</si>
  <si>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</si>
  <si>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iAqualink Only PS-4 (H.O. To Provide WiFi) Only use with Infinite Light System</t>
  </si>
  <si>
    <t>16x16</t>
  </si>
  <si>
    <t>Ashley Drennen</t>
  </si>
  <si>
    <t>Ft mill</t>
  </si>
  <si>
    <t>turf and travertine in lay</t>
  </si>
  <si>
    <t>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</si>
</sst>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6" xfId="2" applyFon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44" fontId="0" fillId="0" borderId="44" xfId="2" applyFont="1" applyBorder="1" applyAlignment="1">
      <alignment horizontal="center"/>
    </xf>
    <xf numFmtId="44" fontId="0" fillId="0" borderId="17" xfId="2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67" fontId="26" fillId="3" borderId="6" xfId="6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167" fontId="26" fillId="0" borderId="6" xfId="6" applyNumberFormat="1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33" fillId="11" borderId="0" xfId="0" applyFont="1" applyFill="1" applyAlignment="1">
      <alignment horizontal="center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38" fillId="11" borderId="13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0" fontId="31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opLeftCell="A109" zoomScaleNormal="100" workbookViewId="0">
      <selection activeCell="J170" sqref="J170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1" ht="24" thickBot="1">
      <c r="A1" s="522" t="s">
        <v>1136</v>
      </c>
      <c r="B1" s="523"/>
      <c r="C1" s="523"/>
      <c r="D1" s="523"/>
      <c r="E1" s="523"/>
      <c r="F1" s="523"/>
      <c r="G1" s="523"/>
      <c r="H1" s="524"/>
    </row>
    <row r="2" spans="1:11" ht="15" thickBot="1"/>
    <row r="3" spans="1:11" ht="15" thickBot="1">
      <c r="A3" s="165" t="s">
        <v>0</v>
      </c>
      <c r="B3" s="503" t="s">
        <v>1143</v>
      </c>
      <c r="C3" s="504"/>
      <c r="D3" s="504"/>
      <c r="E3" s="505"/>
    </row>
    <row r="4" spans="1:11" ht="15" thickBot="1">
      <c r="A4" s="165" t="s">
        <v>670</v>
      </c>
      <c r="B4" s="503" t="s">
        <v>1144</v>
      </c>
      <c r="C4" s="504"/>
      <c r="D4" s="504"/>
      <c r="E4" s="505"/>
    </row>
    <row r="5" spans="1:11" ht="15" thickBot="1">
      <c r="A5" s="8" t="s">
        <v>1074</v>
      </c>
      <c r="B5" s="403">
        <v>1</v>
      </c>
      <c r="C5" t="s">
        <v>1075</v>
      </c>
    </row>
    <row r="6" spans="1:11" ht="15" thickBot="1"/>
    <row r="7" spans="1:11" ht="15" thickBot="1">
      <c r="A7" s="165" t="s">
        <v>462</v>
      </c>
      <c r="B7" s="113">
        <v>93</v>
      </c>
      <c r="C7" t="s">
        <v>468</v>
      </c>
      <c r="D7" s="165" t="s">
        <v>484</v>
      </c>
      <c r="E7" s="476">
        <v>21.5</v>
      </c>
      <c r="F7" t="s">
        <v>590</v>
      </c>
      <c r="J7" s="226">
        <f>IF(B$21+B$22+B$23&gt;0,1,0)</f>
        <v>0</v>
      </c>
    </row>
    <row r="8" spans="1:11" ht="15" thickBot="1">
      <c r="A8" s="165" t="s">
        <v>463</v>
      </c>
      <c r="B8" s="113">
        <v>541</v>
      </c>
      <c r="C8" t="s">
        <v>435</v>
      </c>
      <c r="D8" s="165" t="s">
        <v>483</v>
      </c>
      <c r="E8" s="476">
        <v>28</v>
      </c>
      <c r="F8" t="s">
        <v>590</v>
      </c>
      <c r="G8" t="s">
        <v>998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867</v>
      </c>
      <c r="F9" t="s">
        <v>435</v>
      </c>
      <c r="H9">
        <v>0</v>
      </c>
      <c r="K9">
        <v>0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35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18690</v>
      </c>
      <c r="F13" s="153" t="s">
        <v>1066</v>
      </c>
    </row>
    <row r="14" spans="1:11" ht="15" thickBot="1">
      <c r="A14" s="165" t="s">
        <v>663</v>
      </c>
      <c r="B14" s="113">
        <v>7</v>
      </c>
    </row>
    <row r="15" spans="1:11" ht="15" thickBot="1">
      <c r="A15" s="165" t="s">
        <v>664</v>
      </c>
      <c r="B15" s="113">
        <v>7</v>
      </c>
      <c r="C15" s="117"/>
      <c r="D15" s="117"/>
      <c r="E15" s="106"/>
    </row>
    <row r="16" spans="1:11" ht="15" thickBot="1">
      <c r="A16" s="165" t="s">
        <v>665</v>
      </c>
      <c r="B16" s="113">
        <v>2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28</v>
      </c>
      <c r="C17" s="153" t="s">
        <v>1067</v>
      </c>
    </row>
    <row r="18" spans="1:8" ht="15" thickBot="1">
      <c r="A18" s="165" t="s">
        <v>478</v>
      </c>
      <c r="B18" s="113">
        <v>1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2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0" t="s">
        <v>475</v>
      </c>
      <c r="B30" s="491"/>
      <c r="C30" s="491"/>
      <c r="D30" s="492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0</v>
      </c>
      <c r="C32" s="113">
        <v>0</v>
      </c>
      <c r="D32" s="506" t="s">
        <v>821</v>
      </c>
      <c r="E32" s="507"/>
      <c r="F32" s="507"/>
      <c r="G32" s="507"/>
      <c r="H32" s="508"/>
    </row>
    <row r="33" spans="1:8" ht="15" thickBot="1">
      <c r="A33" s="99" t="s">
        <v>641</v>
      </c>
      <c r="B33" s="113">
        <v>0</v>
      </c>
      <c r="C33" s="113">
        <v>0</v>
      </c>
      <c r="D33" s="509"/>
      <c r="E33" s="510"/>
      <c r="F33" s="510"/>
      <c r="G33" s="510"/>
      <c r="H33" s="511"/>
    </row>
    <row r="34" spans="1:8" ht="15" thickBot="1">
      <c r="A34" s="99" t="s">
        <v>642</v>
      </c>
      <c r="B34" s="113">
        <v>0</v>
      </c>
      <c r="C34" s="113">
        <v>0</v>
      </c>
      <c r="D34" s="509"/>
      <c r="E34" s="510"/>
      <c r="F34" s="510"/>
      <c r="G34" s="510"/>
      <c r="H34" s="511"/>
    </row>
    <row r="35" spans="1:8" ht="15" thickBot="1">
      <c r="A35" s="99" t="s">
        <v>643</v>
      </c>
      <c r="B35" s="113">
        <v>0</v>
      </c>
      <c r="C35" s="113">
        <v>0</v>
      </c>
      <c r="D35" s="509"/>
      <c r="E35" s="510"/>
      <c r="F35" s="510"/>
      <c r="G35" s="510"/>
      <c r="H35" s="511"/>
    </row>
    <row r="36" spans="1:8" ht="15" thickBot="1">
      <c r="A36" s="99" t="s">
        <v>644</v>
      </c>
      <c r="B36" s="113">
        <v>0</v>
      </c>
      <c r="C36" s="113">
        <v>0</v>
      </c>
      <c r="D36" s="509"/>
      <c r="E36" s="510"/>
      <c r="F36" s="510"/>
      <c r="G36" s="510"/>
      <c r="H36" s="511"/>
    </row>
    <row r="37" spans="1:8" ht="15" thickBot="1">
      <c r="A37" s="170" t="s">
        <v>645</v>
      </c>
      <c r="B37" s="169">
        <v>0</v>
      </c>
      <c r="C37" s="113">
        <v>0</v>
      </c>
      <c r="D37" s="512"/>
      <c r="E37" s="513"/>
      <c r="F37" s="513"/>
      <c r="G37" s="513"/>
      <c r="H37" s="514"/>
    </row>
    <row r="38" spans="1:8" ht="15" thickBot="1">
      <c r="A38" s="99" t="s">
        <v>648</v>
      </c>
      <c r="B38" s="114">
        <f>SHOT!L10</f>
        <v>0</v>
      </c>
      <c r="C38" s="153" t="s">
        <v>1067</v>
      </c>
      <c r="D38" s="4"/>
      <c r="E38" s="4"/>
    </row>
    <row r="39" spans="1:8" ht="15" thickBot="1">
      <c r="A39" s="166"/>
      <c r="B39" s="117"/>
      <c r="C39" s="4" t="s">
        <v>650</v>
      </c>
      <c r="D39" s="117"/>
    </row>
    <row r="40" spans="1:8" ht="15" thickBot="1">
      <c r="A40" s="166" t="s">
        <v>659</v>
      </c>
      <c r="B40" s="113">
        <v>0</v>
      </c>
      <c r="C40" s="113">
        <v>0</v>
      </c>
      <c r="D40" s="503" t="str">
        <f>D32</f>
        <v>( 1=Tile / 2=Panel Ledge / 3=Stacked Stone)</v>
      </c>
      <c r="E40" s="504"/>
      <c r="F40" s="504"/>
      <c r="G40" s="504"/>
      <c r="H40" s="505"/>
    </row>
    <row r="41" spans="1:8" ht="15" thickBot="1">
      <c r="A41" s="166" t="s">
        <v>639</v>
      </c>
      <c r="B41" s="113">
        <v>0</v>
      </c>
      <c r="C41" s="51" t="s">
        <v>590</v>
      </c>
      <c r="D41" s="167"/>
    </row>
    <row r="42" spans="1:8" ht="15" thickBot="1">
      <c r="A42" s="166" t="s">
        <v>647</v>
      </c>
      <c r="B42" s="113">
        <v>0</v>
      </c>
      <c r="C42" s="51" t="s">
        <v>590</v>
      </c>
      <c r="D42" s="167"/>
    </row>
    <row r="43" spans="1:8" ht="15" thickBot="1">
      <c r="A43" s="166" t="s">
        <v>646</v>
      </c>
      <c r="B43" s="113">
        <v>0</v>
      </c>
      <c r="C43" s="51" t="s">
        <v>590</v>
      </c>
      <c r="D43" s="167"/>
    </row>
    <row r="44" spans="1:8" ht="15" thickBot="1">
      <c r="A44" s="153"/>
      <c r="B44" s="168"/>
      <c r="C44" s="167"/>
      <c r="D44" s="153"/>
    </row>
    <row r="45" spans="1:8" ht="15" thickBot="1">
      <c r="A45" s="99" t="s">
        <v>469</v>
      </c>
      <c r="B45" s="113">
        <v>0</v>
      </c>
      <c r="C45" t="s">
        <v>470</v>
      </c>
    </row>
    <row r="46" spans="1:8" ht="15" thickBot="1">
      <c r="A46" s="99" t="s">
        <v>471</v>
      </c>
      <c r="B46" s="113">
        <v>1</v>
      </c>
      <c r="C46" t="s">
        <v>592</v>
      </c>
    </row>
    <row r="47" spans="1:8" ht="15" thickBot="1">
      <c r="A47" s="99" t="s">
        <v>472</v>
      </c>
      <c r="B47" s="113">
        <v>1</v>
      </c>
      <c r="C47" t="s">
        <v>592</v>
      </c>
    </row>
    <row r="48" spans="1:8" ht="15" thickBot="1">
      <c r="A48" s="99" t="s">
        <v>473</v>
      </c>
      <c r="B48" s="114">
        <f>IF(B11&gt;20,B11-20,0)</f>
        <v>15</v>
      </c>
      <c r="C48" s="153" t="s">
        <v>1067</v>
      </c>
    </row>
    <row r="49" spans="1:4" ht="15" thickBot="1">
      <c r="A49" s="99" t="s">
        <v>474</v>
      </c>
      <c r="B49" s="113">
        <v>0</v>
      </c>
      <c r="C49" t="s">
        <v>592</v>
      </c>
    </row>
    <row r="50" spans="1:4" ht="15" thickBot="1">
      <c r="B50" s="117"/>
    </row>
    <row r="51" spans="1:4" ht="15" thickBot="1">
      <c r="A51" s="99" t="s">
        <v>805</v>
      </c>
      <c r="B51" s="113">
        <v>0</v>
      </c>
      <c r="C51" t="s">
        <v>468</v>
      </c>
    </row>
    <row r="52" spans="1:4" ht="15" thickBot="1">
      <c r="B52" s="117"/>
      <c r="C52" s="106"/>
    </row>
    <row r="53" spans="1:4" ht="15" thickBot="1">
      <c r="A53" s="99" t="s">
        <v>621</v>
      </c>
      <c r="B53" s="113">
        <v>0</v>
      </c>
      <c r="C53" t="s">
        <v>592</v>
      </c>
    </row>
    <row r="54" spans="1:4" ht="15" thickBot="1"/>
    <row r="55" spans="1:4" ht="18" thickBot="1">
      <c r="A55" s="490" t="s">
        <v>494</v>
      </c>
      <c r="B55" s="491"/>
      <c r="C55" s="491"/>
      <c r="D55" s="492"/>
    </row>
    <row r="56" spans="1:4" ht="15" thickBot="1"/>
    <row r="57" spans="1:4" ht="15" thickBot="1">
      <c r="A57" s="99" t="s">
        <v>495</v>
      </c>
      <c r="B57" s="118">
        <v>0</v>
      </c>
      <c r="C57" t="s">
        <v>500</v>
      </c>
    </row>
    <row r="58" spans="1:4" ht="15" thickBot="1">
      <c r="A58" s="99" t="s">
        <v>496</v>
      </c>
      <c r="B58" s="118">
        <v>126</v>
      </c>
      <c r="C58" t="s">
        <v>497</v>
      </c>
    </row>
    <row r="59" spans="1:4" ht="15" thickBot="1">
      <c r="A59" s="99" t="s">
        <v>498</v>
      </c>
      <c r="B59" s="118">
        <v>46</v>
      </c>
      <c r="C59" t="s">
        <v>499</v>
      </c>
    </row>
    <row r="60" spans="1:4" ht="15" thickBot="1">
      <c r="A60" s="99" t="s">
        <v>511</v>
      </c>
      <c r="B60" s="118">
        <v>0</v>
      </c>
      <c r="C60" t="s">
        <v>512</v>
      </c>
    </row>
    <row r="61" spans="1:4" ht="15" thickBot="1">
      <c r="A61" s="99" t="s">
        <v>501</v>
      </c>
      <c r="B61" s="118">
        <v>0</v>
      </c>
      <c r="C61" t="s">
        <v>502</v>
      </c>
    </row>
    <row r="62" spans="1:4" ht="15" thickBot="1">
      <c r="A62" s="99" t="s">
        <v>875</v>
      </c>
      <c r="B62" s="118">
        <v>0</v>
      </c>
      <c r="C62" t="s">
        <v>884</v>
      </c>
    </row>
    <row r="63" spans="1:4" ht="15" thickBot="1">
      <c r="A63" s="99" t="s">
        <v>876</v>
      </c>
      <c r="B63" s="118">
        <v>0</v>
      </c>
      <c r="C63" t="s">
        <v>884</v>
      </c>
    </row>
    <row r="64" spans="1:4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36</v>
      </c>
      <c r="C68" s="116" t="s">
        <v>504</v>
      </c>
    </row>
    <row r="69" spans="1:4" ht="15" thickBot="1">
      <c r="A69" s="99" t="s">
        <v>505</v>
      </c>
      <c r="B69" s="118">
        <v>30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85</v>
      </c>
      <c r="C71" t="s">
        <v>532</v>
      </c>
    </row>
    <row r="72" spans="1:4" ht="15" thickBot="1">
      <c r="A72" s="99" t="s">
        <v>530</v>
      </c>
      <c r="B72" s="118">
        <v>165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0" t="s">
        <v>785</v>
      </c>
      <c r="B75" s="491"/>
      <c r="C75" s="491"/>
      <c r="D75" s="492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1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493" t="str">
        <f>'TILE COPING'!F32</f>
        <v>Silver, Silver Vogue, River Silver, Bianco Dolomite, Dianna Royal, Skyline, Alaska Silver, Turkish Carrea</v>
      </c>
      <c r="F93" s="493"/>
      <c r="G93" s="493"/>
      <c r="H93" s="493"/>
      <c r="I93" s="493"/>
    </row>
    <row r="94" spans="1:10" ht="15.6" customHeight="1" thickBot="1">
      <c r="A94" s="99" t="s">
        <v>825</v>
      </c>
      <c r="B94" s="118">
        <v>0</v>
      </c>
      <c r="C94" t="s">
        <v>592</v>
      </c>
      <c r="E94" s="493" t="str">
        <f>'TILE COPING'!F33</f>
        <v>Silver, Silver Vogue, River Silver, Bianco Dolomite, Dianna Royal, Skyline, Alaska Silver, Turkish Carrea</v>
      </c>
      <c r="F94" s="493"/>
      <c r="G94" s="493"/>
      <c r="H94" s="493"/>
      <c r="I94" s="493"/>
      <c r="J94" s="49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0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0" t="s">
        <v>841</v>
      </c>
      <c r="B102" s="491"/>
      <c r="C102" s="491"/>
      <c r="D102" s="492"/>
    </row>
    <row r="103" spans="1:4" ht="15" thickBot="1">
      <c r="B103" s="152"/>
    </row>
    <row r="104" spans="1:4" ht="15" thickBot="1">
      <c r="A104" s="99" t="s">
        <v>1137</v>
      </c>
      <c r="B104" s="118">
        <v>28</v>
      </c>
      <c r="C104" t="s">
        <v>844</v>
      </c>
    </row>
    <row r="105" spans="1:4" ht="15" thickBot="1">
      <c r="A105" s="99" t="s">
        <v>1138</v>
      </c>
      <c r="B105" s="118">
        <v>55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0" t="s">
        <v>686</v>
      </c>
      <c r="B109" s="491"/>
      <c r="C109" s="491"/>
      <c r="D109" s="492"/>
    </row>
    <row r="110" spans="1:4" ht="15" thickBot="1">
      <c r="B110" s="152"/>
    </row>
    <row r="111" spans="1:4" ht="18" thickBot="1">
      <c r="A111" s="490" t="s">
        <v>689</v>
      </c>
      <c r="B111" s="491"/>
      <c r="C111" s="491"/>
      <c r="D111" s="492"/>
    </row>
    <row r="112" spans="1:4" ht="15" thickBot="1">
      <c r="B112" s="152"/>
    </row>
    <row r="113" spans="1:11" ht="15" thickBot="1">
      <c r="A113" s="212" t="s">
        <v>969</v>
      </c>
      <c r="B113" s="194">
        <v>1</v>
      </c>
      <c r="C113" s="497">
        <f>VLOOKUP(A113,EQUIP!M15:T17,8,FALSE)</f>
        <v>570</v>
      </c>
      <c r="D113" s="499"/>
    </row>
    <row r="114" spans="1:11" ht="15" thickBot="1">
      <c r="A114" s="212" t="s">
        <v>50</v>
      </c>
      <c r="B114" s="225">
        <f>IF(C114&gt;0,1,0)</f>
        <v>0</v>
      </c>
      <c r="C114" s="497">
        <f>VLOOKUP(A114,EQUIP!M14:S19,7,FALSE)</f>
        <v>0</v>
      </c>
      <c r="D114" s="499"/>
    </row>
    <row r="115" spans="1:11" ht="15" thickBot="1">
      <c r="A115" s="212" t="s">
        <v>50</v>
      </c>
      <c r="B115" s="225">
        <f>IF(C115&gt;0,1,0)</f>
        <v>0</v>
      </c>
      <c r="C115" s="497">
        <f>VLOOKUP(A115,EQUIP!M14:S19,7,FALSE)</f>
        <v>0</v>
      </c>
      <c r="D115" s="499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7">
        <f>VLOOKUP(A117,EQUIP!M23:O28,3,FALSE)</f>
        <v>80</v>
      </c>
      <c r="D117" s="499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516">
        <f>VLOOKUP(A119,EQUIP!M31:S33,7,FALSE)</f>
        <v>2000</v>
      </c>
      <c r="D119" s="497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1</v>
      </c>
      <c r="C121" s="516">
        <f>VLOOKUP(A121,EQUIP!M36:S39,7,FALSE)</f>
        <v>4710</v>
      </c>
      <c r="D121" s="497"/>
      <c r="E121" s="494" t="str">
        <f>IF(A121="Jandy 260K BTU - JXI Heater", "CANNOT BE USED TO HEAT A SPA","")</f>
        <v/>
      </c>
      <c r="F121" s="495"/>
      <c r="G121" s="495"/>
      <c r="H121" s="495"/>
    </row>
    <row r="122" spans="1:11" ht="16.2" thickBot="1">
      <c r="A122" s="432" t="s">
        <v>933</v>
      </c>
      <c r="B122" s="482">
        <v>0</v>
      </c>
      <c r="C122" s="496">
        <f>B122*EQUIP!S39</f>
        <v>0</v>
      </c>
      <c r="D122" s="497"/>
      <c r="E122" s="502" t="str">
        <f>IF(B14&gt;0,"PROJECT HAS A SPA - SELECT YOUR HEATER","")</f>
        <v>PROJECT HAS A SPA - SELECT YOUR HEATER</v>
      </c>
      <c r="F122" s="502"/>
      <c r="G122" s="502"/>
      <c r="H122" s="502"/>
      <c r="I122" s="502"/>
      <c r="J122" s="502"/>
      <c r="K122" s="50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7" t="str">
        <f>IF(B124=2,"INCLUDED",IF(B124=1,-EQUIP!S121,((B124-2)*EQUIP!S45)))</f>
        <v>INCLUDED</v>
      </c>
      <c r="D124" s="499"/>
    </row>
    <row r="125" spans="1:11" ht="16.2" thickBot="1">
      <c r="A125" s="212" t="s">
        <v>986</v>
      </c>
      <c r="B125" s="118">
        <f>EXC!C27</f>
        <v>1</v>
      </c>
      <c r="C125" s="500">
        <f>B125*EQUIP!S43</f>
        <v>755</v>
      </c>
      <c r="D125" s="501"/>
      <c r="E125" s="502" t="str">
        <f>IF(B14&gt;0,"PROJECT HAS A SPA - ADD SPA LIGHT","")</f>
        <v>PROJECT HAS A SPA - ADD SPA LIGHT</v>
      </c>
      <c r="F125" s="502"/>
      <c r="G125" s="502"/>
      <c r="H125" s="502"/>
      <c r="I125" s="502"/>
      <c r="J125" s="502"/>
      <c r="K125" s="502"/>
    </row>
    <row r="126" spans="1:11" ht="15" thickBot="1">
      <c r="B126" s="152"/>
    </row>
    <row r="127" spans="1:11" ht="15" thickBot="1">
      <c r="A127" s="217" t="s">
        <v>1078</v>
      </c>
      <c r="B127" s="194">
        <f>IF(C127&gt;0,1,0)</f>
        <v>1</v>
      </c>
      <c r="C127" s="497">
        <f>VLOOKUP(A127,EQUIP!M49:S57,7,FALSE)+(H127*EQUIP!S58)</f>
        <v>980</v>
      </c>
      <c r="D127" s="499"/>
      <c r="E127" s="226">
        <f>IF(C127=1280,1,0)</f>
        <v>0</v>
      </c>
      <c r="F127" s="226">
        <f>IF(A127=EQUIP!M57,1,0)</f>
        <v>1</v>
      </c>
      <c r="G127" s="351">
        <f>B131</f>
        <v>1</v>
      </c>
      <c r="H127" s="226">
        <f>F127*G127</f>
        <v>1</v>
      </c>
    </row>
    <row r="128" spans="1:11" ht="15" thickBot="1">
      <c r="A128" s="217" t="s">
        <v>126</v>
      </c>
      <c r="B128" s="194">
        <f>IF(C128&gt;0,1,0)</f>
        <v>0</v>
      </c>
      <c r="C128" s="497">
        <f>VLOOKUP(A128,EQUIP!M49:S57,7,FALSE)+(H128*EQUIP!S58)</f>
        <v>0</v>
      </c>
      <c r="D128" s="499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7">
        <f>VLOOKUP(A129,EQUIP!M49:S57,7,FALSE)+(H129*EQUIP!S58)</f>
        <v>0</v>
      </c>
      <c r="D129" s="499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1141</v>
      </c>
      <c r="B131" s="118">
        <v>1</v>
      </c>
      <c r="C131" s="515">
        <f>VLOOKUP(A131,EQUIP!M63:S72,7,FALSE)</f>
        <v>4033.3333333333335</v>
      </c>
      <c r="D131" s="497"/>
      <c r="E131" s="502" t="str">
        <f>IF(B14&gt;0,"PROJECT HAS A SPA - SELECT AUTOMATION","")</f>
        <v>PROJECT HAS A SPA - SELECT AUTOMATION</v>
      </c>
      <c r="F131" s="502"/>
      <c r="G131" s="502"/>
      <c r="H131" s="502"/>
      <c r="I131" s="502"/>
      <c r="J131" s="502"/>
      <c r="K131" s="50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516">
        <f>VLOOKUP(A133,EQUIP!M105:S107,7,FALSE)+(ELEC!E15)</f>
        <v>0</v>
      </c>
      <c r="D133" s="497"/>
    </row>
    <row r="134" spans="1:11" ht="15" thickBot="1">
      <c r="A134" s="117" t="s">
        <v>867</v>
      </c>
      <c r="B134" s="194">
        <v>0</v>
      </c>
      <c r="C134" s="517" t="s">
        <v>468</v>
      </c>
      <c r="D134" s="518"/>
    </row>
    <row r="135" spans="1:11" ht="15" thickBot="1">
      <c r="B135" s="152"/>
    </row>
    <row r="136" spans="1:11" ht="18" thickBot="1">
      <c r="A136" s="490" t="s">
        <v>703</v>
      </c>
      <c r="B136" s="491"/>
      <c r="C136" s="491"/>
      <c r="D136" s="492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499">
        <f>EQUIP!S128</f>
        <v>0</v>
      </c>
      <c r="D138" s="499"/>
    </row>
    <row r="139" spans="1:11" ht="15" thickBot="1">
      <c r="A139" s="217" t="s">
        <v>139</v>
      </c>
      <c r="B139" s="194">
        <v>0</v>
      </c>
      <c r="C139" s="499">
        <f>EQUIP!S129</f>
        <v>0</v>
      </c>
      <c r="D139" s="499"/>
    </row>
    <row r="140" spans="1:11" ht="15" thickBot="1">
      <c r="A140" s="117"/>
      <c r="B140" s="152"/>
    </row>
    <row r="141" spans="1:11" ht="15" thickBot="1">
      <c r="A141" s="217" t="s">
        <v>704</v>
      </c>
      <c r="B141" s="194">
        <v>0</v>
      </c>
      <c r="C141" s="499">
        <f>VLOOKUP(A141,EQUIP!M130:S130,7,FALSE)</f>
        <v>0</v>
      </c>
      <c r="D141" s="499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515">
        <f>VLOOKUP(A143,EQUIP!M131:S131,7,FALSE)</f>
        <v>0</v>
      </c>
      <c r="D143" s="497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515">
        <f>VLOOKUP(A145,EQUIP!M132:S132,7,FALSE)</f>
        <v>0</v>
      </c>
      <c r="D145" s="497"/>
    </row>
    <row r="146" spans="1:5" ht="15" thickBot="1">
      <c r="B146" s="152"/>
    </row>
    <row r="147" spans="1:5" ht="18" thickBot="1">
      <c r="A147" s="490" t="s">
        <v>713</v>
      </c>
      <c r="B147" s="491"/>
      <c r="C147" s="491"/>
      <c r="D147" s="492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16x16</v>
      </c>
      <c r="B149" s="194">
        <f>IF(C149&gt;0,1,0)</f>
        <v>1</v>
      </c>
      <c r="C149" s="497">
        <f>CUSTOM!G3</f>
        <v>1052.2285714285715</v>
      </c>
      <c r="D149" s="499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turf and travertine in lay</v>
      </c>
      <c r="B151" s="194">
        <f>IF(C151&gt;0,1,0)</f>
        <v>1</v>
      </c>
      <c r="C151" s="497">
        <f>CUSTOM!G5</f>
        <v>8914.2857142857156</v>
      </c>
      <c r="D151" s="499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No Custom Feature</v>
      </c>
      <c r="B153" s="194">
        <f>IF(C153&gt;0,1,0)</f>
        <v>0</v>
      </c>
      <c r="C153" s="497">
        <f>CUSTOM!G7</f>
        <v>0</v>
      </c>
      <c r="D153" s="499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No Custom Feature</v>
      </c>
      <c r="B155" s="194">
        <f>IF(C155&gt;0,1,0)</f>
        <v>0</v>
      </c>
      <c r="C155" s="497">
        <f>CUSTOM!G9</f>
        <v>0</v>
      </c>
      <c r="D155" s="499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No Custom Feature</v>
      </c>
      <c r="B157" s="194">
        <f>IF(C157&gt;0,1,0)</f>
        <v>0</v>
      </c>
      <c r="C157" s="497">
        <f>CUSTOM!G11</f>
        <v>0</v>
      </c>
      <c r="D157" s="499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7">
        <f>CUSTOM!G13</f>
        <v>0</v>
      </c>
      <c r="D159" s="499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7">
        <f>CUSTOM!G15</f>
        <v>0</v>
      </c>
      <c r="D161" s="499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7">
        <f>CUSTOM!G17</f>
        <v>0</v>
      </c>
      <c r="D163" s="499"/>
      <c r="E163" t="s">
        <v>783</v>
      </c>
    </row>
    <row r="164" spans="1:14" ht="15" thickBot="1">
      <c r="B164" s="152"/>
    </row>
    <row r="165" spans="1:14" ht="18" thickBot="1">
      <c r="A165" s="490" t="s">
        <v>1070</v>
      </c>
      <c r="B165" s="491"/>
      <c r="C165" s="491"/>
      <c r="D165" s="492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28</v>
      </c>
      <c r="C167" t="s">
        <v>468</v>
      </c>
    </row>
    <row r="168" spans="1:14" ht="15" thickBot="1">
      <c r="B168" s="152"/>
    </row>
    <row r="169" spans="1:14" ht="18" thickBot="1">
      <c r="A169" s="490" t="s">
        <v>1057</v>
      </c>
      <c r="B169" s="491"/>
      <c r="C169" s="491"/>
      <c r="D169" s="492"/>
    </row>
    <row r="170" spans="1:14" ht="18" thickBot="1">
      <c r="A170" s="163"/>
      <c r="B170" s="175"/>
      <c r="C170" s="163"/>
      <c r="D170" s="163"/>
      <c r="G170" t="s">
        <v>1146</v>
      </c>
    </row>
    <row r="171" spans="1:14" ht="15" thickBot="1">
      <c r="A171" s="99" t="s">
        <v>1052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0" t="s">
        <v>572</v>
      </c>
      <c r="B173" s="491"/>
      <c r="C173" s="491"/>
      <c r="D173" s="492"/>
    </row>
    <row r="174" spans="1:14" ht="15" thickBot="1"/>
    <row r="175" spans="1:14" ht="15.75" customHeight="1" thickBot="1">
      <c r="A175" s="347" t="s">
        <v>911</v>
      </c>
      <c r="B175" s="194">
        <v>1</v>
      </c>
      <c r="E175" s="498" t="str">
        <f>VLOOKUP(A175,INT!A6:R18,18,FALSE)</f>
        <v>Bordeaux / Desert Gold / French Grey / Irish Mist / White Diamonds / HighTech Caribbean Blue / High Tech Tahoe Blue</v>
      </c>
      <c r="F175" s="498"/>
      <c r="G175" s="498"/>
      <c r="H175" s="498"/>
      <c r="I175" s="498"/>
      <c r="J175" s="498"/>
      <c r="K175" s="498"/>
      <c r="L175" s="498"/>
      <c r="M175" s="498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7">
        <f>'COST - NEW'!E299</f>
        <v>1155</v>
      </c>
      <c r="D177" s="499"/>
      <c r="E177" s="521" t="s">
        <v>914</v>
      </c>
      <c r="F177" s="521"/>
      <c r="G177" s="521"/>
      <c r="H177" s="521"/>
      <c r="I177" s="521"/>
      <c r="J177" s="521"/>
      <c r="K177" s="521"/>
      <c r="L177" s="521"/>
      <c r="M177" s="521"/>
      <c r="N177" s="521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19" t="s">
        <v>637</v>
      </c>
      <c r="B181" s="520"/>
      <c r="C181" s="531">
        <f>CEILING('COST - NEW'!D344/'COST - NEW'!E344,10)+'COST - NEW'!E309</f>
        <v>152970</v>
      </c>
      <c r="D181" s="532"/>
      <c r="E181" s="153" t="s">
        <v>1069</v>
      </c>
    </row>
    <row r="182" spans="1:14" ht="15" thickBot="1"/>
    <row r="183" spans="1:14" ht="18.899999999999999" customHeight="1" thickBot="1">
      <c r="A183" s="529"/>
      <c r="B183" s="530"/>
      <c r="C183" s="527">
        <v>-8000</v>
      </c>
      <c r="D183" s="528"/>
    </row>
    <row r="184" spans="1:14" ht="15" thickBot="1"/>
    <row r="185" spans="1:14" ht="18.899999999999999" customHeight="1" thickBot="1">
      <c r="A185" s="529"/>
      <c r="B185" s="530"/>
      <c r="C185" s="527">
        <v>0</v>
      </c>
      <c r="D185" s="528"/>
    </row>
    <row r="186" spans="1:14" ht="15" thickBot="1"/>
    <row r="187" spans="1:14" ht="18.899999999999999" customHeight="1" thickBot="1">
      <c r="A187" s="529"/>
      <c r="B187" s="530"/>
      <c r="C187" s="527">
        <v>0</v>
      </c>
      <c r="D187" s="528"/>
    </row>
    <row r="188" spans="1:14" ht="15" thickBot="1"/>
    <row r="189" spans="1:14" ht="18.899999999999999" customHeight="1" thickBot="1">
      <c r="A189" s="529"/>
      <c r="B189" s="530"/>
      <c r="C189" s="527">
        <v>0</v>
      </c>
      <c r="D189" s="528"/>
    </row>
    <row r="190" spans="1:14" ht="15" thickBot="1"/>
    <row r="191" spans="1:14" ht="18.600000000000001" thickBot="1">
      <c r="A191" s="182" t="s">
        <v>676</v>
      </c>
      <c r="B191" s="349">
        <f>'COST - NEW'!E353*10</f>
        <v>1.8343042516986281</v>
      </c>
      <c r="C191" s="525">
        <f>SUM(C181:D190)</f>
        <v>144970</v>
      </c>
      <c r="D191" s="526"/>
      <c r="E191" s="153" t="s">
        <v>1069</v>
      </c>
    </row>
  </sheetData>
  <mergeCells count="64"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77"/>
  <sheetViews>
    <sheetView zoomScaleNormal="100" workbookViewId="0">
      <selection activeCell="A77" sqref="A77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1142</v>
      </c>
      <c r="B3" s="28"/>
      <c r="C3" s="67">
        <v>736.56</v>
      </c>
      <c r="D3" s="67">
        <v>0</v>
      </c>
      <c r="E3" s="29">
        <f>C3+D3</f>
        <v>736.56</v>
      </c>
      <c r="F3" s="244">
        <v>0.7</v>
      </c>
      <c r="G3" s="30">
        <f>E3/F3</f>
        <v>1052.2285714285715</v>
      </c>
    </row>
    <row r="5" spans="1:8">
      <c r="A5" s="7" t="s">
        <v>1145</v>
      </c>
      <c r="B5" s="28"/>
      <c r="C5" s="67">
        <v>6240</v>
      </c>
      <c r="D5" s="67">
        <v>0</v>
      </c>
      <c r="E5" s="29">
        <f>C5+D5</f>
        <v>6240</v>
      </c>
      <c r="F5" s="244">
        <v>0.7</v>
      </c>
      <c r="G5" s="30">
        <f>E5/F5</f>
        <v>8914.2857142857156</v>
      </c>
    </row>
    <row r="6" spans="1:8">
      <c r="A6" s="4"/>
    </row>
    <row r="7" spans="1:8">
      <c r="A7" s="7" t="s">
        <v>981</v>
      </c>
      <c r="B7" s="28"/>
      <c r="C7" s="67">
        <v>0</v>
      </c>
      <c r="D7" s="67">
        <v>0</v>
      </c>
      <c r="E7" s="29">
        <f>C7+D7</f>
        <v>0</v>
      </c>
      <c r="F7" s="244">
        <v>0.7</v>
      </c>
      <c r="G7" s="30">
        <f>E7/F7</f>
        <v>0</v>
      </c>
      <c r="H7" s="484"/>
    </row>
    <row r="8" spans="1:8">
      <c r="A8" s="4"/>
    </row>
    <row r="9" spans="1:8">
      <c r="A9" s="7" t="s">
        <v>981</v>
      </c>
      <c r="B9" s="28"/>
      <c r="C9" s="67">
        <v>0</v>
      </c>
      <c r="D9" s="67">
        <v>0</v>
      </c>
      <c r="E9" s="29">
        <f>C9+D9</f>
        <v>0</v>
      </c>
      <c r="F9" s="244">
        <v>0.7</v>
      </c>
      <c r="G9" s="30">
        <f>E9/F9</f>
        <v>0</v>
      </c>
    </row>
    <row r="10" spans="1:8">
      <c r="A10" s="4"/>
    </row>
    <row r="11" spans="1:8">
      <c r="A11" s="7" t="s">
        <v>981</v>
      </c>
      <c r="B11" s="28"/>
      <c r="C11" s="67">
        <v>0</v>
      </c>
      <c r="D11" s="67">
        <v>0</v>
      </c>
      <c r="E11" s="29">
        <f>C11+D11</f>
        <v>0</v>
      </c>
      <c r="F11" s="244">
        <v>0.7</v>
      </c>
      <c r="G11" s="30">
        <f>E11/F11</f>
        <v>0</v>
      </c>
    </row>
    <row r="12" spans="1:8">
      <c r="A12" s="4"/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  <row r="77" spans="1:1">
      <c r="A77">
        <v>736.56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124" zoomScaleNormal="100" workbookViewId="0">
      <selection activeCell="B127" sqref="B127:E129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603">
        <v>2025</v>
      </c>
      <c r="C1" s="603"/>
      <c r="D1" s="603"/>
      <c r="E1" s="603"/>
      <c r="F1" s="604" t="s">
        <v>361</v>
      </c>
      <c r="G1" s="604"/>
    </row>
    <row r="2" spans="1:7">
      <c r="A2" s="80"/>
      <c r="B2" s="603"/>
      <c r="C2" s="603"/>
      <c r="D2" s="603"/>
      <c r="E2" s="603"/>
      <c r="F2" s="586" t="s">
        <v>432</v>
      </c>
      <c r="G2" s="586"/>
    </row>
    <row r="3" spans="1:7">
      <c r="A3" s="80"/>
      <c r="B3" s="603"/>
      <c r="C3" s="603"/>
      <c r="D3" s="603"/>
      <c r="E3" s="603"/>
      <c r="F3" s="586"/>
      <c r="G3" s="586"/>
    </row>
    <row r="4" spans="1:7" ht="18.600000000000001" customHeight="1">
      <c r="A4" s="80"/>
      <c r="B4" s="533"/>
      <c r="C4" s="533"/>
      <c r="D4" s="533"/>
      <c r="E4" s="533"/>
      <c r="F4" s="595" t="s">
        <v>1100</v>
      </c>
      <c r="G4" s="595"/>
    </row>
    <row r="5" spans="1:7" ht="18.600000000000001" customHeight="1">
      <c r="A5" s="80"/>
      <c r="B5" s="355"/>
      <c r="C5" s="355"/>
      <c r="D5" s="355"/>
      <c r="E5" s="355"/>
      <c r="F5" s="595" t="s">
        <v>1101</v>
      </c>
      <c r="G5" s="595"/>
    </row>
    <row r="6" spans="1:7" ht="18.600000000000001" customHeight="1">
      <c r="A6" s="80"/>
      <c r="B6" s="534" t="s">
        <v>799</v>
      </c>
      <c r="C6" s="534"/>
      <c r="D6" s="534"/>
      <c r="E6" s="534"/>
      <c r="F6" s="609" t="s">
        <v>1102</v>
      </c>
      <c r="G6" s="610"/>
    </row>
    <row r="7" spans="1:7" ht="14.4" customHeight="1">
      <c r="A7" s="559" t="s">
        <v>719</v>
      </c>
      <c r="B7" s="573" t="str">
        <f>'NEW POOL'!B3</f>
        <v>Ashley Drennen</v>
      </c>
      <c r="C7" s="573"/>
      <c r="D7" s="573"/>
      <c r="E7" s="573"/>
      <c r="F7" s="543">
        <f ca="1">TODAY()</f>
        <v>46000</v>
      </c>
      <c r="G7" s="544"/>
    </row>
    <row r="8" spans="1:7" ht="14.4" customHeight="1">
      <c r="A8" s="560"/>
      <c r="B8" s="573" t="str">
        <f>'NEW POOL'!B4</f>
        <v>Ft mill</v>
      </c>
      <c r="C8" s="573"/>
      <c r="D8" s="573"/>
      <c r="E8" s="573"/>
      <c r="F8" s="545"/>
      <c r="G8" s="546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565" t="s">
        <v>365</v>
      </c>
      <c r="G10" s="566"/>
    </row>
    <row r="11" spans="1:7" ht="22.5" customHeight="1">
      <c r="A11" s="246" t="s">
        <v>720</v>
      </c>
      <c r="B11" s="333">
        <f>'NEW POOL'!E7</f>
        <v>21.5</v>
      </c>
      <c r="C11" s="333">
        <f>'NEW POOL'!E8</f>
        <v>28</v>
      </c>
      <c r="D11" s="333">
        <f>'NEW POOL'!B9</f>
        <v>3.5</v>
      </c>
      <c r="E11" s="171">
        <f>'NEW POOL'!B10</f>
        <v>6</v>
      </c>
      <c r="F11" s="557"/>
      <c r="G11" s="557"/>
    </row>
    <row r="12" spans="1:7" ht="22.5" customHeight="1">
      <c r="A12" s="246" t="s">
        <v>721</v>
      </c>
      <c r="B12" s="172">
        <f>'NEW POOL'!B15</f>
        <v>7</v>
      </c>
      <c r="C12" s="173">
        <f>'NEW POOL'!B14</f>
        <v>7</v>
      </c>
      <c r="D12" s="173">
        <f>IF(B12&gt;0,3,0)</f>
        <v>3</v>
      </c>
      <c r="E12" s="173">
        <v>0</v>
      </c>
      <c r="F12" s="557" t="str">
        <f>IF(C12=0,"No Spa","Split Bench for Customized Therapy")</f>
        <v>Split Bench for Customized Therapy</v>
      </c>
      <c r="G12" s="557"/>
    </row>
    <row r="13" spans="1:7" ht="14.4" customHeight="1">
      <c r="A13" s="540" t="str">
        <f>IF(I43=1,"Shell:","Notes:")</f>
        <v>Notes:</v>
      </c>
      <c r="B13" s="540" t="str">
        <f>IF('NEW POOL'!A21="Fiberglass - Small","",'NEW POOL'!A21)</f>
        <v/>
      </c>
      <c r="C13" s="541"/>
      <c r="D13" s="541"/>
      <c r="E13" s="541"/>
      <c r="F13" s="541"/>
      <c r="G13" s="542"/>
    </row>
    <row r="14" spans="1:7" ht="14.4" customHeight="1">
      <c r="A14" s="550"/>
      <c r="B14" s="540" t="str">
        <f>IF('NEW POOL'!A22="Fiberglass - Medium","",'NEW POOL'!A22)</f>
        <v/>
      </c>
      <c r="C14" s="541"/>
      <c r="D14" s="541"/>
      <c r="E14" s="541"/>
      <c r="F14" s="541"/>
      <c r="G14" s="542"/>
    </row>
    <row r="15" spans="1:7">
      <c r="A15" s="551"/>
      <c r="B15" s="538" t="str">
        <f>IF('NEW POOL'!A23="Fiberglass - Large","",'NEW POOL'!A23)</f>
        <v/>
      </c>
      <c r="C15" s="570"/>
      <c r="D15" s="570"/>
      <c r="E15" s="570"/>
      <c r="F15" s="570"/>
      <c r="G15" s="539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52" t="s">
        <v>367</v>
      </c>
      <c r="B17" s="553"/>
      <c r="C17" s="553"/>
      <c r="D17" s="553"/>
      <c r="E17" s="554"/>
      <c r="F17" s="558" t="s">
        <v>365</v>
      </c>
      <c r="G17" s="558"/>
    </row>
    <row r="18" spans="1:7" ht="33" customHeight="1">
      <c r="A18" s="547" t="s">
        <v>368</v>
      </c>
      <c r="B18" s="548"/>
      <c r="C18" s="548"/>
      <c r="D18" s="548"/>
      <c r="E18" s="549"/>
      <c r="F18" s="557"/>
      <c r="G18" s="557"/>
    </row>
    <row r="19" spans="1:7" ht="15.6" customHeight="1">
      <c r="A19" s="547" t="s">
        <v>369</v>
      </c>
      <c r="B19" s="555"/>
      <c r="C19" s="555"/>
      <c r="D19" s="555"/>
      <c r="E19" s="556"/>
      <c r="F19" s="557" t="s">
        <v>370</v>
      </c>
      <c r="G19" s="557"/>
    </row>
    <row r="20" spans="1:7" ht="15.6" customHeight="1">
      <c r="A20" s="563" t="s">
        <v>366</v>
      </c>
      <c r="B20" s="540"/>
      <c r="C20" s="541"/>
      <c r="D20" s="541"/>
      <c r="E20" s="541"/>
      <c r="F20" s="541"/>
      <c r="G20" s="542"/>
    </row>
    <row r="21" spans="1:7" ht="15.6" customHeight="1">
      <c r="A21" s="564"/>
      <c r="B21" s="567"/>
      <c r="C21" s="568"/>
      <c r="D21" s="568"/>
      <c r="E21" s="568"/>
      <c r="F21" s="568"/>
      <c r="G21" s="569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52" t="s">
        <v>371</v>
      </c>
      <c r="B23" s="553"/>
      <c r="C23" s="553"/>
      <c r="D23" s="553"/>
      <c r="E23" s="554"/>
      <c r="F23" s="558" t="s">
        <v>365</v>
      </c>
      <c r="G23" s="558"/>
    </row>
    <row r="24" spans="1:7" ht="15.6" customHeight="1">
      <c r="A24" s="547" t="s">
        <v>372</v>
      </c>
      <c r="B24" s="548"/>
      <c r="C24" s="548"/>
      <c r="D24" s="548"/>
      <c r="E24" s="549"/>
      <c r="F24" s="557" t="s">
        <v>439</v>
      </c>
      <c r="G24" s="557"/>
    </row>
    <row r="25" spans="1:7" ht="15.6" customHeight="1">
      <c r="A25" s="547" t="s">
        <v>373</v>
      </c>
      <c r="B25" s="548"/>
      <c r="C25" s="548"/>
      <c r="D25" s="548"/>
      <c r="E25" s="549"/>
      <c r="F25" s="557" t="s">
        <v>374</v>
      </c>
      <c r="G25" s="557"/>
    </row>
    <row r="26" spans="1:7" ht="15.6" customHeight="1">
      <c r="A26" s="547" t="s">
        <v>375</v>
      </c>
      <c r="B26" s="548"/>
      <c r="C26" s="548"/>
      <c r="D26" s="548"/>
      <c r="E26" s="549"/>
      <c r="F26" s="557"/>
      <c r="G26" s="557"/>
    </row>
    <row r="27" spans="1:7" ht="15.6" customHeight="1">
      <c r="A27" s="547" t="s">
        <v>376</v>
      </c>
      <c r="B27" s="548"/>
      <c r="C27" s="548"/>
      <c r="D27" s="548"/>
      <c r="E27" s="549"/>
      <c r="F27" s="557"/>
      <c r="G27" s="557"/>
    </row>
    <row r="28" spans="1:7" ht="15.6" customHeight="1">
      <c r="A28" s="547" t="s">
        <v>377</v>
      </c>
      <c r="B28" s="548"/>
      <c r="C28" s="548"/>
      <c r="D28" s="548"/>
      <c r="E28" s="549"/>
      <c r="F28" s="557"/>
      <c r="G28" s="557"/>
    </row>
    <row r="29" spans="1:7" ht="15.6" customHeight="1">
      <c r="A29" s="547" t="s">
        <v>378</v>
      </c>
      <c r="B29" s="548"/>
      <c r="C29" s="548"/>
      <c r="D29" s="548"/>
      <c r="E29" s="549"/>
      <c r="F29" s="557"/>
      <c r="G29" s="557"/>
    </row>
    <row r="30" spans="1:7" ht="15.6" customHeight="1">
      <c r="A30" s="547" t="s">
        <v>379</v>
      </c>
      <c r="B30" s="548"/>
      <c r="C30" s="548"/>
      <c r="D30" s="548"/>
      <c r="E30" s="549"/>
      <c r="F30" s="557"/>
      <c r="G30" s="557"/>
    </row>
    <row r="31" spans="1:7" ht="15.6" customHeight="1">
      <c r="A31" s="547" t="s">
        <v>380</v>
      </c>
      <c r="B31" s="548"/>
      <c r="C31" s="548"/>
      <c r="D31" s="548"/>
      <c r="E31" s="549"/>
      <c r="F31" s="557"/>
      <c r="G31" s="557"/>
    </row>
    <row r="32" spans="1:7" ht="15.6" customHeight="1">
      <c r="A32" s="547" t="s">
        <v>381</v>
      </c>
      <c r="B32" s="555"/>
      <c r="C32" s="555"/>
      <c r="D32" s="555"/>
      <c r="E32" s="556"/>
      <c r="F32" s="557"/>
      <c r="G32" s="557"/>
    </row>
    <row r="33" spans="1:9" ht="15.6" customHeight="1">
      <c r="A33" s="563" t="s">
        <v>366</v>
      </c>
      <c r="B33" s="540"/>
      <c r="C33" s="541"/>
      <c r="D33" s="541"/>
      <c r="E33" s="541"/>
      <c r="F33" s="541"/>
      <c r="G33" s="542"/>
    </row>
    <row r="34" spans="1:9" ht="15.6" customHeight="1">
      <c r="A34" s="564"/>
      <c r="B34" s="567"/>
      <c r="C34" s="568"/>
      <c r="D34" s="568"/>
      <c r="E34" s="568"/>
      <c r="F34" s="568"/>
      <c r="G34" s="569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52" t="s">
        <v>382</v>
      </c>
      <c r="B36" s="553"/>
      <c r="C36" s="553"/>
      <c r="D36" s="553"/>
      <c r="E36" s="554"/>
      <c r="F36" s="558" t="s">
        <v>365</v>
      </c>
      <c r="G36" s="558"/>
    </row>
    <row r="37" spans="1:9" ht="21" customHeight="1">
      <c r="A37" s="547" t="s">
        <v>383</v>
      </c>
      <c r="B37" s="548"/>
      <c r="C37" s="548"/>
      <c r="D37" s="548"/>
      <c r="E37" s="549"/>
      <c r="F37" s="557" t="s">
        <v>384</v>
      </c>
      <c r="G37" s="557"/>
    </row>
    <row r="38" spans="1:9" ht="21" customHeight="1">
      <c r="A38" s="547" t="s">
        <v>385</v>
      </c>
      <c r="B38" s="548"/>
      <c r="C38" s="548"/>
      <c r="D38" s="548"/>
      <c r="E38" s="549"/>
      <c r="F38" s="557" t="s">
        <v>386</v>
      </c>
      <c r="G38" s="557"/>
    </row>
    <row r="39" spans="1:9" ht="15.6" customHeight="1">
      <c r="A39" s="547"/>
      <c r="B39" s="555"/>
      <c r="C39" s="555"/>
      <c r="D39" s="555"/>
      <c r="E39" s="556"/>
      <c r="F39" s="557"/>
      <c r="G39" s="557"/>
    </row>
    <row r="40" spans="1:9" ht="15.6" customHeight="1">
      <c r="A40" s="563" t="s">
        <v>366</v>
      </c>
      <c r="B40" s="557"/>
      <c r="C40" s="557"/>
      <c r="D40" s="557"/>
      <c r="E40" s="557"/>
      <c r="F40" s="557"/>
      <c r="G40" s="557"/>
    </row>
    <row r="41" spans="1:9" ht="15.6" customHeight="1">
      <c r="A41" s="564"/>
      <c r="B41" s="578"/>
      <c r="C41" s="578"/>
      <c r="D41" s="578"/>
      <c r="E41" s="578"/>
      <c r="F41" s="578"/>
      <c r="G41" s="578"/>
    </row>
    <row r="42" spans="1:9" ht="15.6" customHeight="1"/>
    <row r="43" spans="1:9" ht="15.6" customHeight="1">
      <c r="A43" s="552" t="s">
        <v>387</v>
      </c>
      <c r="B43" s="553"/>
      <c r="C43" s="553"/>
      <c r="D43" s="553"/>
      <c r="E43" s="554"/>
      <c r="F43" s="576" t="s">
        <v>365</v>
      </c>
      <c r="G43" s="577"/>
      <c r="I43" s="286">
        <f>I76</f>
        <v>0</v>
      </c>
    </row>
    <row r="44" spans="1:9" ht="52.5" customHeight="1">
      <c r="A44" s="547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48"/>
      <c r="C44" s="548"/>
      <c r="D44" s="548"/>
      <c r="E44" s="549"/>
      <c r="F44" s="538" t="str">
        <f>IF(I43=1,"","Our bond beam and wall steel schedules are beyond code for protection against expansive soils")</f>
        <v>Our bond beam and wall steel schedules are beyond code for protection against expansive soils</v>
      </c>
      <c r="G44" s="539"/>
    </row>
    <row r="45" spans="1:9" ht="15.6" customHeight="1">
      <c r="A45" s="547" t="str">
        <f>IF(I43=1,"","10 inch on center in transition slope by 20 feet length")</f>
        <v>10 inch on center in transition slope by 20 feet length</v>
      </c>
      <c r="B45" s="548"/>
      <c r="C45" s="548"/>
      <c r="D45" s="548"/>
      <c r="E45" s="549"/>
      <c r="F45" s="538" t="str">
        <f>IF(I43=1,"","Strongest steel schedule in the industry!")</f>
        <v>Strongest steel schedule in the industry!</v>
      </c>
      <c r="G45" s="539"/>
    </row>
    <row r="46" spans="1:9" ht="15.6" customHeight="1">
      <c r="A46" s="547" t="s">
        <v>1099</v>
      </c>
      <c r="B46" s="548"/>
      <c r="C46" s="548"/>
      <c r="D46" s="548"/>
      <c r="E46" s="549"/>
      <c r="F46" s="538"/>
      <c r="G46" s="539"/>
    </row>
    <row r="47" spans="1:9" ht="15.6" customHeight="1">
      <c r="A47" s="547"/>
      <c r="B47" s="555"/>
      <c r="C47" s="555"/>
      <c r="D47" s="555"/>
      <c r="E47" s="556"/>
      <c r="F47" s="538"/>
      <c r="G47" s="539"/>
    </row>
    <row r="48" spans="1:9" ht="15.6" customHeight="1">
      <c r="A48" s="540" t="s">
        <v>366</v>
      </c>
      <c r="B48" s="540"/>
      <c r="C48" s="541"/>
      <c r="D48" s="541"/>
      <c r="E48" s="541"/>
      <c r="F48" s="541"/>
      <c r="G48" s="542"/>
    </row>
    <row r="49" spans="1:7" ht="15.6" customHeight="1">
      <c r="A49" s="551"/>
      <c r="B49" s="551"/>
      <c r="C49" s="605"/>
      <c r="D49" s="605"/>
      <c r="E49" s="605"/>
      <c r="F49" s="605"/>
      <c r="G49" s="606"/>
    </row>
    <row r="50" spans="1:7" ht="15.6" customHeight="1"/>
    <row r="51" spans="1:7" ht="15.6" customHeight="1">
      <c r="A51" s="552" t="s">
        <v>388</v>
      </c>
      <c r="B51" s="553"/>
      <c r="C51" s="553"/>
      <c r="D51" s="553"/>
      <c r="E51" s="554"/>
      <c r="F51" s="558" t="s">
        <v>365</v>
      </c>
      <c r="G51" s="558"/>
    </row>
    <row r="52" spans="1:7" ht="15.6" customHeight="1">
      <c r="A52" s="547" t="s">
        <v>389</v>
      </c>
      <c r="B52" s="548"/>
      <c r="C52" s="548"/>
      <c r="D52" s="548"/>
      <c r="E52" s="549"/>
      <c r="F52" s="557" t="s">
        <v>390</v>
      </c>
      <c r="G52" s="557"/>
    </row>
    <row r="53" spans="1:7" ht="15.6" customHeight="1">
      <c r="A53" s="547" t="s">
        <v>391</v>
      </c>
      <c r="B53" s="548"/>
      <c r="C53" s="548"/>
      <c r="D53" s="548"/>
      <c r="E53" s="549"/>
      <c r="F53" s="557" t="s">
        <v>392</v>
      </c>
      <c r="G53" s="557"/>
    </row>
    <row r="54" spans="1:7" ht="15.6" customHeight="1">
      <c r="A54" s="547" t="s">
        <v>393</v>
      </c>
      <c r="B54" s="548"/>
      <c r="C54" s="548"/>
      <c r="D54" s="548"/>
      <c r="E54" s="549"/>
      <c r="F54" s="557" t="s">
        <v>394</v>
      </c>
      <c r="G54" s="557"/>
    </row>
    <row r="55" spans="1:7" ht="47.25" customHeight="1">
      <c r="A55" s="547" t="s">
        <v>395</v>
      </c>
      <c r="B55" s="548"/>
      <c r="C55" s="548"/>
      <c r="D55" s="548"/>
      <c r="E55" s="549"/>
      <c r="F55" s="557"/>
      <c r="G55" s="557"/>
    </row>
    <row r="56" spans="1:7" ht="15.6" customHeight="1">
      <c r="A56" s="547" t="s">
        <v>434</v>
      </c>
      <c r="B56" s="548"/>
      <c r="C56" s="548"/>
      <c r="D56" s="548"/>
      <c r="E56" s="549"/>
      <c r="F56" s="557"/>
      <c r="G56" s="557"/>
    </row>
    <row r="57" spans="1:7" ht="15.6" customHeight="1">
      <c r="A57" s="547" t="s">
        <v>396</v>
      </c>
      <c r="B57" s="548"/>
      <c r="C57" s="548"/>
      <c r="D57" s="548"/>
      <c r="E57" s="549"/>
      <c r="F57" s="557"/>
      <c r="G57" s="557"/>
    </row>
    <row r="58" spans="1:7" ht="15.6" customHeight="1">
      <c r="A58" s="547" t="s">
        <v>397</v>
      </c>
      <c r="B58" s="548"/>
      <c r="C58" s="548"/>
      <c r="D58" s="548"/>
      <c r="E58" s="549"/>
      <c r="F58" s="557"/>
      <c r="G58" s="557"/>
    </row>
    <row r="59" spans="1:7" ht="15.6" customHeight="1">
      <c r="A59" s="547"/>
      <c r="B59" s="548"/>
      <c r="C59" s="548"/>
      <c r="D59" s="548"/>
      <c r="E59" s="549"/>
      <c r="F59" s="557"/>
      <c r="G59" s="557"/>
    </row>
    <row r="60" spans="1:7" ht="15.6" customHeight="1">
      <c r="A60" s="547" t="s">
        <v>398</v>
      </c>
      <c r="B60" s="548"/>
      <c r="C60" s="548"/>
      <c r="D60" s="548"/>
      <c r="E60" s="549"/>
      <c r="F60" s="557"/>
      <c r="G60" s="557"/>
    </row>
    <row r="61" spans="1:7" ht="28.5" customHeight="1">
      <c r="A61" s="579" t="s">
        <v>399</v>
      </c>
      <c r="B61" s="580"/>
      <c r="C61" s="580"/>
      <c r="D61" s="580"/>
      <c r="E61" s="581"/>
      <c r="F61" s="557"/>
      <c r="G61" s="557"/>
    </row>
    <row r="62" spans="1:7" ht="15.6" customHeight="1">
      <c r="A62" s="607"/>
      <c r="B62" s="607"/>
      <c r="C62" s="607"/>
      <c r="D62" s="607"/>
      <c r="E62" s="608"/>
      <c r="F62" s="557"/>
      <c r="G62" s="557"/>
    </row>
    <row r="63" spans="1:7" ht="15.6" customHeight="1">
      <c r="A63" s="563" t="s">
        <v>366</v>
      </c>
      <c r="B63" s="557"/>
      <c r="C63" s="557"/>
      <c r="D63" s="557"/>
      <c r="E63" s="557"/>
      <c r="F63" s="557"/>
      <c r="G63" s="557"/>
    </row>
    <row r="64" spans="1:7" ht="15.6" customHeight="1">
      <c r="A64" s="564"/>
      <c r="B64" s="578"/>
      <c r="C64" s="578"/>
      <c r="D64" s="578"/>
      <c r="E64" s="578"/>
      <c r="F64" s="578"/>
      <c r="G64" s="578"/>
    </row>
    <row r="65" spans="1:9" ht="15.6" customHeight="1"/>
    <row r="66" spans="1:9" ht="15.6" customHeight="1">
      <c r="A66" s="552" t="s">
        <v>400</v>
      </c>
      <c r="B66" s="553"/>
      <c r="C66" s="553"/>
      <c r="D66" s="553"/>
      <c r="E66" s="554"/>
      <c r="F66" s="558" t="s">
        <v>365</v>
      </c>
      <c r="G66" s="558"/>
    </row>
    <row r="67" spans="1:9" ht="15.6" customHeight="1">
      <c r="A67" s="547" t="s">
        <v>401</v>
      </c>
      <c r="B67" s="548"/>
      <c r="C67" s="548"/>
      <c r="D67" s="548"/>
      <c r="E67" s="549"/>
      <c r="F67" s="557" t="s">
        <v>402</v>
      </c>
      <c r="G67" s="557"/>
    </row>
    <row r="68" spans="1:9" ht="15.6" customHeight="1">
      <c r="A68" s="547" t="s">
        <v>403</v>
      </c>
      <c r="B68" s="548"/>
      <c r="C68" s="548"/>
      <c r="D68" s="548"/>
      <c r="E68" s="549"/>
      <c r="F68" s="557"/>
      <c r="G68" s="557"/>
    </row>
    <row r="69" spans="1:9" ht="15.6" customHeight="1">
      <c r="A69" s="547" t="s">
        <v>404</v>
      </c>
      <c r="B69" s="548"/>
      <c r="C69" s="548"/>
      <c r="D69" s="548"/>
      <c r="E69" s="549"/>
      <c r="F69" s="557"/>
      <c r="G69" s="557"/>
    </row>
    <row r="70" spans="1:9" ht="15.6" customHeight="1">
      <c r="A70" s="547" t="s">
        <v>964</v>
      </c>
      <c r="B70" s="548"/>
      <c r="C70" s="548"/>
      <c r="D70" s="548"/>
      <c r="E70" s="549"/>
      <c r="F70" s="557" t="s">
        <v>965</v>
      </c>
      <c r="G70" s="557"/>
    </row>
    <row r="71" spans="1:9" ht="15.6" customHeight="1">
      <c r="A71" s="547" t="s">
        <v>405</v>
      </c>
      <c r="B71" s="548"/>
      <c r="C71" s="548"/>
      <c r="D71" s="548"/>
      <c r="E71" s="549"/>
      <c r="F71" s="557"/>
      <c r="G71" s="557"/>
    </row>
    <row r="72" spans="1:9" ht="15.6" customHeight="1">
      <c r="A72" s="547" t="s">
        <v>406</v>
      </c>
      <c r="B72" s="555"/>
      <c r="C72" s="555"/>
      <c r="D72" s="555"/>
      <c r="E72" s="556"/>
      <c r="F72" s="557"/>
      <c r="G72" s="557"/>
    </row>
    <row r="73" spans="1:9" ht="15.6" customHeight="1">
      <c r="A73" s="563" t="s">
        <v>366</v>
      </c>
      <c r="B73" s="540"/>
      <c r="C73" s="541"/>
      <c r="D73" s="541"/>
      <c r="E73" s="541"/>
      <c r="F73" s="541"/>
      <c r="G73" s="542"/>
    </row>
    <row r="74" spans="1:9" ht="15.6" customHeight="1">
      <c r="A74" s="564"/>
      <c r="B74" s="567"/>
      <c r="C74" s="568"/>
      <c r="D74" s="568"/>
      <c r="E74" s="568"/>
      <c r="F74" s="568"/>
      <c r="G74" s="569"/>
    </row>
    <row r="75" spans="1:9" ht="15.6" customHeight="1"/>
    <row r="76" spans="1:9" ht="15.6" customHeight="1">
      <c r="A76" s="552" t="s">
        <v>407</v>
      </c>
      <c r="B76" s="553"/>
      <c r="C76" s="553"/>
      <c r="D76" s="553"/>
      <c r="E76" s="554"/>
      <c r="F76" s="558" t="s">
        <v>365</v>
      </c>
      <c r="G76" s="558"/>
      <c r="I76" s="286">
        <f>J142</f>
        <v>0</v>
      </c>
    </row>
    <row r="77" spans="1:9" ht="15.6" customHeight="1">
      <c r="A77" s="547" t="str">
        <f>IF(J142=1,"No Shotcrete - Fiberglass Shell","4,000 PSI pneumatically applied shotcrete")</f>
        <v>4,000 PSI pneumatically applied shotcrete</v>
      </c>
      <c r="B77" s="548"/>
      <c r="C77" s="548"/>
      <c r="D77" s="548"/>
      <c r="E77" s="549"/>
      <c r="F77" s="557" t="str">
        <f>IF(I76=1,"","Lifetime structural warranty")</f>
        <v>Lifetime structural warranty</v>
      </c>
      <c r="G77" s="557"/>
    </row>
    <row r="78" spans="1:9" ht="47.25" customHeight="1">
      <c r="A78" s="547"/>
      <c r="B78" s="548"/>
      <c r="C78" s="548"/>
      <c r="D78" s="548"/>
      <c r="E78" s="549"/>
      <c r="F78" s="557"/>
      <c r="G78" s="557"/>
    </row>
    <row r="79" spans="1:9" ht="15.6" customHeight="1">
      <c r="A79" s="547" t="str">
        <f>IF(I76=1,"","All shotcrete is measured by a certified weighmaster")</f>
        <v>All shotcrete is measured by a certified weighmaster</v>
      </c>
      <c r="B79" s="548"/>
      <c r="C79" s="548"/>
      <c r="D79" s="548"/>
      <c r="E79" s="549"/>
      <c r="F79" s="538"/>
      <c r="G79" s="539"/>
    </row>
    <row r="80" spans="1:9" ht="15.6" customHeight="1">
      <c r="A80" s="547" t="str">
        <f>IF(I76=1,"","All nozzlemen are certified for State and Municipal work")</f>
        <v>All nozzlemen are certified for State and Municipal work</v>
      </c>
      <c r="B80" s="548"/>
      <c r="C80" s="548"/>
      <c r="D80" s="548"/>
      <c r="E80" s="549"/>
      <c r="F80" s="538"/>
      <c r="G80" s="539"/>
    </row>
    <row r="81" spans="1:9" ht="15.6" customHeight="1">
      <c r="A81" s="547" t="str">
        <f>IF(I76=1,"","Lifetime structural warranty")</f>
        <v>Lifetime structural warranty</v>
      </c>
      <c r="B81" s="548"/>
      <c r="C81" s="548"/>
      <c r="D81" s="548"/>
      <c r="E81" s="549"/>
      <c r="F81" s="557"/>
      <c r="G81" s="557"/>
    </row>
    <row r="82" spans="1:9" ht="15.6" customHeight="1">
      <c r="A82" s="563" t="s">
        <v>366</v>
      </c>
      <c r="B82" s="540"/>
      <c r="C82" s="541"/>
      <c r="D82" s="541"/>
      <c r="E82" s="541"/>
      <c r="F82" s="541"/>
      <c r="G82" s="542"/>
    </row>
    <row r="83" spans="1:9" ht="15.6" customHeight="1">
      <c r="A83" s="564"/>
      <c r="B83" s="567"/>
      <c r="C83" s="568"/>
      <c r="D83" s="568"/>
      <c r="E83" s="568"/>
      <c r="F83" s="568"/>
      <c r="G83" s="569"/>
    </row>
    <row r="84" spans="1:9" ht="15.6" customHeight="1"/>
    <row r="85" spans="1:9" ht="15.6" customHeight="1">
      <c r="A85" s="552" t="s">
        <v>408</v>
      </c>
      <c r="B85" s="553"/>
      <c r="C85" s="553"/>
      <c r="D85" s="553"/>
      <c r="E85" s="554"/>
      <c r="F85" s="558" t="s">
        <v>365</v>
      </c>
      <c r="G85" s="558"/>
      <c r="I85" s="286">
        <f>I76</f>
        <v>0</v>
      </c>
    </row>
    <row r="86" spans="1:9" ht="27" customHeight="1">
      <c r="A86" s="547" t="str">
        <f>IF(I85=1,"Fiberglass Shell - No Tile","All pool &amp; spa waterline tile including - skimmer throat")</f>
        <v>All pool &amp; spa waterline tile including - skimmer throat</v>
      </c>
      <c r="B86" s="548"/>
      <c r="C86" s="548"/>
      <c r="D86" s="548"/>
      <c r="E86" s="549"/>
      <c r="F86" s="557" t="str">
        <f>IF(I85=1,"","Frost-proof tiles in a variety of patterns and colors")</f>
        <v>Frost-proof tiles in a variety of patterns and colors</v>
      </c>
      <c r="G86" s="557"/>
    </row>
    <row r="87" spans="1:9" ht="15.6" customHeight="1">
      <c r="A87" s="547" t="str">
        <f>IF(I85=1,"","Trim tile available on steps and benches")</f>
        <v>Trim tile available on steps and benches</v>
      </c>
      <c r="B87" s="555"/>
      <c r="C87" s="555"/>
      <c r="D87" s="555"/>
      <c r="E87" s="556"/>
      <c r="F87" s="557" t="s">
        <v>966</v>
      </c>
      <c r="G87" s="557"/>
    </row>
    <row r="88" spans="1:9" ht="15.6" customHeight="1">
      <c r="A88" s="563" t="s">
        <v>366</v>
      </c>
      <c r="B88" s="540"/>
      <c r="C88" s="541"/>
      <c r="D88" s="541"/>
      <c r="E88" s="541"/>
      <c r="F88" s="541"/>
      <c r="G88" s="542"/>
    </row>
    <row r="89" spans="1:9" ht="15.6" customHeight="1">
      <c r="A89" s="564"/>
      <c r="B89" s="567"/>
      <c r="C89" s="568"/>
      <c r="D89" s="568"/>
      <c r="E89" s="568"/>
      <c r="F89" s="568"/>
      <c r="G89" s="569"/>
    </row>
    <row r="90" spans="1:9" ht="15.6" customHeight="1"/>
    <row r="91" spans="1:9" ht="15.6" customHeight="1">
      <c r="A91" s="552" t="s">
        <v>409</v>
      </c>
      <c r="B91" s="553"/>
      <c r="C91" s="553"/>
      <c r="D91" s="553"/>
      <c r="E91" s="554"/>
      <c r="F91" s="558" t="s">
        <v>365</v>
      </c>
      <c r="G91" s="558"/>
    </row>
    <row r="92" spans="1:9" ht="15.6" customHeight="1">
      <c r="A92" s="547"/>
      <c r="B92" s="548"/>
      <c r="C92" s="548"/>
      <c r="D92" s="548"/>
      <c r="E92" s="549"/>
      <c r="F92" s="557"/>
      <c r="G92" s="557"/>
    </row>
    <row r="93" spans="1:9" ht="15.6" customHeight="1">
      <c r="A93" s="547"/>
      <c r="B93" s="555"/>
      <c r="C93" s="555"/>
      <c r="D93" s="555"/>
      <c r="E93" s="556"/>
      <c r="F93" s="557"/>
      <c r="G93" s="557"/>
    </row>
    <row r="94" spans="1:9" ht="15.6" customHeight="1">
      <c r="A94" s="563" t="s">
        <v>366</v>
      </c>
      <c r="B94" s="540"/>
      <c r="C94" s="541"/>
      <c r="D94" s="541"/>
      <c r="E94" s="541"/>
      <c r="F94" s="541"/>
      <c r="G94" s="542"/>
    </row>
    <row r="95" spans="1:9" ht="15.6" customHeight="1">
      <c r="A95" s="564"/>
      <c r="B95" s="567"/>
      <c r="C95" s="568"/>
      <c r="D95" s="568"/>
      <c r="E95" s="568"/>
      <c r="F95" s="568"/>
      <c r="G95" s="569"/>
    </row>
    <row r="96" spans="1:9" ht="15.6" customHeight="1"/>
    <row r="97" spans="1:7" ht="15.6" customHeight="1">
      <c r="A97" s="552" t="s">
        <v>410</v>
      </c>
      <c r="B97" s="553"/>
      <c r="C97" s="553"/>
      <c r="D97" s="553"/>
      <c r="E97" s="554"/>
      <c r="F97" s="558" t="s">
        <v>365</v>
      </c>
      <c r="G97" s="558"/>
    </row>
    <row r="98" spans="1:7" ht="23.25" customHeight="1">
      <c r="A98" s="547" t="str">
        <f>'NEW POOL'!A113</f>
        <v>Jandy 2.7HP Variable Pump</v>
      </c>
      <c r="B98" s="548"/>
      <c r="C98" s="548"/>
      <c r="D98" s="548"/>
      <c r="E98" s="549"/>
      <c r="F98" s="557" t="s">
        <v>411</v>
      </c>
      <c r="G98" s="557"/>
    </row>
    <row r="99" spans="1:7" ht="15.6" customHeight="1">
      <c r="A99" s="535" t="str">
        <f>'NEW POOL'!A114</f>
        <v>No Auxiliary Pump</v>
      </c>
      <c r="B99" s="536"/>
      <c r="C99" s="536"/>
      <c r="D99" s="536"/>
      <c r="E99" s="537"/>
      <c r="F99" s="557"/>
      <c r="G99" s="557"/>
    </row>
    <row r="100" spans="1:7" ht="15.6" customHeight="1">
      <c r="A100" s="547" t="str">
        <f>'NEW POOL'!A117</f>
        <v>460 SQFT Cartridge Filter</v>
      </c>
      <c r="B100" s="548"/>
      <c r="C100" s="548"/>
      <c r="D100" s="548"/>
      <c r="E100" s="549"/>
      <c r="F100" s="557"/>
      <c r="G100" s="557"/>
    </row>
    <row r="101" spans="1:7" ht="15.6" customHeight="1">
      <c r="A101" s="535" t="str">
        <f>'NEW POOL'!A127</f>
        <v>Salt/mineral System - Fusion Soft</v>
      </c>
      <c r="B101" s="536"/>
      <c r="C101" s="536"/>
      <c r="D101" s="536"/>
      <c r="E101" s="537"/>
      <c r="F101" s="538"/>
      <c r="G101" s="539"/>
    </row>
    <row r="102" spans="1:7" ht="15.6" customHeight="1">
      <c r="A102" s="535" t="str">
        <f>'NEW POOL'!A128</f>
        <v>No Sanitation</v>
      </c>
      <c r="B102" s="536"/>
      <c r="C102" s="536"/>
      <c r="D102" s="536"/>
      <c r="E102" s="537"/>
      <c r="F102" s="538"/>
      <c r="G102" s="539"/>
    </row>
    <row r="103" spans="1:7" ht="15.6" customHeight="1">
      <c r="A103" s="535" t="str">
        <f>'NEW POOL'!A129</f>
        <v>No Sanitation</v>
      </c>
      <c r="B103" s="536"/>
      <c r="C103" s="536"/>
      <c r="D103" s="536"/>
      <c r="E103" s="537"/>
      <c r="F103" s="557"/>
      <c r="G103" s="557"/>
    </row>
    <row r="104" spans="1:7" ht="15.6" customHeight="1">
      <c r="A104" s="547" t="str">
        <f>'NEW POOL'!A121</f>
        <v>Jandy 400K BTU - VersaFlo</v>
      </c>
      <c r="B104" s="548"/>
      <c r="C104" s="548"/>
      <c r="D104" s="548"/>
      <c r="E104" s="549"/>
      <c r="F104" s="557"/>
      <c r="G104" s="557"/>
    </row>
    <row r="105" spans="1:7" ht="15.6" customHeight="1">
      <c r="A105" s="547" t="str">
        <f>'NEW POOL'!A119</f>
        <v>Polaris Alpha IQ</v>
      </c>
      <c r="B105" s="548"/>
      <c r="C105" s="548"/>
      <c r="D105" s="548"/>
      <c r="E105" s="549"/>
      <c r="F105" s="557"/>
      <c r="G105" s="557"/>
    </row>
    <row r="106" spans="1:7" ht="15.6" customHeight="1">
      <c r="A106" s="547" t="str">
        <f>'NEW POOL'!A131</f>
        <v>iAqualink Only PS-4 (H.O. To Provide WiFi) Only use with Infinite Light System</v>
      </c>
      <c r="B106" s="555"/>
      <c r="C106" s="555"/>
      <c r="D106" s="555"/>
      <c r="E106" s="556"/>
      <c r="F106" s="557"/>
      <c r="G106" s="557"/>
    </row>
    <row r="107" spans="1:7" ht="36" customHeight="1">
      <c r="A107" s="563" t="s">
        <v>366</v>
      </c>
      <c r="B107" s="540" t="s">
        <v>967</v>
      </c>
      <c r="C107" s="541"/>
      <c r="D107" s="541"/>
      <c r="E107" s="541"/>
      <c r="F107" s="541"/>
      <c r="G107" s="542"/>
    </row>
    <row r="108" spans="1:7" ht="15.6" customHeight="1">
      <c r="A108" s="564"/>
      <c r="B108" s="567"/>
      <c r="C108" s="568"/>
      <c r="D108" s="568"/>
      <c r="E108" s="568"/>
      <c r="F108" s="568"/>
      <c r="G108" s="569"/>
    </row>
    <row r="109" spans="1:7" ht="15.6" customHeight="1"/>
    <row r="110" spans="1:7" ht="15.6" customHeight="1">
      <c r="A110" s="552" t="s">
        <v>412</v>
      </c>
      <c r="B110" s="553"/>
      <c r="C110" s="553"/>
      <c r="D110" s="553"/>
      <c r="E110" s="554"/>
      <c r="F110" s="558" t="s">
        <v>365</v>
      </c>
      <c r="G110" s="558"/>
    </row>
    <row r="111" spans="1:7" ht="15.6" customHeight="1">
      <c r="A111" s="547" t="s">
        <v>413</v>
      </c>
      <c r="B111" s="548"/>
      <c r="C111" s="548"/>
      <c r="D111" s="548"/>
      <c r="E111" s="549"/>
      <c r="F111" s="538"/>
      <c r="G111" s="539"/>
    </row>
    <row r="112" spans="1:7" ht="15.6" customHeight="1">
      <c r="A112" s="547" t="s">
        <v>414</v>
      </c>
      <c r="B112" s="548"/>
      <c r="C112" s="548"/>
      <c r="D112" s="548"/>
      <c r="E112" s="549"/>
      <c r="F112" s="538"/>
      <c r="G112" s="539"/>
    </row>
    <row r="113" spans="1:7" ht="15.6" customHeight="1">
      <c r="A113" s="547"/>
      <c r="B113" s="548"/>
      <c r="C113" s="548"/>
      <c r="D113" s="548"/>
      <c r="E113" s="549"/>
      <c r="F113" s="538"/>
      <c r="G113" s="539"/>
    </row>
    <row r="114" spans="1:7" ht="15.6" customHeight="1">
      <c r="A114" s="547" t="str">
        <f>IF(J142=1,"",'NEW POOL'!A175)</f>
        <v>Pebble Sheen  - Level 1</v>
      </c>
      <c r="B114" s="548"/>
      <c r="C114" s="548"/>
      <c r="D114" s="548"/>
      <c r="E114" s="549"/>
      <c r="F114" s="538" t="str">
        <f>IF(A114="","","Combines durablity and functionality")</f>
        <v>Combines durablity and functionality</v>
      </c>
      <c r="G114" s="539"/>
    </row>
    <row r="115" spans="1:7" ht="15.6" customHeight="1">
      <c r="A115" s="547" t="s">
        <v>415</v>
      </c>
      <c r="B115" s="548"/>
      <c r="C115" s="548"/>
      <c r="D115" s="548"/>
      <c r="E115" s="549"/>
      <c r="F115" s="538"/>
      <c r="G115" s="539"/>
    </row>
    <row r="116" spans="1:7" ht="15.6" customHeight="1">
      <c r="A116" s="547" t="str">
        <f>IF('NEW POOL'!B47=1, "Dirt haul off included", "Dirt to remain at property")</f>
        <v>Dirt haul off included</v>
      </c>
      <c r="B116" s="548"/>
      <c r="C116" s="548"/>
      <c r="D116" s="548"/>
      <c r="E116" s="549"/>
      <c r="F116" s="538"/>
      <c r="G116" s="539"/>
    </row>
    <row r="117" spans="1:7" ht="15.6" customHeight="1">
      <c r="A117" s="547" t="s">
        <v>1133</v>
      </c>
      <c r="B117" s="548"/>
      <c r="C117" s="548"/>
      <c r="D117" s="548"/>
      <c r="E117" s="549"/>
      <c r="F117" s="538" t="s">
        <v>1134</v>
      </c>
      <c r="G117" s="539"/>
    </row>
    <row r="118" spans="1:7" ht="15.6" customHeight="1">
      <c r="A118" s="563" t="s">
        <v>366</v>
      </c>
      <c r="B118" s="540"/>
      <c r="C118" s="541"/>
      <c r="D118" s="541"/>
      <c r="E118" s="541"/>
      <c r="F118" s="541"/>
      <c r="G118" s="542"/>
    </row>
    <row r="119" spans="1:7" ht="15.6" customHeight="1">
      <c r="A119" s="564"/>
      <c r="B119" s="567"/>
      <c r="C119" s="568"/>
      <c r="D119" s="568"/>
      <c r="E119" s="568"/>
      <c r="F119" s="568"/>
      <c r="G119" s="569"/>
    </row>
    <row r="120" spans="1:7" ht="15.6" customHeight="1"/>
    <row r="121" spans="1:7" ht="15.6" customHeight="1">
      <c r="A121" s="552" t="s">
        <v>416</v>
      </c>
      <c r="B121" s="553"/>
      <c r="C121" s="553"/>
      <c r="D121" s="553"/>
      <c r="E121" s="554"/>
      <c r="F121" s="558" t="s">
        <v>365</v>
      </c>
      <c r="G121" s="558"/>
    </row>
    <row r="122" spans="1:7" ht="24" customHeight="1">
      <c r="A122" s="547" t="s">
        <v>417</v>
      </c>
      <c r="B122" s="548"/>
      <c r="C122" s="548"/>
      <c r="D122" s="548"/>
      <c r="E122" s="549"/>
      <c r="F122" s="557" t="s">
        <v>418</v>
      </c>
      <c r="G122" s="557"/>
    </row>
    <row r="123" spans="1:7" ht="15.6" customHeight="1">
      <c r="A123" s="547" t="s">
        <v>419</v>
      </c>
      <c r="B123" s="548"/>
      <c r="C123" s="548"/>
      <c r="D123" s="548"/>
      <c r="E123" s="549"/>
      <c r="F123" s="557" t="s">
        <v>420</v>
      </c>
      <c r="G123" s="557"/>
    </row>
    <row r="124" spans="1:7" ht="18.75" customHeight="1">
      <c r="A124" s="547" t="s">
        <v>421</v>
      </c>
      <c r="B124" s="548"/>
      <c r="C124" s="548"/>
      <c r="D124" s="548"/>
      <c r="E124" s="549"/>
      <c r="F124" s="557" t="s">
        <v>422</v>
      </c>
      <c r="G124" s="557"/>
    </row>
    <row r="125" spans="1:7" ht="15.6" customHeight="1">
      <c r="A125" s="563" t="s">
        <v>366</v>
      </c>
      <c r="B125" s="550"/>
      <c r="C125" s="591"/>
      <c r="D125" s="591"/>
      <c r="E125" s="591"/>
      <c r="F125" s="591"/>
      <c r="G125" s="591"/>
    </row>
    <row r="126" spans="1:7" ht="15.6" customHeight="1">
      <c r="A126" s="564"/>
      <c r="B126" s="589"/>
      <c r="C126" s="590"/>
      <c r="D126" s="590"/>
      <c r="E126" s="590"/>
      <c r="F126" s="590"/>
      <c r="G126" s="590"/>
    </row>
    <row r="127" spans="1:7" ht="15.6" customHeight="1">
      <c r="A127" s="80"/>
      <c r="B127" s="603">
        <v>2025</v>
      </c>
      <c r="C127" s="603"/>
      <c r="D127" s="603"/>
      <c r="E127" s="603"/>
      <c r="F127" s="604" t="s">
        <v>361</v>
      </c>
      <c r="G127" s="604"/>
    </row>
    <row r="128" spans="1:7" ht="15.6" customHeight="1">
      <c r="A128" s="80"/>
      <c r="B128" s="603"/>
      <c r="C128" s="603"/>
      <c r="D128" s="603"/>
      <c r="E128" s="603"/>
      <c r="F128" s="586" t="str">
        <f>F2</f>
        <v>Prepared by:</v>
      </c>
      <c r="G128" s="586"/>
    </row>
    <row r="129" spans="1:10" ht="15.6" customHeight="1">
      <c r="A129" s="80"/>
      <c r="B129" s="603"/>
      <c r="C129" s="603"/>
      <c r="D129" s="603"/>
      <c r="E129" s="603"/>
      <c r="F129" s="586"/>
      <c r="G129" s="586"/>
    </row>
    <row r="130" spans="1:10" ht="15.6" customHeight="1">
      <c r="A130" s="80"/>
      <c r="B130" s="533"/>
      <c r="C130" s="533"/>
      <c r="D130" s="533"/>
      <c r="E130" s="533"/>
      <c r="F130" s="595" t="str">
        <f>F4</f>
        <v>John Piotrowski</v>
      </c>
      <c r="G130" s="595"/>
    </row>
    <row r="131" spans="1:10" ht="15.6" customHeight="1">
      <c r="A131" s="80"/>
      <c r="B131" s="355"/>
      <c r="C131" s="355"/>
      <c r="D131" s="355"/>
      <c r="E131" s="355"/>
      <c r="F131" s="595" t="str">
        <f>F5</f>
        <v>980-392-7944</v>
      </c>
      <c r="G131" s="595"/>
    </row>
    <row r="132" spans="1:10" ht="15.6" customHeight="1">
      <c r="A132" s="80"/>
      <c r="B132" s="534" t="s">
        <v>799</v>
      </c>
      <c r="C132" s="534"/>
      <c r="D132" s="534"/>
      <c r="E132" s="534"/>
      <c r="F132" s="595" t="str">
        <f>F6</f>
        <v>jpiotrowski@ppas.com</v>
      </c>
      <c r="G132" s="595"/>
    </row>
    <row r="133" spans="1:10" ht="14.4" customHeight="1">
      <c r="A133" s="594" t="s">
        <v>423</v>
      </c>
      <c r="B133" s="594"/>
      <c r="C133" s="594"/>
      <c r="D133" s="594"/>
      <c r="E133" s="594"/>
      <c r="F133" s="594"/>
      <c r="G133" s="594"/>
    </row>
    <row r="134" spans="1:10" ht="14.4" customHeight="1">
      <c r="A134" s="594"/>
      <c r="B134" s="594"/>
      <c r="C134" s="594"/>
      <c r="D134" s="594"/>
      <c r="E134" s="594"/>
      <c r="F134" s="594"/>
      <c r="G134" s="594"/>
    </row>
    <row r="135" spans="1:10" ht="15.6" customHeight="1">
      <c r="A135" s="70" t="s">
        <v>424</v>
      </c>
      <c r="B135" s="587" t="s">
        <v>425</v>
      </c>
      <c r="C135" s="588"/>
      <c r="D135" s="71" t="s">
        <v>426</v>
      </c>
      <c r="E135" s="87" t="s">
        <v>427</v>
      </c>
      <c r="F135" s="592" t="s">
        <v>428</v>
      </c>
      <c r="G135" s="593"/>
    </row>
    <row r="136" spans="1:10" ht="15.6" customHeight="1">
      <c r="A136" s="72" t="s">
        <v>429</v>
      </c>
      <c r="B136" s="571">
        <v>73542.58</v>
      </c>
      <c r="C136" s="572"/>
      <c r="D136" s="100"/>
      <c r="E136" s="90">
        <f>B136+D136</f>
        <v>73542.58</v>
      </c>
      <c r="F136" s="583"/>
      <c r="G136" s="584"/>
    </row>
    <row r="137" spans="1:10" ht="15.6" customHeight="1">
      <c r="A137" s="72"/>
      <c r="B137" s="571"/>
      <c r="C137" s="572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85"/>
      <c r="C138" s="585"/>
      <c r="D138" s="75"/>
      <c r="E138" s="90">
        <f>B138+D138</f>
        <v>0</v>
      </c>
      <c r="F138" s="583"/>
      <c r="G138" s="584"/>
    </row>
    <row r="139" spans="1:10" ht="15.6" customHeight="1">
      <c r="A139" s="76"/>
      <c r="B139" s="582"/>
      <c r="C139" s="582"/>
      <c r="D139" s="77"/>
      <c r="E139" s="91">
        <f>B139+D139</f>
        <v>0</v>
      </c>
      <c r="F139" s="583"/>
      <c r="G139" s="584"/>
    </row>
    <row r="140" spans="1:10" ht="15.6" customHeight="1">
      <c r="A140" s="76"/>
      <c r="B140" s="582"/>
      <c r="C140" s="582"/>
      <c r="D140" s="77"/>
      <c r="E140" s="91">
        <f>B140+D140</f>
        <v>0</v>
      </c>
      <c r="F140" s="583"/>
      <c r="G140" s="584"/>
    </row>
    <row r="141" spans="1:10" ht="15.6" customHeight="1">
      <c r="A141" s="74"/>
      <c r="B141" s="585"/>
      <c r="C141" s="585"/>
      <c r="D141" s="75"/>
      <c r="E141" s="90" t="str">
        <f t="shared" ref="E141:E147" si="0">IF(B141="","",B141+D141)</f>
        <v/>
      </c>
      <c r="F141" s="583"/>
      <c r="G141" s="584"/>
    </row>
    <row r="142" spans="1:10" ht="15.6" customHeight="1" thickBot="1">
      <c r="A142" s="76"/>
      <c r="B142" s="582"/>
      <c r="C142" s="582"/>
      <c r="D142" s="77"/>
      <c r="E142" s="91" t="str">
        <f t="shared" si="0"/>
        <v/>
      </c>
      <c r="F142" s="596" t="s">
        <v>436</v>
      </c>
      <c r="G142" s="597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85" t="str">
        <f>IF('NEW POOL'!B171&gt;0,'COST - NEW'!E233,"")</f>
        <v/>
      </c>
      <c r="C143" s="585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82"/>
      <c r="C144" s="582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85"/>
      <c r="C145" s="585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82"/>
      <c r="C146" s="582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85"/>
      <c r="C147" s="585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99">
        <f>SUM(B136:C147)</f>
        <v>73542.58</v>
      </c>
      <c r="C148" s="600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601"/>
      <c r="D149" s="601"/>
      <c r="E149" s="105">
        <f>IF('NEW POOL'!C191-PROPOSAL!E148=0,"",'NEW POOL'!C191-E148)</f>
        <v>71427.42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602" t="s">
        <v>425</v>
      </c>
      <c r="C151" s="602"/>
      <c r="D151" s="88" t="s">
        <v>426</v>
      </c>
      <c r="E151" s="85" t="s">
        <v>427</v>
      </c>
      <c r="F151" s="598" t="s">
        <v>428</v>
      </c>
      <c r="G151" s="593"/>
    </row>
    <row r="152" spans="1:7" ht="15.6" customHeight="1">
      <c r="A152" s="102" t="s">
        <v>431</v>
      </c>
      <c r="B152" s="561">
        <v>0</v>
      </c>
      <c r="C152" s="561"/>
      <c r="D152" s="103">
        <v>0</v>
      </c>
      <c r="E152" s="104">
        <f>B152+D152</f>
        <v>0</v>
      </c>
      <c r="F152" s="562"/>
      <c r="G152" s="562"/>
    </row>
    <row r="153" spans="1:7" ht="15.6" customHeight="1">
      <c r="A153" s="82" t="s">
        <v>431</v>
      </c>
      <c r="B153" s="574">
        <v>0</v>
      </c>
      <c r="C153" s="574"/>
      <c r="D153" s="83">
        <v>0</v>
      </c>
      <c r="E153" s="84">
        <f>B153+D153</f>
        <v>0</v>
      </c>
      <c r="F153" s="575"/>
      <c r="G153" s="575"/>
    </row>
    <row r="154" spans="1:7" ht="15.6" customHeight="1">
      <c r="A154" s="102" t="s">
        <v>431</v>
      </c>
      <c r="B154" s="561">
        <v>0</v>
      </c>
      <c r="C154" s="561"/>
      <c r="D154" s="103">
        <v>0</v>
      </c>
      <c r="E154" s="104">
        <f>B154+D154</f>
        <v>0</v>
      </c>
      <c r="F154" s="562"/>
      <c r="G154" s="562"/>
    </row>
    <row r="155" spans="1:7">
      <c r="A155" s="82" t="s">
        <v>431</v>
      </c>
      <c r="B155" s="574">
        <v>0</v>
      </c>
      <c r="C155" s="574"/>
      <c r="D155" s="83">
        <v>0</v>
      </c>
      <c r="E155" s="84">
        <f>B155+D155</f>
        <v>0</v>
      </c>
      <c r="F155" s="575"/>
      <c r="G155" s="575"/>
    </row>
    <row r="156" spans="1:7">
      <c r="A156" s="102" t="s">
        <v>431</v>
      </c>
      <c r="B156" s="561">
        <v>0</v>
      </c>
      <c r="C156" s="561"/>
      <c r="D156" s="103">
        <v>0</v>
      </c>
      <c r="E156" s="104">
        <f>B156+D156</f>
        <v>0</v>
      </c>
      <c r="F156" s="562"/>
      <c r="G156" s="562"/>
    </row>
  </sheetData>
  <mergeCells count="248"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abSelected="1" topLeftCell="A270" zoomScaleNormal="100" workbookViewId="0">
      <selection activeCell="E309" sqref="E309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505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1075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541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0</v>
      </c>
      <c r="D29" s="2">
        <f>EXC!D21</f>
        <v>0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0</v>
      </c>
      <c r="D34" s="2">
        <f>EXC!D26</f>
        <v>0</v>
      </c>
    </row>
    <row r="35" spans="1:6">
      <c r="A35" t="str">
        <f>EXC!A27</f>
        <v>Base Spa:</v>
      </c>
      <c r="B35" s="1">
        <f>EXC!B27</f>
        <v>200</v>
      </c>
      <c r="C35" s="5">
        <f>EXC!C27</f>
        <v>1</v>
      </c>
      <c r="D35" s="1">
        <f>EXC!D27</f>
        <v>200</v>
      </c>
    </row>
    <row r="36" spans="1:6">
      <c r="A36" t="str">
        <f>EXC!A28</f>
        <v>Raise Spa:</v>
      </c>
      <c r="B36" s="1">
        <f>EXC!B28</f>
        <v>350</v>
      </c>
      <c r="C36" s="5">
        <f>EXC!C28</f>
        <v>1</v>
      </c>
      <c r="D36" s="1">
        <f>EXC!D28</f>
        <v>350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1487.75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164</v>
      </c>
      <c r="D40" s="1">
        <f>ROUNDUP(EXC!D32,0)</f>
        <v>2941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-835.375</v>
      </c>
      <c r="E44" s="455">
        <v>0.1</v>
      </c>
      <c r="F44" s="1">
        <f>SUM(D26:D43)</f>
        <v>8353.75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7518.375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1</v>
      </c>
      <c r="D49" s="2">
        <f>PLUM!D5</f>
        <v>750</v>
      </c>
    </row>
    <row r="50" spans="1:4">
      <c r="A50" t="s">
        <v>872</v>
      </c>
      <c r="B50" s="2">
        <f>PLUM!B8</f>
        <v>25</v>
      </c>
      <c r="C50" s="4">
        <f>PLUM!C8</f>
        <v>93</v>
      </c>
      <c r="D50" s="24">
        <f>PLUM!D8</f>
        <v>2325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274</v>
      </c>
      <c r="D56" s="2">
        <f>PLUM!D14</f>
        <v>1507</v>
      </c>
    </row>
    <row r="57" spans="1:4">
      <c r="A57" t="str">
        <f>PLUM!A15</f>
        <v>2.5"</v>
      </c>
      <c r="B57" s="2">
        <f>PLUM!B15</f>
        <v>7</v>
      </c>
      <c r="C57" s="4">
        <f>PLUM!C15</f>
        <v>74</v>
      </c>
      <c r="D57" s="2">
        <f>PLUM!D15</f>
        <v>518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292</v>
      </c>
      <c r="D67" s="2">
        <f>PLUM!D26</f>
        <v>803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7328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7328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1</v>
      </c>
      <c r="D74" s="129">
        <f>B74*C74</f>
        <v>1500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11</v>
      </c>
      <c r="D75" s="129">
        <f>PLUM!D34</f>
        <v>121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1621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93</v>
      </c>
      <c r="D80" s="2">
        <f>STEEL!D4</f>
        <v>2325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93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1</v>
      </c>
      <c r="D84" s="2">
        <f>STEEL!D8</f>
        <v>450</v>
      </c>
    </row>
    <row r="85" spans="1:4">
      <c r="A85" t="s">
        <v>490</v>
      </c>
      <c r="B85" s="2">
        <f>STEEL!B9</f>
        <v>150</v>
      </c>
      <c r="C85" s="423">
        <f>STEEL!C9</f>
        <v>1</v>
      </c>
      <c r="D85" s="2">
        <f>STEEL!D9</f>
        <v>150</v>
      </c>
    </row>
    <row r="86" spans="1:4">
      <c r="A86" t="str">
        <f>STEEL!A10</f>
        <v>Bench:</v>
      </c>
      <c r="B86" s="2">
        <f>STEEL!B10</f>
        <v>8</v>
      </c>
      <c r="C86" s="4">
        <f>STEEL!C10</f>
        <v>35</v>
      </c>
      <c r="D86" s="2">
        <f>STEEL!D10</f>
        <v>280</v>
      </c>
    </row>
    <row r="87" spans="1:4">
      <c r="A87" t="str">
        <f>STEEL!A11</f>
        <v>6" RBB:</v>
      </c>
      <c r="B87" s="2">
        <f>STEEL!B11</f>
        <v>3</v>
      </c>
      <c r="C87" s="4">
        <f>STEEL!C11</f>
        <v>0</v>
      </c>
      <c r="D87" s="2">
        <f>STEEL!D11</f>
        <v>0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0</v>
      </c>
      <c r="D92" s="2">
        <f>STEEL!D16</f>
        <v>0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3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1</v>
      </c>
      <c r="D98" s="2">
        <f>STEEL!D22</f>
        <v>275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1</v>
      </c>
      <c r="D99" s="2">
        <f>STEEL!D24</f>
        <v>75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4355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4355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20</v>
      </c>
      <c r="D108" s="2">
        <f>ELEC!D5</f>
        <v>360</v>
      </c>
    </row>
    <row r="109" spans="1:6">
      <c r="A109" t="str">
        <f>ELEC!A6</f>
        <v>Lights:</v>
      </c>
      <c r="B109" s="2">
        <f>ELEC!B6</f>
        <v>100</v>
      </c>
      <c r="C109" s="4">
        <f>ELEC!C6</f>
        <v>2</v>
      </c>
      <c r="D109" s="2">
        <f>ELEC!D6</f>
        <v>200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1</v>
      </c>
      <c r="D110" s="2">
        <f>ELEC!D7</f>
        <v>255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3100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15</v>
      </c>
      <c r="D125" s="2">
        <f>SHOT!D5</f>
        <v>1350</v>
      </c>
    </row>
    <row r="126" spans="1:5">
      <c r="A126" t="str">
        <f>SHOT!A6</f>
        <v>Spa:</v>
      </c>
      <c r="B126" s="2">
        <f>SHOT!B6</f>
        <v>250</v>
      </c>
      <c r="C126" s="4">
        <f>SHOT!C6</f>
        <v>1</v>
      </c>
      <c r="D126" s="2">
        <f>SHOT!D6</f>
        <v>250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4480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47</v>
      </c>
      <c r="D134" s="2">
        <f>SHOT!D15</f>
        <v>10716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47</v>
      </c>
      <c r="D137" s="2">
        <f>SHOT!D18</f>
        <v>1175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303.52500000000003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576.69749999999999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13021.2225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4480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13021.2225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17501.2225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93</v>
      </c>
      <c r="D153" s="129">
        <f>'TILE COPING'!D4</f>
        <v>930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28</v>
      </c>
      <c r="D154" s="129">
        <f>'TILE COPING'!D8</f>
        <v>280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1210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93</v>
      </c>
      <c r="D160" s="129">
        <f>'TILE COPING'!D5</f>
        <v>651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28</v>
      </c>
      <c r="D163" s="129">
        <f>'TILE COPING'!D9</f>
        <v>196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847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1210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910.52499999999998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2120.5250000000001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163</v>
      </c>
      <c r="D183" s="2">
        <f>'TILE COPING'!D25</f>
        <v>1956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910.35</v>
      </c>
      <c r="D184" s="2">
        <f>'TILE COPING'!D26</f>
        <v>7282.8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0</v>
      </c>
      <c r="D186" s="2">
        <f>'TILE COPING'!D29</f>
        <v>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7282.8</v>
      </c>
    </row>
    <row r="189" spans="1:6">
      <c r="A189" t="s">
        <v>549</v>
      </c>
      <c r="C189"/>
      <c r="D189" s="30">
        <f>SUM(D180:D188)</f>
        <v>9238.7999999999993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179.3</v>
      </c>
      <c r="D194" s="2">
        <f>'TILE COPING'!D36</f>
        <v>1793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1001.3850000000001</v>
      </c>
      <c r="D195" s="2">
        <f>'TILE COPING'!D37</f>
        <v>6827.625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0</v>
      </c>
      <c r="D198" s="2">
        <f>'TILE COPING'!D41</f>
        <v>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0</v>
      </c>
      <c r="D199" s="2">
        <f>'TILE COPING'!D42</f>
        <v>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8620.625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9238.7999999999993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9245.6203124999993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1087.5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19571.920312499999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47</v>
      </c>
      <c r="D213" s="2">
        <f>'TILE COPING'!D48</f>
        <v>587.5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28</v>
      </c>
      <c r="D215" s="2">
        <f>'TILE COPING'!D50</f>
        <v>224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1</v>
      </c>
      <c r="D216" s="2">
        <f>'TILE COPING'!D51</f>
        <v>150</v>
      </c>
    </row>
    <row r="217" spans="1:4">
      <c r="A217" t="s">
        <v>549</v>
      </c>
      <c r="C217"/>
      <c r="D217" s="30">
        <f>SUM(D213:D216)</f>
        <v>961.5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54.05</v>
      </c>
      <c r="D219" s="2">
        <f>'TILE COPING'!D54</f>
        <v>702.65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29.400000000000002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1</v>
      </c>
      <c r="D222" s="2">
        <f>'TILE COPING'!D57</f>
        <v>150</v>
      </c>
    </row>
    <row r="223" spans="1:4">
      <c r="A223" t="s">
        <v>549</v>
      </c>
      <c r="C223"/>
      <c r="D223" s="30">
        <f>SUM(D219:D222)</f>
        <v>852.65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961.5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914.46712500000001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1875.9671250000001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No Retaining Wall</v>
      </c>
      <c r="B233" s="283">
        <f>VLOOKUP(A233,MASONRY!A5:F17,4,FALSE)</f>
        <v>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2.7HP Variable Pump</v>
      </c>
      <c r="B240" s="220">
        <f>EQUIP!N114</f>
        <v>2174.15</v>
      </c>
      <c r="C240" s="4">
        <f>EQUIP!O114</f>
        <v>1</v>
      </c>
      <c r="D240" s="220">
        <f>EQUIP!P114</f>
        <v>2174.15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6 Watt - Jandy Nicheless LED Spa light</v>
      </c>
      <c r="B248" s="220">
        <f>EQUIP!N122</f>
        <v>528</v>
      </c>
      <c r="C248" s="4">
        <f>EQUIP!O122</f>
        <v>1</v>
      </c>
      <c r="D248" s="220">
        <f>EQUIP!P122</f>
        <v>528</v>
      </c>
    </row>
    <row r="249" spans="1:4">
      <c r="A249" s="51" t="str">
        <f>EQUIP!M124</f>
        <v>Salt/mineral System - Fusion Soft</v>
      </c>
      <c r="B249" s="220">
        <f>EQUIP!N124</f>
        <v>1000</v>
      </c>
      <c r="C249" s="4">
        <f>EQUIP!O124</f>
        <v>1</v>
      </c>
      <c r="D249" s="220">
        <f>EQUIP!P124</f>
        <v>1000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iAqualink Only PS-4 (H.O. To Provide WiFi) Only use with Infinite Light System</v>
      </c>
      <c r="B252" s="220">
        <f>EQUIP!N127</f>
        <v>3025</v>
      </c>
      <c r="C252" s="4">
        <f>EQUIP!O127</f>
        <v>1</v>
      </c>
      <c r="D252" s="220">
        <f>EQUIP!P127</f>
        <v>3025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No Wok Pot</v>
      </c>
      <c r="B255" s="220">
        <f>EQUIP!N130</f>
        <v>0</v>
      </c>
      <c r="C255" s="4">
        <f>EQUIP!O130</f>
        <v>0</v>
      </c>
      <c r="D255" s="220">
        <f>EQUIP!P130</f>
        <v>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10226.200000000001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14421.317625000001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1</v>
      </c>
      <c r="D268" s="2">
        <f>PLUM!D43</f>
        <v>200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1075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41</v>
      </c>
      <c r="D276" s="2">
        <f>CLEAN!D5</f>
        <v>20.5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1</v>
      </c>
      <c r="D278" s="2">
        <f>CLEAN!D6</f>
        <v>100</v>
      </c>
    </row>
    <row r="279" spans="1:4">
      <c r="A279" t="str">
        <f>CLEAN!A7</f>
        <v>RBB:</v>
      </c>
      <c r="B279" s="2">
        <f>CLEAN!B7</f>
        <v>2.5</v>
      </c>
      <c r="C279" s="4">
        <f>CLEAN!C7</f>
        <v>0</v>
      </c>
      <c r="D279" s="2">
        <f>CLEAN!D7</f>
        <v>0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1520.5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Sheen  - Level 1</v>
      </c>
      <c r="B285" s="2">
        <f>VLOOKUP(A285,INT!A6:B17,2,FALSE)</f>
        <v>6.75</v>
      </c>
      <c r="C285" s="424">
        <f>SHOT!D2</f>
        <v>982.75</v>
      </c>
      <c r="D285" s="2">
        <f>ROUNDUP(VLOOKUP(A285,INT!A6:N18,4,FALSE),0)</f>
        <v>6634</v>
      </c>
    </row>
    <row r="286" spans="1:4">
      <c r="A286" t="s">
        <v>476</v>
      </c>
      <c r="B286" s="2">
        <f>VLOOKUP(A285,INT!A6:G19,7,FALSE)</f>
        <v>1250</v>
      </c>
      <c r="C286" s="5">
        <f>INT!F6</f>
        <v>1</v>
      </c>
      <c r="D286" s="2">
        <f>B286*C286</f>
        <v>1250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15</v>
      </c>
      <c r="D290" s="2">
        <f>INT!D22</f>
        <v>300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982.75</v>
      </c>
      <c r="D293" s="2">
        <f>INT!D34</f>
        <v>2404.7325000000001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11548.7325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11548.7325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1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16x16</v>
      </c>
      <c r="B333" s="2">
        <f>CUSTOM!E3</f>
        <v>736.56</v>
      </c>
      <c r="C333" s="5">
        <f t="shared" ref="C333:C340" si="1">IF(B333&gt;0,1,0)</f>
        <v>1</v>
      </c>
      <c r="D333" s="2">
        <f t="shared" ref="D333:D340" si="2">B333*C333</f>
        <v>736.56</v>
      </c>
    </row>
    <row r="334" spans="1:6">
      <c r="A334" t="str">
        <f>CUSTOM!A5</f>
        <v>turf and travertine in lay</v>
      </c>
      <c r="B334" s="2">
        <f>CUSTOM!E5</f>
        <v>6240</v>
      </c>
      <c r="C334" s="5">
        <f t="shared" si="1"/>
        <v>1</v>
      </c>
      <c r="D334" s="2">
        <f t="shared" si="2"/>
        <v>6240</v>
      </c>
    </row>
    <row r="335" spans="1:6">
      <c r="A335" t="str">
        <f>CUSTOM!A7</f>
        <v>No Custom Feature</v>
      </c>
      <c r="B335" s="2">
        <f>CUSTOM!E7</f>
        <v>0</v>
      </c>
      <c r="C335" s="5">
        <f t="shared" si="1"/>
        <v>0</v>
      </c>
      <c r="D335" s="2">
        <f t="shared" si="2"/>
        <v>0</v>
      </c>
    </row>
    <row r="336" spans="1:6">
      <c r="A336" t="str">
        <f>CUSTOM!A9</f>
        <v>No Custom Feature</v>
      </c>
      <c r="B336" s="2">
        <f>CUSTOM!E9</f>
        <v>0</v>
      </c>
      <c r="C336" s="5">
        <f t="shared" si="1"/>
        <v>0</v>
      </c>
      <c r="D336" s="2">
        <f t="shared" si="2"/>
        <v>0</v>
      </c>
    </row>
    <row r="337" spans="1:9">
      <c r="A337" t="str">
        <f>CUSTOM!A11</f>
        <v>No Custom Feature</v>
      </c>
      <c r="B337" s="2">
        <f>CUSTOM!E11</f>
        <v>0</v>
      </c>
      <c r="C337" s="5">
        <f t="shared" si="1"/>
        <v>0</v>
      </c>
      <c r="D337" s="2">
        <f t="shared" si="2"/>
        <v>0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6976.5599999999995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106200.61126312499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144970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-106200.61126312499</v>
      </c>
      <c r="E348" s="4"/>
    </row>
    <row r="349" spans="1:9" ht="15" thickBot="1">
      <c r="A349" t="s">
        <v>671</v>
      </c>
      <c r="D349" s="1">
        <f>-D346*E349</f>
        <v>-3986.6750000000002</v>
      </c>
      <c r="E349" s="179">
        <v>2.75E-2</v>
      </c>
    </row>
    <row r="350" spans="1:9" ht="15" thickBot="1">
      <c r="A350" t="s">
        <v>672</v>
      </c>
      <c r="D350" s="1">
        <f>-D346*0.029</f>
        <v>-4204.13</v>
      </c>
      <c r="E350" s="4"/>
    </row>
    <row r="351" spans="1:9" ht="15" thickBot="1">
      <c r="A351" t="s">
        <v>673</v>
      </c>
      <c r="D351" s="2">
        <f>-D346*E351</f>
        <v>-3986.6750000000002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26591.908736875012</v>
      </c>
      <c r="E353" s="192">
        <f>D353/D346</f>
        <v>0.1834304251698628</v>
      </c>
    </row>
  </sheetData>
  <mergeCells count="23"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  <mergeCell ref="A2:D2"/>
    <mergeCell ref="A11:D11"/>
    <mergeCell ref="A18:D18"/>
    <mergeCell ref="A25:D25"/>
    <mergeCell ref="A47:D47"/>
    <mergeCell ref="A79:D79"/>
    <mergeCell ref="A106:D106"/>
    <mergeCell ref="A123:D123"/>
    <mergeCell ref="A73:D73"/>
    <mergeCell ref="A179:D1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505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1075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7518.375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7328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1621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4355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3100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4480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13021.2225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1210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910.52499999999998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9238.7999999999993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9245.6203124999993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961.5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914.46712500000001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1087.5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14421.317625000001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1075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1520.5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11548.7325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1470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16x16</v>
      </c>
      <c r="B55" s="156"/>
      <c r="C55" s="157"/>
      <c r="D55" s="360">
        <f>'COST - NEW'!D333</f>
        <v>736.56</v>
      </c>
    </row>
    <row r="56" spans="1:10" ht="15" thickBot="1"/>
    <row r="57" spans="1:10" ht="15" thickBot="1">
      <c r="A57" s="155" t="str">
        <f>CUSTOM!A5</f>
        <v>turf and travertine in lay</v>
      </c>
      <c r="B57" s="156"/>
      <c r="C57" s="157"/>
      <c r="D57" s="360">
        <f>'COST - NEW'!D334</f>
        <v>6240</v>
      </c>
    </row>
    <row r="58" spans="1:10" ht="15" thickBot="1"/>
    <row r="59" spans="1:10" ht="15" thickBot="1">
      <c r="A59" s="155" t="str">
        <f>CUSTOM!A7</f>
        <v>No Custom Feature</v>
      </c>
      <c r="B59" s="156"/>
      <c r="C59" s="157"/>
      <c r="D59" s="360">
        <f>'COST - NEW'!D335</f>
        <v>0</v>
      </c>
    </row>
    <row r="60" spans="1:10" ht="15" thickBot="1"/>
    <row r="61" spans="1:10" ht="15" thickBot="1">
      <c r="A61" s="155" t="str">
        <f>CUSTOM!A9</f>
        <v>No Custom Feature</v>
      </c>
      <c r="B61" s="156"/>
      <c r="C61" s="157"/>
      <c r="D61" s="360">
        <f>'COST - NEW'!D336</f>
        <v>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No Custom Feature</v>
      </c>
      <c r="B63" s="156"/>
      <c r="C63" s="157"/>
      <c r="D63" s="360">
        <f>'COST - NEW'!D337</f>
        <v>0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105299.12006249999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Ashley Drennen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505</v>
      </c>
      <c r="F5" s="108">
        <v>275</v>
      </c>
      <c r="G5" s="108">
        <v>315</v>
      </c>
      <c r="I5" s="24">
        <f>D5</f>
        <v>505</v>
      </c>
      <c r="K5" s="1">
        <f>IF(EXC!$C$27=0,OTHER!I5-OTHER!F5,OTHER!I5-OTHER!G5)</f>
        <v>190</v>
      </c>
      <c r="M5" s="1">
        <f>K5/$M$3</f>
        <v>271.42857142857144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565</v>
      </c>
      <c r="F7" s="108">
        <v>65</v>
      </c>
      <c r="G7" s="108">
        <v>65</v>
      </c>
      <c r="I7" s="24">
        <f>D7</f>
        <v>565</v>
      </c>
      <c r="K7" s="1">
        <f>IF(EXC!$C$27=0,OTHER!I7-OTHER!F7,OTHER!I7-OTHER!G7)</f>
        <v>500</v>
      </c>
      <c r="M7" s="1">
        <f>K7/$M$3</f>
        <v>714.28571428571433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1075</v>
      </c>
      <c r="F9" s="108">
        <v>925</v>
      </c>
      <c r="G9" s="108">
        <v>1075</v>
      </c>
      <c r="I9" s="24">
        <f>D9</f>
        <v>1075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7518.375</v>
      </c>
      <c r="F11" s="108">
        <v>3650</v>
      </c>
      <c r="G11" s="108">
        <v>4000</v>
      </c>
      <c r="I11" s="24">
        <f>D11</f>
        <v>7518.375</v>
      </c>
      <c r="K11" s="1">
        <f>IF(EXC!$C$27=0,OTHER!I11-OTHER!F11,OTHER!I11-OTHER!G11)</f>
        <v>3518.375</v>
      </c>
      <c r="M11" s="1">
        <f>K11/$M$3</f>
        <v>5026.25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7328</v>
      </c>
      <c r="F13" s="108">
        <v>1833.5</v>
      </c>
      <c r="G13" s="108">
        <v>3058</v>
      </c>
      <c r="I13" s="24">
        <f>D13</f>
        <v>7328</v>
      </c>
      <c r="K13" s="1">
        <f>IF(EXC!$C$27=0,OTHER!I13-OTHER!F13,OTHER!I13-OTHER!G13)</f>
        <v>4270</v>
      </c>
      <c r="M13" s="1">
        <f>CEILING(K13/$M$3,10)</f>
        <v>6100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1621</v>
      </c>
      <c r="F15" s="108">
        <v>0</v>
      </c>
      <c r="G15" s="108">
        <v>0</v>
      </c>
      <c r="I15" s="24">
        <f>D15</f>
        <v>1621</v>
      </c>
      <c r="K15" s="1">
        <f>IF(EXC!$C$27=0,OTHER!I15-OTHER!F15,OTHER!I15-OTHER!G15)</f>
        <v>1621</v>
      </c>
      <c r="M15" s="1">
        <f>CEILING(K15/$M$3,10)</f>
        <v>2320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4355</v>
      </c>
      <c r="F17" s="108">
        <v>2950</v>
      </c>
      <c r="G17" s="108">
        <v>3450</v>
      </c>
      <c r="I17" s="24">
        <f>D17</f>
        <v>4355</v>
      </c>
      <c r="K17" s="1">
        <f>IF(EXC!$C$27=0,OTHER!I17-OTHER!F17,OTHER!I17-OTHER!G17)</f>
        <v>905</v>
      </c>
      <c r="M17" s="1">
        <f>K17/$M$3</f>
        <v>1292.8571428571429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3100</v>
      </c>
      <c r="F19" s="108">
        <v>2010</v>
      </c>
      <c r="G19" s="108">
        <v>2135</v>
      </c>
      <c r="I19" s="24">
        <f>D19</f>
        <v>3100</v>
      </c>
      <c r="K19" s="1">
        <f>IF(EXC!$C$27=0,OTHER!I19-OTHER!F19,OTHER!I19-OTHER!G19)</f>
        <v>965</v>
      </c>
      <c r="M19" s="1">
        <f>K19/$M$3</f>
        <v>1378.5714285714287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4480</v>
      </c>
      <c r="F21" s="108">
        <v>2880</v>
      </c>
      <c r="G21" s="108">
        <v>3400</v>
      </c>
      <c r="I21" s="24">
        <f>D21</f>
        <v>4480</v>
      </c>
      <c r="K21" s="1">
        <f>IF(EXC!$C$27=0,OTHER!I21-OTHER!F21,OTHER!I21-OTHER!G21)</f>
        <v>1080</v>
      </c>
      <c r="M21" s="1">
        <f>K21/$M$3</f>
        <v>1542.8571428571429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13021.2225</v>
      </c>
      <c r="F23" s="108">
        <v>6992.7</v>
      </c>
      <c r="G23" s="108">
        <v>8113.46</v>
      </c>
      <c r="I23" s="24">
        <f>D23</f>
        <v>13021.2225</v>
      </c>
      <c r="K23" s="1">
        <f>IF(EXC!$C$27=0,OTHER!I23-OTHER!F23,OTHER!I23-OTHER!G23)</f>
        <v>4907.7624999999998</v>
      </c>
      <c r="M23" s="1">
        <f>K23/$M$3</f>
        <v>7011.0892857142862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1210</v>
      </c>
      <c r="F25" s="108">
        <v>830</v>
      </c>
      <c r="G25" s="108">
        <v>1180</v>
      </c>
      <c r="I25" s="24">
        <f>D25</f>
        <v>1210</v>
      </c>
      <c r="K25" s="1">
        <f>IF(EXC!$C$27=0,OTHER!I25-OTHER!F25,OTHER!I25-OTHER!G25)</f>
        <v>30</v>
      </c>
      <c r="M25" s="1">
        <f>K25/$M$3</f>
        <v>42.857142857142861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910.52499999999998</v>
      </c>
      <c r="F27" s="108">
        <v>540</v>
      </c>
      <c r="G27" s="108">
        <v>752.8</v>
      </c>
      <c r="I27" s="24">
        <f>D27</f>
        <v>910.52499999999998</v>
      </c>
      <c r="K27" s="1">
        <f>IF(EXC!$C$27=0,OTHER!I27-OTHER!F27,OTHER!I27-OTHER!G27)</f>
        <v>157.72500000000002</v>
      </c>
      <c r="M27" s="1">
        <f>K27/$M$3</f>
        <v>225.32142857142861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9238.7999999999993</v>
      </c>
      <c r="F29" s="108">
        <v>0</v>
      </c>
      <c r="G29" s="108">
        <v>0</v>
      </c>
      <c r="I29" s="24">
        <f>D29</f>
        <v>9238.7999999999993</v>
      </c>
      <c r="K29" s="1">
        <f>IF(EXC!$C$27=0,OTHER!I29-OTHER!F29,OTHER!I29-OTHER!G29)</f>
        <v>9238.7999999999993</v>
      </c>
      <c r="L29" s="10">
        <v>0.745</v>
      </c>
      <c r="M29" s="1">
        <f>CEILING(K29/L29,10)</f>
        <v>12410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9245.6203124999993</v>
      </c>
      <c r="F31" s="108">
        <v>0</v>
      </c>
      <c r="G31" s="108">
        <v>0</v>
      </c>
      <c r="I31" s="24">
        <f>D31</f>
        <v>9245.6203124999993</v>
      </c>
      <c r="K31" s="1">
        <f>IF(EXC!$C$27=0,OTHER!I31-OTHER!F31,OTHER!I31-OTHER!G31)</f>
        <v>9245.6203124999993</v>
      </c>
      <c r="L31" s="10">
        <v>0.745</v>
      </c>
      <c r="M31" s="1">
        <f>CEILING(K31/L31,10)</f>
        <v>12420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961.5</v>
      </c>
      <c r="F33" s="108">
        <v>0</v>
      </c>
      <c r="G33" s="108">
        <v>0</v>
      </c>
      <c r="I33" s="24">
        <f>D33</f>
        <v>961.5</v>
      </c>
      <c r="K33" s="1">
        <f>IF(EXC!$C$27=0,OTHER!I33-OTHER!F33,OTHER!I33-OTHER!G33)</f>
        <v>961.5</v>
      </c>
      <c r="M33" s="1">
        <f>CEILING(K33/$M$3,40)</f>
        <v>1400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914.46712500000001</v>
      </c>
      <c r="F35" s="108">
        <v>0</v>
      </c>
      <c r="G35" s="108">
        <v>0</v>
      </c>
      <c r="I35" s="24">
        <f>D35</f>
        <v>914.46712500000001</v>
      </c>
      <c r="K35" s="1">
        <f>IF(EXC!$C$27=0,OTHER!I35-OTHER!F35,OTHER!I35-OTHER!G35)</f>
        <v>914.46712500000001</v>
      </c>
      <c r="M35" s="1">
        <f>CEILING(K35/$M$3,40)</f>
        <v>1320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14421.317625000001</v>
      </c>
      <c r="F37" s="108">
        <v>3504.25</v>
      </c>
      <c r="G37" s="108">
        <v>3504.25</v>
      </c>
      <c r="I37" s="24">
        <f>D37</f>
        <v>14421.317625000001</v>
      </c>
      <c r="K37" s="1">
        <f>IF(EXC!$C$27=0,OTHER!I37-OTHER!F37,OTHER!I37-OTHER!G37)</f>
        <v>10917.067625000001</v>
      </c>
      <c r="M37" s="1">
        <f>K37/$M$3</f>
        <v>15595.810892857146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1075</v>
      </c>
      <c r="F39" s="108">
        <v>550</v>
      </c>
      <c r="G39" s="108">
        <v>550</v>
      </c>
      <c r="I39" s="24">
        <f>D39</f>
        <v>1075</v>
      </c>
      <c r="K39" s="1">
        <f>IF(EXC!$C$27=0,OTHER!I39-OTHER!F39,OTHER!I39-OTHER!G39)</f>
        <v>525</v>
      </c>
      <c r="M39" s="1">
        <f>K39/$M$3</f>
        <v>750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1520.5</v>
      </c>
      <c r="F41" s="108">
        <v>700</v>
      </c>
      <c r="G41" s="108">
        <v>800</v>
      </c>
      <c r="I41" s="24">
        <f>D41</f>
        <v>1520.5</v>
      </c>
      <c r="K41" s="1">
        <f>IF(EXC!$C$27=0,OTHER!I41-OTHER!F41,OTHER!I41-OTHER!G41)</f>
        <v>720.5</v>
      </c>
      <c r="M41" s="1">
        <f>K41/$M$3</f>
        <v>1029.2857142857144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11548.7325</v>
      </c>
      <c r="F43" s="108">
        <v>4278</v>
      </c>
      <c r="G43" s="108">
        <v>5340.96</v>
      </c>
      <c r="I43" s="24">
        <f>D43</f>
        <v>11548.7325</v>
      </c>
      <c r="K43" s="1">
        <f>IF(EXC!$C$27=0,OTHER!I43-OTHER!F43,OTHER!I43-OTHER!G43)</f>
        <v>6207.7725</v>
      </c>
      <c r="M43" s="1">
        <f>IF(D43=0,0,CEILING(K43/$M$3,320))</f>
        <v>8960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16x16</v>
      </c>
      <c r="B51" s="156"/>
      <c r="C51" s="157"/>
      <c r="D51" s="158">
        <f>'SUMMARY - NEW'!D55</f>
        <v>736.56</v>
      </c>
    </row>
    <row r="52" spans="1:13" ht="15" thickBot="1"/>
    <row r="53" spans="1:13" ht="15" thickBot="1">
      <c r="A53" s="155" t="str">
        <f>'SUMMARY - NEW'!A57</f>
        <v>turf and travertine in lay</v>
      </c>
      <c r="B53" s="156"/>
      <c r="C53" s="157"/>
      <c r="D53" s="158">
        <f>'SUMMARY - NEW'!D57</f>
        <v>6240</v>
      </c>
    </row>
    <row r="54" spans="1:13" ht="15" thickBot="1"/>
    <row r="55" spans="1:13" ht="15" thickBot="1">
      <c r="A55" s="155" t="str">
        <f>'SUMMARY - NEW'!A59</f>
        <v>No Custom Feature</v>
      </c>
      <c r="B55" s="156"/>
      <c r="C55" s="157"/>
      <c r="D55" s="158">
        <f>'SUMMARY - NEW'!D59</f>
        <v>0</v>
      </c>
    </row>
    <row r="56" spans="1:13" ht="15" thickBot="1"/>
    <row r="57" spans="1:13" ht="15" thickBot="1">
      <c r="A57" s="155" t="str">
        <f>'SUMMARY - NEW'!A61</f>
        <v>No Custom Feature</v>
      </c>
      <c r="B57" s="156"/>
      <c r="C57" s="157"/>
      <c r="D57" s="158">
        <f>'SUMMARY - NEW'!D61</f>
        <v>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102741.62006249999</v>
      </c>
      <c r="E59" s="9"/>
      <c r="F59" s="24">
        <f>SUM(F5:F50)</f>
        <v>32483.45</v>
      </c>
      <c r="G59" s="24">
        <f>SUM(G5:G50)</f>
        <v>38239.47</v>
      </c>
      <c r="I59" s="24">
        <f>SUM(I5:I50)</f>
        <v>95615.060062499993</v>
      </c>
      <c r="K59" s="1">
        <f>I59-F59</f>
        <v>63131.610062499996</v>
      </c>
      <c r="M59" s="1">
        <f>K59/$M$3</f>
        <v>90188.014374999999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13</v>
      </c>
      <c r="D67" s="1">
        <f>B67*C67</f>
        <v>1625</v>
      </c>
      <c r="F67" s="4">
        <v>6</v>
      </c>
      <c r="G67" s="108">
        <v>1050</v>
      </c>
      <c r="H67" s="4">
        <f>IF('NEW POOL'!$B$10=6,1,0)</f>
        <v>1</v>
      </c>
      <c r="I67" s="24">
        <f>G67*H67</f>
        <v>1050</v>
      </c>
    </row>
    <row r="68" spans="1:9">
      <c r="A68" t="s">
        <v>463</v>
      </c>
      <c r="B68" s="187">
        <v>12</v>
      </c>
      <c r="C68" s="5">
        <f>IF('NEW POOL'!B8&gt;400,'NEW POOL'!B8-400,0)</f>
        <v>141</v>
      </c>
      <c r="D68" s="1">
        <f>B68*C68</f>
        <v>1692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1</v>
      </c>
      <c r="D69" s="1">
        <f>I72</f>
        <v>1050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1050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Ashley Drennen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Ft mill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2405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1</v>
      </c>
      <c r="D5" s="30">
        <f>B5*C5</f>
        <v>80</v>
      </c>
    </row>
    <row r="6" spans="1:10">
      <c r="A6" s="110" t="s">
        <v>624</v>
      </c>
      <c r="B6" s="67">
        <v>15</v>
      </c>
      <c r="C6" s="35">
        <f>IF('NEW POOL'!B167&gt;0,1,0)</f>
        <v>1</v>
      </c>
      <c r="D6" s="137">
        <f>B6*C6</f>
        <v>15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0</v>
      </c>
      <c r="D7" s="30">
        <f>B7*C7</f>
        <v>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505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607"/>
      <c r="C3" s="607"/>
      <c r="D3" s="608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93</v>
      </c>
      <c r="H4" s="125">
        <f>G4*1.12</f>
        <v>104.16000000000001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541</v>
      </c>
      <c r="H5" s="125">
        <f>G5*1.15</f>
        <v>622.15</v>
      </c>
    </row>
    <row r="6" spans="1:10">
      <c r="A6" s="110" t="s">
        <v>450</v>
      </c>
      <c r="B6" s="101">
        <v>2700</v>
      </c>
      <c r="C6" s="35">
        <f>IF(C4+C5&gt;0,0,IF($G$5&gt;450,IF($G$5&lt;501,1,0)))</f>
        <v>0</v>
      </c>
      <c r="D6" s="111">
        <f t="shared" si="0"/>
        <v>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1</v>
      </c>
      <c r="D7" s="111">
        <f t="shared" si="0"/>
        <v>2700</v>
      </c>
      <c r="F7" s="124" t="s">
        <v>444</v>
      </c>
      <c r="G7" s="135">
        <f>'NEW POOL'!B10</f>
        <v>6</v>
      </c>
      <c r="H7" s="125">
        <f>G7+1.25</f>
        <v>7.25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4.75</v>
      </c>
      <c r="H8" s="125">
        <f>(H6+H7)/2</f>
        <v>6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50</v>
      </c>
      <c r="H9" s="125">
        <f>IF(G9&gt;0,75,0)</f>
        <v>75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163.35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0</v>
      </c>
      <c r="D21" s="111">
        <f t="shared" ref="D21:D26" si="2">B21*C21</f>
        <v>0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0</v>
      </c>
      <c r="D26" s="111">
        <f t="shared" si="2"/>
        <v>0</v>
      </c>
    </row>
    <row r="27" spans="1:12">
      <c r="A27" s="28" t="s">
        <v>477</v>
      </c>
      <c r="B27" s="67">
        <v>200</v>
      </c>
      <c r="C27" s="35">
        <f>IF('NEW POOL'!B17&gt;0,1,0)</f>
        <v>1</v>
      </c>
      <c r="D27" s="111">
        <f t="shared" si="1"/>
        <v>200</v>
      </c>
    </row>
    <row r="28" spans="1:12">
      <c r="A28" s="28" t="s">
        <v>490</v>
      </c>
      <c r="B28" s="67">
        <v>350</v>
      </c>
      <c r="C28" s="35">
        <f>'NEW POOL'!B18</f>
        <v>1</v>
      </c>
      <c r="D28" s="111">
        <f t="shared" si="1"/>
        <v>350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1487.75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163.35</v>
      </c>
      <c r="D32" s="112">
        <f>B32*C32</f>
        <v>2940.2999999999997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5653.0499999999993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8353.0499999999993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1</v>
      </c>
      <c r="D5" s="111">
        <f>B5*C5</f>
        <v>750</v>
      </c>
    </row>
    <row r="6" spans="1:11" ht="15" thickBot="1">
      <c r="A6" s="106"/>
      <c r="B6" s="3"/>
      <c r="D6" s="107">
        <f>SUM(D4:D5)</f>
        <v>1300</v>
      </c>
    </row>
    <row r="8" spans="1:11">
      <c r="A8" s="28" t="s">
        <v>872</v>
      </c>
      <c r="B8" s="101">
        <v>25</v>
      </c>
      <c r="C8" s="35">
        <f>IF('NEW POOL'!B58&gt;33,'NEW POOL'!B58-33,0)</f>
        <v>93</v>
      </c>
      <c r="D8" s="111">
        <f>B8*C8</f>
        <v>2325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274</v>
      </c>
      <c r="D14" s="111">
        <f t="shared" si="1"/>
        <v>1507</v>
      </c>
      <c r="E14" s="4">
        <f>'NEW POOL'!B7</f>
        <v>93</v>
      </c>
      <c r="F14" s="5">
        <f>'NEW POOL'!B58</f>
        <v>126</v>
      </c>
      <c r="G14" s="5">
        <f>'NEW POOL'!B60</f>
        <v>0</v>
      </c>
      <c r="H14" s="5">
        <f>'NEW POOL'!B66+('NEW POOL'!B67*6*1.15)</f>
        <v>0</v>
      </c>
      <c r="K14" s="4">
        <f>(SUM(E14:J14)*1.25)</f>
        <v>273.75</v>
      </c>
    </row>
    <row r="15" spans="1:11">
      <c r="A15" s="110" t="s">
        <v>8</v>
      </c>
      <c r="B15" s="109">
        <v>7</v>
      </c>
      <c r="C15" s="35">
        <f t="shared" si="0"/>
        <v>74</v>
      </c>
      <c r="D15" s="111">
        <f t="shared" si="1"/>
        <v>518</v>
      </c>
      <c r="E15" s="5">
        <f>'NEW POOL'!B59</f>
        <v>46</v>
      </c>
      <c r="F15" s="5">
        <v>0</v>
      </c>
      <c r="G15" s="4">
        <f>'NEW POOL'!B17</f>
        <v>28</v>
      </c>
      <c r="K15" s="5">
        <f>SUM(E15:J15)</f>
        <v>74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1</v>
      </c>
      <c r="F24" s="5">
        <f>'NEW POOL'!B121</f>
        <v>1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292</v>
      </c>
      <c r="D26" s="30">
        <f>B26*C26</f>
        <v>803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6038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1</v>
      </c>
      <c r="D33" s="30">
        <f>B33*C33</f>
        <v>1500</v>
      </c>
    </row>
    <row r="34" spans="1:10">
      <c r="A34" s="110" t="s">
        <v>667</v>
      </c>
      <c r="B34" s="67">
        <v>11</v>
      </c>
      <c r="C34" s="35">
        <f>IF('NEW POOL'!B68&gt;25,'NEW POOL'!B68-25,0)</f>
        <v>11</v>
      </c>
      <c r="D34" s="30">
        <f>B34*C34</f>
        <v>121</v>
      </c>
    </row>
    <row r="35" spans="1:10" ht="15" thickBot="1"/>
    <row r="36" spans="1:10" ht="15" thickBot="1">
      <c r="D36" s="143">
        <f>SUM(D33:D35)</f>
        <v>1621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1</v>
      </c>
      <c r="D43" s="30">
        <f t="shared" si="6"/>
        <v>200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1075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93</v>
      </c>
      <c r="D4" s="30">
        <f t="shared" ref="D4:D26" si="0">B4*C4</f>
        <v>2325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93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1</v>
      </c>
      <c r="D8" s="30">
        <f t="shared" si="0"/>
        <v>450</v>
      </c>
    </row>
    <row r="9" spans="1:10">
      <c r="A9" s="110" t="s">
        <v>490</v>
      </c>
      <c r="B9" s="67">
        <v>150</v>
      </c>
      <c r="C9" s="35">
        <f>'NEW POOL'!B18</f>
        <v>1</v>
      </c>
      <c r="D9" s="30">
        <f t="shared" si="0"/>
        <v>150</v>
      </c>
    </row>
    <row r="10" spans="1:10">
      <c r="A10" s="110" t="s">
        <v>527</v>
      </c>
      <c r="B10" s="67">
        <v>8</v>
      </c>
      <c r="C10" s="119">
        <f>'NEW POOL'!B11</f>
        <v>35</v>
      </c>
      <c r="D10" s="30">
        <f t="shared" si="0"/>
        <v>280</v>
      </c>
    </row>
    <row r="11" spans="1:10">
      <c r="A11" s="28" t="s">
        <v>640</v>
      </c>
      <c r="B11" s="142">
        <v>3</v>
      </c>
      <c r="C11" s="35">
        <f>'NEW POOL'!B32</f>
        <v>0</v>
      </c>
      <c r="D11" s="111">
        <f t="shared" si="0"/>
        <v>0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0</v>
      </c>
      <c r="D16" s="111">
        <f t="shared" si="0"/>
        <v>0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3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1</v>
      </c>
      <c r="D22" s="30">
        <f t="shared" si="0"/>
        <v>275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1</v>
      </c>
      <c r="D24" s="30">
        <f t="shared" si="0"/>
        <v>75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4355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20</v>
      </c>
      <c r="D5" s="30">
        <f t="shared" si="0"/>
        <v>360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2</v>
      </c>
      <c r="D6" s="137">
        <f t="shared" si="0"/>
        <v>200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1</v>
      </c>
      <c r="D7" s="30">
        <f t="shared" si="0"/>
        <v>255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3100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982.75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47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0</v>
      </c>
      <c r="L3" s="4">
        <f>K3*0.5</f>
        <v>0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15</v>
      </c>
      <c r="D5" s="30">
        <f t="shared" si="0"/>
        <v>1350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1</v>
      </c>
      <c r="D6" s="137">
        <f t="shared" si="0"/>
        <v>250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0</v>
      </c>
      <c r="L8" s="4">
        <f>K8*3</f>
        <v>0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0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4480</v>
      </c>
      <c r="I12"/>
      <c r="J12" s="630" t="s">
        <v>706</v>
      </c>
      <c r="K12" s="607"/>
      <c r="L12" s="608"/>
    </row>
    <row r="13" spans="1:12" s="4" customFormat="1">
      <c r="A13" s="106"/>
      <c r="B13" s="3"/>
      <c r="I13"/>
      <c r="J13" s="4">
        <f>'NEW POOL'!E7+2</f>
        <v>23.5</v>
      </c>
      <c r="K13" s="4">
        <f>ROUNDUP((J13*7/22),0)</f>
        <v>8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47</v>
      </c>
      <c r="D15" s="30">
        <f>B15*C15</f>
        <v>10716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47</v>
      </c>
      <c r="D18" s="30">
        <f>B18*C18</f>
        <v>1175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12141</v>
      </c>
    </row>
    <row r="22" spans="1:4">
      <c r="A22" s="298" t="s">
        <v>767</v>
      </c>
      <c r="B22" s="299">
        <v>2.5000000000000001E-2</v>
      </c>
      <c r="D22" s="30">
        <f>D21*B22</f>
        <v>303.52500000000003</v>
      </c>
    </row>
    <row r="23" spans="1:4">
      <c r="A23" s="298" t="s">
        <v>768</v>
      </c>
      <c r="B23" s="299">
        <v>4.7500000000000001E-2</v>
      </c>
      <c r="D23" s="30">
        <f>D21*B23</f>
        <v>576.69749999999999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13021.2225</v>
      </c>
    </row>
    <row r="26" spans="1:4" ht="15" thickBot="1"/>
    <row r="27" spans="1:4" ht="15" thickBot="1">
      <c r="A27" t="s">
        <v>558</v>
      </c>
      <c r="D27" s="143">
        <f>D12+D25</f>
        <v>17501.2225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93</v>
      </c>
      <c r="D4" s="30">
        <f t="shared" ref="D4:D18" si="0">B4*C4</f>
        <v>930</v>
      </c>
      <c r="G4" s="176" t="str">
        <f>'NEW POOL'!A32</f>
        <v>6" RBB:</v>
      </c>
      <c r="H4" s="35">
        <f>'NEW POOL'!B32</f>
        <v>0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93</v>
      </c>
      <c r="D5" s="30">
        <f t="shared" si="0"/>
        <v>651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28</v>
      </c>
      <c r="D8" s="137">
        <f t="shared" si="0"/>
        <v>280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28</v>
      </c>
      <c r="D9" s="30">
        <f t="shared" si="0"/>
        <v>196</v>
      </c>
      <c r="E9" s="4">
        <f>E5</f>
        <v>1</v>
      </c>
      <c r="G9" s="176" t="str">
        <f>'NEW POOL'!A37</f>
        <v>36" RBB:</v>
      </c>
      <c r="H9" s="35">
        <f>'NEW POOL'!B37</f>
        <v>0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0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1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1</v>
      </c>
      <c r="I15" s="35">
        <f>IF('NEW POOL'!B19=2,1,0)</f>
        <v>1</v>
      </c>
      <c r="J15" s="35">
        <f>ROUNDUP(((H15*I15*'NEW POOL'!$B$17*1.5)*1.1),0)</f>
        <v>47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1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2057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163</v>
      </c>
      <c r="D25" s="30">
        <f t="shared" si="3"/>
        <v>1956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910.35</v>
      </c>
      <c r="D26" s="30">
        <f t="shared" si="3"/>
        <v>7282.8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0</v>
      </c>
      <c r="D29" s="30">
        <f t="shared" si="3"/>
        <v>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9238.7999999999993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0</v>
      </c>
      <c r="I35" s="4">
        <f>(H35*'NEW POOL'!B7*4)*1.1</f>
        <v>0</v>
      </c>
      <c r="J35" s="4">
        <f>'NEW POOL'!E9-'TILE COPING'!I35</f>
        <v>867</v>
      </c>
    </row>
    <row r="36" spans="1:15">
      <c r="A36" s="110" t="s">
        <v>822</v>
      </c>
      <c r="B36" s="67">
        <v>11</v>
      </c>
      <c r="C36" s="119">
        <f>IF('NEW POOL'!B90=1,C25,0)</f>
        <v>163</v>
      </c>
      <c r="D36" s="30">
        <f t="shared" si="4"/>
        <v>1793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910.35</v>
      </c>
      <c r="D37" s="30">
        <f t="shared" si="4"/>
        <v>6827.625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0</v>
      </c>
      <c r="D41" s="30">
        <f t="shared" si="4"/>
        <v>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0</v>
      </c>
      <c r="D42" s="30">
        <f t="shared" si="4"/>
        <v>0</v>
      </c>
      <c r="E42" s="4" t="s">
        <v>435</v>
      </c>
      <c r="G42" s="176" t="str">
        <f>'NEW POOL'!A32</f>
        <v>6" RBB:</v>
      </c>
      <c r="H42" s="35">
        <f>'NEW POOL'!B32</f>
        <v>0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0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8620.625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0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0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47</v>
      </c>
      <c r="D48" s="30">
        <f>B48*C48</f>
        <v>587.5</v>
      </c>
      <c r="E48" s="4" t="s">
        <v>435</v>
      </c>
      <c r="G48" s="176" t="s">
        <v>662</v>
      </c>
      <c r="H48" s="35">
        <f>'NEW POOL'!B40</f>
        <v>0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0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28</v>
      </c>
      <c r="D50" s="30">
        <f>B50*C50</f>
        <v>224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1</v>
      </c>
      <c r="D51" s="30">
        <f>B51*C51</f>
        <v>150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961.5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54.05</v>
      </c>
      <c r="D54" s="30">
        <f>B54*C54</f>
        <v>702.65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29.400000000000002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1</v>
      </c>
      <c r="D57" s="30">
        <f>B57*C57</f>
        <v>150</v>
      </c>
    </row>
    <row r="58" spans="1:15" ht="15" thickBot="1">
      <c r="A58" s="106" t="s">
        <v>615</v>
      </c>
      <c r="B58" s="129"/>
      <c r="C58" s="5"/>
      <c r="D58" s="143">
        <f>SUM(D54:D57)</f>
        <v>852.65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3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982.75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982.75</v>
      </c>
      <c r="E5" s="111">
        <f>B5*D5*C5</f>
        <v>3439.625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3439.625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zoomScaleNormal="100" workbookViewId="0">
      <selection activeCell="B23" sqref="B23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982.75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982.75</v>
      </c>
      <c r="D6" s="372">
        <f t="shared" ref="D6:D18" si="0">B6*C6</f>
        <v>5405.125</v>
      </c>
      <c r="E6" s="373">
        <v>850</v>
      </c>
      <c r="F6" s="276">
        <f>EXC!C27</f>
        <v>1</v>
      </c>
      <c r="G6" s="374">
        <f t="shared" ref="G6:G18" si="1">E6*F6</f>
        <v>850</v>
      </c>
      <c r="H6" s="375">
        <v>850</v>
      </c>
      <c r="I6" s="376">
        <f>D25</f>
        <v>250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7465.125</v>
      </c>
      <c r="O6" s="60">
        <f t="shared" ref="O6:O18" si="3">N6/$O$5</f>
        <v>10664.464285714286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982.75</v>
      </c>
      <c r="D7" s="372">
        <f t="shared" si="0"/>
        <v>6191.3249999999998</v>
      </c>
      <c r="E7" s="373">
        <v>1150</v>
      </c>
      <c r="F7" s="276">
        <f>F6</f>
        <v>1</v>
      </c>
      <c r="G7" s="374">
        <f t="shared" si="1"/>
        <v>1150</v>
      </c>
      <c r="H7" s="375">
        <f>H6</f>
        <v>850</v>
      </c>
      <c r="I7" s="376">
        <f>I6</f>
        <v>250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8551.3250000000007</v>
      </c>
      <c r="O7" s="60">
        <f t="shared" si="3"/>
        <v>12216.178571428572</v>
      </c>
      <c r="P7" s="60">
        <f>O7-O6</f>
        <v>1551.7142857142862</v>
      </c>
      <c r="Q7" s="3">
        <f t="shared" ref="Q7:Q18" si="4">CEILING(P7,10)</f>
        <v>1560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982.75</v>
      </c>
      <c r="D8" s="377">
        <f t="shared" si="0"/>
        <v>7763.7250000000004</v>
      </c>
      <c r="E8" s="425">
        <f>E7</f>
        <v>1150</v>
      </c>
      <c r="F8" s="276">
        <f>F6</f>
        <v>1</v>
      </c>
      <c r="G8" s="374">
        <f t="shared" si="1"/>
        <v>1150</v>
      </c>
      <c r="H8" s="375">
        <f t="shared" ref="H8:I12" si="5">H7</f>
        <v>850</v>
      </c>
      <c r="I8" s="376">
        <f t="shared" si="5"/>
        <v>250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10123.725</v>
      </c>
      <c r="O8" s="60">
        <f t="shared" si="3"/>
        <v>14462.464285714288</v>
      </c>
      <c r="P8" s="60">
        <f t="shared" ref="P8:P18" si="7">O8-$O$6</f>
        <v>3798.0000000000018</v>
      </c>
      <c r="Q8" s="3">
        <f t="shared" si="4"/>
        <v>3800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982.75</v>
      </c>
      <c r="D9" s="372">
        <f t="shared" si="0"/>
        <v>8697.3374999999996</v>
      </c>
      <c r="E9" s="425">
        <f>E8</f>
        <v>1150</v>
      </c>
      <c r="F9" s="276">
        <f t="shared" ref="F9:F15" si="8">F8</f>
        <v>1</v>
      </c>
      <c r="G9" s="374">
        <f t="shared" si="1"/>
        <v>1150</v>
      </c>
      <c r="H9" s="375">
        <f t="shared" si="5"/>
        <v>850</v>
      </c>
      <c r="I9" s="376">
        <f t="shared" si="5"/>
        <v>250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11057.3375</v>
      </c>
      <c r="O9" s="60">
        <f t="shared" si="3"/>
        <v>15796.196428571429</v>
      </c>
      <c r="P9" s="60">
        <f t="shared" si="7"/>
        <v>5131.7321428571431</v>
      </c>
      <c r="Q9" s="3">
        <f t="shared" si="4"/>
        <v>5140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982.75</v>
      </c>
      <c r="D10" s="372">
        <f t="shared" si="0"/>
        <v>6633.5625</v>
      </c>
      <c r="E10" s="373">
        <v>1250</v>
      </c>
      <c r="F10" s="276">
        <f t="shared" si="8"/>
        <v>1</v>
      </c>
      <c r="G10" s="374">
        <f t="shared" si="1"/>
        <v>1250</v>
      </c>
      <c r="H10" s="375">
        <f t="shared" si="5"/>
        <v>850</v>
      </c>
      <c r="I10" s="376">
        <f t="shared" si="5"/>
        <v>250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9093.5625</v>
      </c>
      <c r="O10" s="60">
        <f t="shared" si="3"/>
        <v>12990.803571428572</v>
      </c>
      <c r="P10" s="60">
        <f t="shared" si="7"/>
        <v>2326.3392857142862</v>
      </c>
      <c r="Q10" s="3">
        <f t="shared" si="4"/>
        <v>2330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982.75</v>
      </c>
      <c r="D11" s="372">
        <f t="shared" si="0"/>
        <v>7714.5874999999996</v>
      </c>
      <c r="E11" s="425">
        <f>E10</f>
        <v>1250</v>
      </c>
      <c r="F11" s="276">
        <f t="shared" si="8"/>
        <v>1</v>
      </c>
      <c r="G11" s="374">
        <f t="shared" si="1"/>
        <v>1250</v>
      </c>
      <c r="H11" s="375">
        <f t="shared" si="5"/>
        <v>850</v>
      </c>
      <c r="I11" s="376">
        <f t="shared" si="5"/>
        <v>250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10174.5875</v>
      </c>
      <c r="O11" s="60">
        <f t="shared" si="3"/>
        <v>14535.125</v>
      </c>
      <c r="P11" s="60">
        <f t="shared" si="7"/>
        <v>3870.6607142857138</v>
      </c>
      <c r="Q11" s="3">
        <f t="shared" si="4"/>
        <v>3880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982.75</v>
      </c>
      <c r="D12" s="372">
        <f t="shared" si="0"/>
        <v>9090.4375</v>
      </c>
      <c r="E12" s="425">
        <f>E11</f>
        <v>1250</v>
      </c>
      <c r="F12" s="276">
        <f t="shared" si="8"/>
        <v>1</v>
      </c>
      <c r="G12" s="374">
        <f t="shared" si="1"/>
        <v>1250</v>
      </c>
      <c r="H12" s="375">
        <f t="shared" si="5"/>
        <v>850</v>
      </c>
      <c r="I12" s="376">
        <f t="shared" si="5"/>
        <v>250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11550.4375</v>
      </c>
      <c r="O12" s="60">
        <f t="shared" si="3"/>
        <v>16500.625</v>
      </c>
      <c r="P12" s="60">
        <f t="shared" si="7"/>
        <v>5836.1607142857138</v>
      </c>
      <c r="Q12" s="3">
        <f t="shared" si="4"/>
        <v>5840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982.75</v>
      </c>
      <c r="D13" s="372">
        <f t="shared" si="0"/>
        <v>7616.3125</v>
      </c>
      <c r="E13" s="373">
        <v>1050</v>
      </c>
      <c r="F13" s="276">
        <f t="shared" si="8"/>
        <v>1</v>
      </c>
      <c r="G13" s="374">
        <f t="shared" si="1"/>
        <v>1050</v>
      </c>
      <c r="H13" s="375">
        <f>H9</f>
        <v>850</v>
      </c>
      <c r="I13" s="376">
        <f>I9</f>
        <v>250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9876.3125</v>
      </c>
      <c r="O13" s="60">
        <f t="shared" si="3"/>
        <v>14109.017857142859</v>
      </c>
      <c r="P13" s="60">
        <f t="shared" si="7"/>
        <v>3444.5535714285725</v>
      </c>
      <c r="Q13" s="3">
        <f t="shared" si="4"/>
        <v>3450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982.75</v>
      </c>
      <c r="D14" s="372">
        <f t="shared" si="0"/>
        <v>9827.5</v>
      </c>
      <c r="E14" s="373">
        <v>1675</v>
      </c>
      <c r="F14" s="276">
        <f t="shared" si="8"/>
        <v>1</v>
      </c>
      <c r="G14" s="374">
        <f t="shared" si="1"/>
        <v>1675</v>
      </c>
      <c r="H14" s="375">
        <f t="shared" ref="H14:J15" si="9">H13</f>
        <v>850</v>
      </c>
      <c r="I14" s="376">
        <f t="shared" si="9"/>
        <v>250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12712.5</v>
      </c>
      <c r="O14" s="60">
        <f t="shared" si="3"/>
        <v>18160.714285714286</v>
      </c>
      <c r="P14" s="60">
        <f t="shared" si="7"/>
        <v>7496.25</v>
      </c>
      <c r="Q14" s="3">
        <f t="shared" si="4"/>
        <v>7500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982.75</v>
      </c>
      <c r="D15" s="372">
        <f t="shared" si="0"/>
        <v>16706.75</v>
      </c>
      <c r="E15" s="373">
        <v>1050</v>
      </c>
      <c r="F15" s="276">
        <f t="shared" si="8"/>
        <v>1</v>
      </c>
      <c r="G15" s="374">
        <f t="shared" si="1"/>
        <v>1050</v>
      </c>
      <c r="H15" s="375">
        <f t="shared" si="9"/>
        <v>850</v>
      </c>
      <c r="I15" s="376">
        <f t="shared" si="9"/>
        <v>250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18966.75</v>
      </c>
      <c r="O15" s="60">
        <f t="shared" si="3"/>
        <v>27095.357142857145</v>
      </c>
      <c r="P15" s="60">
        <f t="shared" si="7"/>
        <v>16430.892857142859</v>
      </c>
      <c r="Q15" s="3">
        <f t="shared" si="4"/>
        <v>16440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982.75</v>
      </c>
      <c r="D16" s="372">
        <f t="shared" si="0"/>
        <v>22603.25</v>
      </c>
      <c r="E16" s="373">
        <v>1150</v>
      </c>
      <c r="F16" s="276">
        <f>F12</f>
        <v>1</v>
      </c>
      <c r="G16" s="374">
        <f t="shared" si="1"/>
        <v>1150</v>
      </c>
      <c r="H16" s="375">
        <f>H12</f>
        <v>850</v>
      </c>
      <c r="I16" s="376">
        <f>I12</f>
        <v>250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24963.25</v>
      </c>
      <c r="O16" s="60">
        <f t="shared" si="3"/>
        <v>35661.785714285717</v>
      </c>
      <c r="P16" s="60">
        <f t="shared" si="7"/>
        <v>24997.321428571431</v>
      </c>
      <c r="Q16" s="3">
        <f t="shared" si="4"/>
        <v>25000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982.75</v>
      </c>
      <c r="D17" s="372">
        <f t="shared" si="0"/>
        <v>17198.125</v>
      </c>
      <c r="E17" s="373">
        <v>1150</v>
      </c>
      <c r="F17" s="276">
        <f>F16</f>
        <v>1</v>
      </c>
      <c r="G17" s="374">
        <f t="shared" si="1"/>
        <v>1150</v>
      </c>
      <c r="H17" s="375">
        <f t="shared" ref="H17:J18" si="10">H16</f>
        <v>850</v>
      </c>
      <c r="I17" s="376">
        <f t="shared" si="10"/>
        <v>250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19558.125</v>
      </c>
      <c r="O17" s="60">
        <f t="shared" si="3"/>
        <v>27940.178571428572</v>
      </c>
      <c r="P17" s="60">
        <f t="shared" si="7"/>
        <v>17275.714285714286</v>
      </c>
      <c r="Q17" s="3">
        <f t="shared" si="4"/>
        <v>17280</v>
      </c>
      <c r="R17" t="s">
        <v>1115</v>
      </c>
    </row>
    <row r="18" spans="1:18">
      <c r="A18" s="110"/>
      <c r="B18" s="67">
        <v>0</v>
      </c>
      <c r="C18" s="119">
        <f t="shared" ref="C18" si="11">C17</f>
        <v>982.75</v>
      </c>
      <c r="D18" s="372">
        <f t="shared" si="0"/>
        <v>0</v>
      </c>
      <c r="E18" s="373">
        <v>1150</v>
      </c>
      <c r="F18" s="276">
        <f>F17</f>
        <v>1</v>
      </c>
      <c r="G18" s="374">
        <f t="shared" si="1"/>
        <v>1150</v>
      </c>
      <c r="H18" s="375">
        <f t="shared" si="10"/>
        <v>850</v>
      </c>
      <c r="I18" s="376">
        <f t="shared" si="10"/>
        <v>250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2360</v>
      </c>
      <c r="O18" s="60">
        <f t="shared" si="3"/>
        <v>3371.4285714285716</v>
      </c>
      <c r="P18" s="60">
        <f t="shared" si="7"/>
        <v>-7293.0357142857147</v>
      </c>
      <c r="Q18" s="3">
        <f t="shared" si="4"/>
        <v>-7290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15</v>
      </c>
      <c r="D22" s="30">
        <f t="shared" si="12"/>
        <v>300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982.75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1</v>
      </c>
      <c r="D25" s="30">
        <f>B25*C25</f>
        <v>250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3</v>
      </c>
      <c r="D27" s="380"/>
      <c r="E27" s="386">
        <f>'NEW POOL'!E13</f>
        <v>18690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3</v>
      </c>
      <c r="D28" s="384">
        <f>B28*C28</f>
        <v>1470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982.75</v>
      </c>
      <c r="D31" s="400">
        <f>B31*C31</f>
        <v>1916.3625</v>
      </c>
      <c r="E31" s="396">
        <f>(('NEW POOL'!B7*(('NEW POOL'!B9+'NEW POOL'!B10)/2)))+'NEW POOL'!B8</f>
        <v>982.75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96.6</v>
      </c>
      <c r="D32" s="400">
        <f>B32*C32</f>
        <v>188.36999999999998</v>
      </c>
      <c r="E32" s="397">
        <f>(('NEW POOL'!B14*'NEW POOL'!B15)+((('NEW POOL'!B14*2)+('NEW POOL'!B15*2))*1.7))</f>
        <v>96.6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1</v>
      </c>
      <c r="D33" s="402">
        <f>B33*C33</f>
        <v>300</v>
      </c>
    </row>
    <row r="34" spans="1:4" ht="15" thickBot="1">
      <c r="A34" s="126"/>
      <c r="B34" s="353"/>
      <c r="C34" s="401"/>
      <c r="D34" s="143">
        <f>SUM(D31:D33)</f>
        <v>2404.7325000000001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03"/>
      <c r="C3" s="504"/>
      <c r="D3" s="504"/>
      <c r="E3" s="505"/>
    </row>
    <row r="4" spans="1:11" ht="15" thickBot="1">
      <c r="A4" s="165" t="s">
        <v>670</v>
      </c>
      <c r="B4" s="503"/>
      <c r="C4" s="504"/>
      <c r="D4" s="504"/>
      <c r="E4" s="505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0" t="s">
        <v>991</v>
      </c>
      <c r="B22" s="491"/>
      <c r="C22" s="491"/>
      <c r="D22" s="492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0" t="s">
        <v>785</v>
      </c>
      <c r="B28" s="491"/>
      <c r="C28" s="491"/>
      <c r="D28" s="492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493" t="str">
        <f>'TILE COPING'!F32</f>
        <v>Silver, Silver Vogue, River Silver, Bianco Dolomite, Dianna Royal, Skyline, Alaska Silver, Turkish Carrea</v>
      </c>
      <c r="F51" s="493"/>
      <c r="G51" s="493"/>
      <c r="H51" s="493"/>
      <c r="I51" s="493"/>
    </row>
    <row r="52" spans="1:11" ht="15.6" customHeight="1" thickBot="1">
      <c r="A52" s="99" t="s">
        <v>825</v>
      </c>
      <c r="B52" s="118">
        <v>0</v>
      </c>
      <c r="C52" t="s">
        <v>592</v>
      </c>
      <c r="E52" s="493" t="str">
        <f>'TILE COPING'!F33</f>
        <v>Silver, Silver Vogue, River Silver, Bianco Dolomite, Dianna Royal, Skyline, Alaska Silver, Turkish Carrea</v>
      </c>
      <c r="F52" s="493"/>
      <c r="G52" s="493"/>
      <c r="H52" s="493"/>
      <c r="I52" s="493"/>
      <c r="J52" s="493"/>
      <c r="K52" s="49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0" t="s">
        <v>841</v>
      </c>
      <c r="B59" s="491"/>
      <c r="C59" s="491"/>
      <c r="D59" s="492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0" t="s">
        <v>686</v>
      </c>
      <c r="B66" s="491"/>
      <c r="C66" s="491"/>
      <c r="D66" s="492"/>
    </row>
    <row r="67" spans="1:8" ht="15" thickBot="1">
      <c r="B67" s="152"/>
    </row>
    <row r="68" spans="1:8" ht="18" thickBot="1">
      <c r="A68" s="490" t="s">
        <v>689</v>
      </c>
      <c r="B68" s="491"/>
      <c r="C68" s="491"/>
      <c r="D68" s="492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7">
        <f>(VLOOKUP(A70,EQUIP!$M$14:$S$20,6,FALSE))</f>
        <v>0</v>
      </c>
      <c r="D70" s="499"/>
    </row>
    <row r="71" spans="1:8" ht="15" thickBot="1">
      <c r="A71" s="212" t="s">
        <v>50</v>
      </c>
      <c r="B71" s="194">
        <f>IF(C71&gt;0,1,0)</f>
        <v>0</v>
      </c>
      <c r="C71" s="497">
        <f>(VLOOKUP(A71,EQUIP!$M$14:$S$20,6,FALSE))</f>
        <v>0</v>
      </c>
      <c r="D71" s="499"/>
    </row>
    <row r="72" spans="1:8" ht="15" thickBot="1">
      <c r="A72" s="212" t="s">
        <v>50</v>
      </c>
      <c r="B72" s="225">
        <f>IF(C72&gt;0,1,0)</f>
        <v>0</v>
      </c>
      <c r="C72" s="497">
        <f>(VLOOKUP(A72,EQUIP!$M$14:$S$20,6,FALSE))</f>
        <v>0</v>
      </c>
      <c r="D72" s="499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7">
        <f>(VLOOKUP(A74,EQUIP!M22:S28,6,FALSE))</f>
        <v>0</v>
      </c>
      <c r="D74" s="499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516">
        <f>VLOOKUP(A76,EQUIP!M31:S33,7,FALSE)</f>
        <v>0</v>
      </c>
      <c r="D76" s="497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516">
        <f>VLOOKUP(A78,EQUIP!M36:S39,6,FALSE)</f>
        <v>0</v>
      </c>
      <c r="D78" s="497"/>
      <c r="E78" s="494" t="str">
        <f>IF(A78="Jandy 260K BTU - JXI Heater", "CANNOT BE USED TO HEAT A SPA","")</f>
        <v/>
      </c>
      <c r="F78" s="495"/>
      <c r="G78" s="495"/>
      <c r="H78" s="495"/>
    </row>
    <row r="79" spans="1:8" ht="15" thickBot="1">
      <c r="A79" s="432" t="s">
        <v>933</v>
      </c>
      <c r="B79" s="194">
        <v>0</v>
      </c>
      <c r="C79" s="516">
        <f>B79*EQUIP!R39</f>
        <v>0</v>
      </c>
      <c r="D79" s="497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7" t="e">
        <f>(VLOOKUP(A81,EQUIP!M42:R46,6,FALSE))*B81</f>
        <v>#N/A</v>
      </c>
      <c r="D81" s="499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7">
        <f>VLOOKUP(A83,EQUIP!M49:S57,6,FALSE)</f>
        <v>0</v>
      </c>
      <c r="D83" s="499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7">
        <f>VLOOKUP(A84,EQUIP!M49:S57,6,FALSE)</f>
        <v>0</v>
      </c>
      <c r="D84" s="499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7">
        <f>VLOOKUP(A85,EQUIP!M49:S57,6,FALSE)</f>
        <v>0</v>
      </c>
      <c r="D85" s="499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515">
        <f>VLOOKUP(A87,EQUIP!M63:S72,7,FALSE)*1.2</f>
        <v>0</v>
      </c>
      <c r="D87" s="497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516">
        <f>VLOOKUP(A89,EQUIP!M105:S107,7,FALSE)+(ELEC!E15)</f>
        <v>0</v>
      </c>
      <c r="D89" s="497"/>
    </row>
    <row r="90" spans="1:8" ht="15" hidden="1" thickBot="1">
      <c r="A90" s="117" t="s">
        <v>867</v>
      </c>
      <c r="B90" s="194">
        <v>0</v>
      </c>
      <c r="C90" s="517" t="s">
        <v>468</v>
      </c>
      <c r="D90" s="518"/>
    </row>
    <row r="91" spans="1:8" ht="15" thickBot="1">
      <c r="B91" s="152"/>
    </row>
    <row r="92" spans="1:8" ht="18" thickBot="1">
      <c r="A92" s="490" t="s">
        <v>713</v>
      </c>
      <c r="B92" s="491"/>
      <c r="C92" s="491"/>
      <c r="D92" s="492"/>
    </row>
    <row r="93" spans="1:8" ht="15" thickBot="1">
      <c r="B93" s="152"/>
    </row>
    <row r="94" spans="1:8" ht="15" thickBot="1">
      <c r="A94" s="212" t="str">
        <f>CUSTOM!A3</f>
        <v>16x16</v>
      </c>
      <c r="B94" s="194">
        <f>IF(C94&gt;0,1,0)</f>
        <v>1</v>
      </c>
      <c r="C94" s="497">
        <f>CUSTOM!G3</f>
        <v>1052.2285714285715</v>
      </c>
      <c r="D94" s="499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turf and travertine in lay</v>
      </c>
      <c r="B96" s="194">
        <f>IF(C96&gt;0,1,0)</f>
        <v>1</v>
      </c>
      <c r="C96" s="497">
        <f>CUSTOM!G5</f>
        <v>8914.2857142857156</v>
      </c>
      <c r="D96" s="499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No Custom Feature</v>
      </c>
      <c r="B98" s="194">
        <f>IF(C98&gt;0,1,0)</f>
        <v>0</v>
      </c>
      <c r="C98" s="497">
        <f>CUSTOM!G7</f>
        <v>0</v>
      </c>
      <c r="D98" s="499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No Custom Feature</v>
      </c>
      <c r="B100" s="194">
        <f>IF(C100&gt;0,1,0)</f>
        <v>0</v>
      </c>
      <c r="C100" s="497">
        <f>CUSTOM!G9</f>
        <v>0</v>
      </c>
      <c r="D100" s="499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No Custom Feature</v>
      </c>
      <c r="B102" s="194">
        <f>IF(C102&gt;0,1,0)</f>
        <v>0</v>
      </c>
      <c r="C102" s="497">
        <f>CUSTOM!G11</f>
        <v>0</v>
      </c>
      <c r="D102" s="499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7">
        <f>CUSTOM!G13</f>
        <v>0</v>
      </c>
      <c r="D104" s="499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7">
        <f>CUSTOM!G15</f>
        <v>0</v>
      </c>
      <c r="D106" s="499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7">
        <f>CUSTOM!G17</f>
        <v>0</v>
      </c>
      <c r="D108" s="499"/>
      <c r="E108" t="s">
        <v>783</v>
      </c>
    </row>
    <row r="109" spans="1:5" ht="15" thickBot="1">
      <c r="B109" s="152"/>
    </row>
    <row r="110" spans="1:5" ht="18" thickBot="1">
      <c r="A110" s="490" t="s">
        <v>658</v>
      </c>
      <c r="B110" s="491"/>
      <c r="C110" s="491"/>
      <c r="D110" s="492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0" t="s">
        <v>572</v>
      </c>
      <c r="B114" s="491"/>
      <c r="C114" s="491"/>
      <c r="D114" s="492"/>
    </row>
    <row r="115" spans="1:15" ht="15" thickBot="1"/>
    <row r="116" spans="1:15" ht="15.75" customHeight="1" thickBot="1">
      <c r="A116" s="347" t="s">
        <v>912</v>
      </c>
      <c r="B116" s="194">
        <v>1</v>
      </c>
      <c r="E116" s="498" t="str">
        <f>VLOOKUP(A116,INT!A6:R18,18,FALSE)</f>
        <v>Ivory / Blue / French Grey / Super Blue / Mariner Blue / Tropical Blue / Sky Blue</v>
      </c>
      <c r="F116" s="498"/>
      <c r="G116" s="498"/>
      <c r="H116" s="498"/>
      <c r="I116" s="498"/>
      <c r="J116" s="498"/>
      <c r="K116" s="498"/>
      <c r="L116" s="498"/>
      <c r="M116" s="498"/>
      <c r="N116" s="498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7">
        <f>'COST - NEW'!E299</f>
        <v>1155</v>
      </c>
      <c r="D118" s="499"/>
      <c r="E118" s="521" t="s">
        <v>914</v>
      </c>
      <c r="F118" s="521"/>
      <c r="G118" s="521"/>
      <c r="H118" s="521"/>
      <c r="I118" s="521"/>
      <c r="J118" s="521"/>
      <c r="K118" s="521"/>
      <c r="L118" s="521"/>
      <c r="M118" s="521"/>
      <c r="N118" s="521"/>
      <c r="O118" s="521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19" t="s">
        <v>637</v>
      </c>
      <c r="B122" s="520"/>
      <c r="C122" s="531">
        <f>'COST - REMODEL'!D337</f>
        <v>48111.687484285714</v>
      </c>
      <c r="D122" s="532"/>
    </row>
    <row r="123" spans="1:15" ht="15" thickBot="1"/>
    <row r="124" spans="1:15" ht="18.899999999999999" customHeight="1" thickBot="1">
      <c r="A124" s="529"/>
      <c r="B124" s="530"/>
      <c r="C124" s="527">
        <v>0</v>
      </c>
      <c r="D124" s="528"/>
    </row>
    <row r="125" spans="1:15" ht="15" thickBot="1"/>
    <row r="126" spans="1:15" ht="18.899999999999999" customHeight="1" thickBot="1">
      <c r="A126" s="529"/>
      <c r="B126" s="530"/>
      <c r="C126" s="527">
        <v>0</v>
      </c>
      <c r="D126" s="528"/>
    </row>
    <row r="127" spans="1:15" ht="15" thickBot="1"/>
    <row r="128" spans="1:15" ht="18.899999999999999" customHeight="1" thickBot="1">
      <c r="A128" s="529"/>
      <c r="B128" s="530"/>
      <c r="C128" s="527">
        <v>0</v>
      </c>
      <c r="D128" s="528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2.1750000000000007</v>
      </c>
      <c r="C130" s="525">
        <f>SUM(C122:D129)</f>
        <v>48111.687484285714</v>
      </c>
      <c r="D130" s="526"/>
    </row>
  </sheetData>
  <mergeCells count="48">
    <mergeCell ref="A1:H1"/>
    <mergeCell ref="B3:E3"/>
    <mergeCell ref="B4:E4"/>
    <mergeCell ref="A28:D28"/>
    <mergeCell ref="E51:I51"/>
    <mergeCell ref="A22:D22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150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982.75</v>
      </c>
      <c r="D27" s="2">
        <f>DEMO!E5</f>
        <v>3439.625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3439.625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541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0</v>
      </c>
      <c r="D38" s="2">
        <f>EXC!D21</f>
        <v>0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0</v>
      </c>
      <c r="D43" s="2">
        <f>EXC!D26</f>
        <v>0</v>
      </c>
    </row>
    <row r="44" spans="1:4">
      <c r="A44" t="str">
        <f>EXC!A27</f>
        <v>Base Spa:</v>
      </c>
      <c r="B44" s="1">
        <f>EXC!B27</f>
        <v>200</v>
      </c>
      <c r="C44" s="5">
        <f>EXC!C27</f>
        <v>1</v>
      </c>
      <c r="D44" s="1">
        <f>EXC!D27</f>
        <v>200</v>
      </c>
    </row>
    <row r="45" spans="1:4">
      <c r="A45" t="str">
        <f>EXC!A28</f>
        <v>Raise Spa:</v>
      </c>
      <c r="B45" s="1">
        <f>EXC!B28</f>
        <v>350</v>
      </c>
      <c r="C45" s="5">
        <f>EXC!C28</f>
        <v>1</v>
      </c>
      <c r="D45" s="1">
        <f>EXC!D28</f>
        <v>350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1487.75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164</v>
      </c>
      <c r="D49" s="1">
        <f>ROUNDUP(EXC!D32,0)</f>
        <v>2941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1</v>
      </c>
      <c r="D58" s="2">
        <f>PLUM!D5</f>
        <v>750</v>
      </c>
    </row>
    <row r="59" spans="1:5">
      <c r="A59" t="s">
        <v>872</v>
      </c>
      <c r="B59" s="2">
        <f>PLUM!B8</f>
        <v>25</v>
      </c>
      <c r="C59" s="4">
        <f>PLUM!C8</f>
        <v>93</v>
      </c>
      <c r="D59" s="24">
        <f>PLUM!D8</f>
        <v>2325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274</v>
      </c>
      <c r="D65" s="2">
        <f>PLUM!D14</f>
        <v>1507</v>
      </c>
    </row>
    <row r="66" spans="1:4">
      <c r="A66" t="str">
        <f>PLUM!A15</f>
        <v>2.5"</v>
      </c>
      <c r="B66" s="2">
        <f>PLUM!B15</f>
        <v>7</v>
      </c>
      <c r="C66" s="4">
        <f>PLUM!C15</f>
        <v>74</v>
      </c>
      <c r="D66" s="2">
        <f>PLUM!D15</f>
        <v>518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292</v>
      </c>
      <c r="D72" s="2">
        <f>PLUM!D26</f>
        <v>803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1</v>
      </c>
      <c r="D78" s="129">
        <f>B78*C78</f>
        <v>1500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11</v>
      </c>
      <c r="D79" s="129">
        <f>PLUM!D34</f>
        <v>121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1621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93</v>
      </c>
      <c r="D84" s="2">
        <f>STEEL!D4</f>
        <v>2325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93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1</v>
      </c>
      <c r="D88" s="2">
        <f>STEEL!D8</f>
        <v>450</v>
      </c>
    </row>
    <row r="89" spans="1:4">
      <c r="A89" t="s">
        <v>490</v>
      </c>
      <c r="B89" s="2">
        <f>STEEL!B9</f>
        <v>150</v>
      </c>
      <c r="C89" s="423">
        <f>STEEL!C9</f>
        <v>1</v>
      </c>
      <c r="D89" s="2">
        <f>STEEL!D9</f>
        <v>150</v>
      </c>
    </row>
    <row r="90" spans="1:4">
      <c r="A90" t="str">
        <f>STEEL!A10</f>
        <v>Bench:</v>
      </c>
      <c r="B90" s="2">
        <f>STEEL!B10</f>
        <v>8</v>
      </c>
      <c r="C90" s="4">
        <f>STEEL!C10</f>
        <v>35</v>
      </c>
      <c r="D90" s="2">
        <f>STEEL!D10</f>
        <v>280</v>
      </c>
    </row>
    <row r="91" spans="1:4">
      <c r="A91" t="str">
        <f>STEEL!A11</f>
        <v>6" RBB:</v>
      </c>
      <c r="B91" s="2">
        <f>STEEL!B11</f>
        <v>3</v>
      </c>
      <c r="C91" s="4">
        <f>STEEL!C11</f>
        <v>0</v>
      </c>
      <c r="D91" s="2">
        <f>STEEL!D11</f>
        <v>0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0</v>
      </c>
      <c r="D96" s="2">
        <f>STEEL!D16</f>
        <v>0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3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1</v>
      </c>
      <c r="D102" s="2">
        <f>STEEL!D22</f>
        <v>275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1</v>
      </c>
      <c r="D103" s="2">
        <f>STEEL!D24</f>
        <v>75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20</v>
      </c>
      <c r="D112" s="2">
        <f>ELEC!D5</f>
        <v>360</v>
      </c>
    </row>
    <row r="113" spans="1:5">
      <c r="A113" t="str">
        <f>ELEC!A6</f>
        <v>Lights:</v>
      </c>
      <c r="B113" s="2">
        <f>ELEC!B6</f>
        <v>100</v>
      </c>
      <c r="C113" s="4">
        <f>ELEC!C6</f>
        <v>2</v>
      </c>
      <c r="D113" s="2">
        <f>ELEC!D6</f>
        <v>200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1</v>
      </c>
      <c r="D114" s="2">
        <f>ELEC!D7</f>
        <v>255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15</v>
      </c>
      <c r="D128" s="2">
        <f>SHOT!D5</f>
        <v>1350</v>
      </c>
    </row>
    <row r="129" spans="1:4">
      <c r="A129" t="str">
        <f>SHOT!A6</f>
        <v>Spa:</v>
      </c>
      <c r="B129" s="2">
        <f>SHOT!B6</f>
        <v>250</v>
      </c>
      <c r="C129" s="4">
        <f>SHOT!C6</f>
        <v>1</v>
      </c>
      <c r="D129" s="2">
        <f>SHOT!D6</f>
        <v>250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4480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47</v>
      </c>
      <c r="D137" s="2">
        <f>SHOT!D15</f>
        <v>10716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47</v>
      </c>
      <c r="D140" s="2">
        <f>SHOT!D18</f>
        <v>1175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303.52500000000003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576.69749999999999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13021.2225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4480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13021.2225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1087.5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1087.5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47</v>
      </c>
      <c r="D215" s="2">
        <f>'TILE COPING'!D48</f>
        <v>587.5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28</v>
      </c>
      <c r="D217" s="2">
        <f>'TILE COPING'!D50</f>
        <v>224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1</v>
      </c>
      <c r="D218" s="2">
        <f>'TILE COPING'!D51</f>
        <v>150</v>
      </c>
    </row>
    <row r="219" spans="1:4">
      <c r="A219" t="s">
        <v>549</v>
      </c>
      <c r="C219"/>
      <c r="D219" s="30">
        <f>SUM(D215:D218)</f>
        <v>961.5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54.05</v>
      </c>
      <c r="D221" s="2">
        <f>'TILE COPING'!D54</f>
        <v>702.65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29.400000000000002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1</v>
      </c>
      <c r="D224" s="2">
        <f>'TILE COPING'!D57</f>
        <v>150</v>
      </c>
    </row>
    <row r="225" spans="1:4">
      <c r="A225" t="s">
        <v>549</v>
      </c>
      <c r="C225"/>
      <c r="D225" s="30">
        <f>SUM(D221:D224)</f>
        <v>852.65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961.5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852.65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1814.15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6 Watt - Jandy Nicheless LED Spa light</v>
      </c>
      <c r="B244" s="220">
        <f>EQUIP!N122</f>
        <v>528</v>
      </c>
      <c r="C244" s="4">
        <f>EQUIP!O122</f>
        <v>1</v>
      </c>
      <c r="D244" s="220">
        <f t="shared" si="3"/>
        <v>528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iAqualink Only PS-4 (H.O. To Provide WiFi) Only use with Infinite Light System</v>
      </c>
      <c r="B248" s="220">
        <f>EQUIP!N127</f>
        <v>3025</v>
      </c>
      <c r="C248" s="4">
        <f>EQUIP!O127</f>
        <v>1</v>
      </c>
      <c r="D248" s="220">
        <f>EQUIP!P127</f>
        <v>3025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No Wok Pot</v>
      </c>
      <c r="B251" s="220">
        <f>EQUIP!N130</f>
        <v>0</v>
      </c>
      <c r="C251" s="4">
        <f>EQUIP!O130</f>
        <v>0</v>
      </c>
      <c r="D251" s="220">
        <f>EQUIP!P130</f>
        <v>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4840.1664000000001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5406</v>
      </c>
    </row>
    <row r="277" spans="1:4">
      <c r="A277" t="s">
        <v>476</v>
      </c>
      <c r="B277" s="2">
        <f>VLOOKUP(A276,INT!A6:G19,7,FALSE)</f>
        <v>850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2404.7325000000001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7910.7325000000001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1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16x16</v>
      </c>
      <c r="B324" s="2">
        <f>CUSTOM!E3</f>
        <v>736.56</v>
      </c>
      <c r="C324" s="5">
        <f t="shared" ref="C324:C331" si="7">IF(B324&gt;0,1,0)</f>
        <v>1</v>
      </c>
      <c r="D324" s="2">
        <f t="shared" ref="D324:D331" si="8">B324*C324</f>
        <v>736.56</v>
      </c>
    </row>
    <row r="325" spans="1:9">
      <c r="A325" t="str">
        <f>CUSTOM!A5</f>
        <v>turf and travertine in lay</v>
      </c>
      <c r="B325" s="2">
        <f>CUSTOM!E5</f>
        <v>6240</v>
      </c>
      <c r="C325" s="5">
        <f t="shared" si="7"/>
        <v>1</v>
      </c>
      <c r="D325" s="2">
        <f t="shared" si="8"/>
        <v>6240</v>
      </c>
    </row>
    <row r="326" spans="1:9">
      <c r="A326" t="str">
        <f>CUSTOM!A7</f>
        <v>No Custom Feature</v>
      </c>
      <c r="B326" s="2">
        <f>CUSTOM!E7</f>
        <v>0</v>
      </c>
      <c r="C326" s="5">
        <f t="shared" si="7"/>
        <v>0</v>
      </c>
      <c r="D326" s="2">
        <f t="shared" si="8"/>
        <v>0</v>
      </c>
    </row>
    <row r="327" spans="1:9">
      <c r="A327" t="str">
        <f>CUSTOM!A9</f>
        <v>No Custom Feature</v>
      </c>
      <c r="B327" s="2">
        <f>CUSTOM!E9</f>
        <v>0</v>
      </c>
      <c r="C327" s="5">
        <f t="shared" si="7"/>
        <v>0</v>
      </c>
      <c r="D327" s="2">
        <f t="shared" si="8"/>
        <v>0</v>
      </c>
    </row>
    <row r="328" spans="1:9">
      <c r="A328" t="str">
        <f>CUSTOM!A11</f>
        <v>No Custom Feature</v>
      </c>
      <c r="B328" s="2">
        <f>CUSTOM!E11</f>
        <v>0</v>
      </c>
      <c r="C328" s="5">
        <f t="shared" si="7"/>
        <v>0</v>
      </c>
      <c r="D328" s="2">
        <f t="shared" si="8"/>
        <v>0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6976.5599999999995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33678.181238999998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48111.687484285714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-33678.181238999998</v>
      </c>
      <c r="E339" s="4"/>
    </row>
    <row r="340" spans="1:9" ht="15" thickBot="1">
      <c r="A340" t="s">
        <v>671</v>
      </c>
      <c r="D340" s="1">
        <f>-D337*0.0275</f>
        <v>-1323.0714058178571</v>
      </c>
      <c r="E340" s="179">
        <v>2.75E-2</v>
      </c>
    </row>
    <row r="341" spans="1:9" ht="15" thickBot="1">
      <c r="A341" t="s">
        <v>672</v>
      </c>
      <c r="D341" s="1">
        <f>-D337*0.0275</f>
        <v>-1323.0714058178571</v>
      </c>
      <c r="E341" s="4"/>
    </row>
    <row r="342" spans="1:9" ht="15" thickBot="1">
      <c r="A342" t="s">
        <v>673</v>
      </c>
      <c r="D342" s="2">
        <f>-D337*E342</f>
        <v>-1323.0714058178571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10464.292027832147</v>
      </c>
      <c r="E344" s="192">
        <f>D344/D337</f>
        <v>0.21750000000000008</v>
      </c>
    </row>
  </sheetData>
  <mergeCells count="22"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Ashley Drennen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150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3439.625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1621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961.5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852.65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1087.5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4840.1664000000001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7910.7325000000001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16x16</v>
      </c>
      <c r="B49" s="156"/>
      <c r="C49" s="157"/>
      <c r="D49" s="360">
        <f>'COST - NEW'!D333</f>
        <v>736.56</v>
      </c>
    </row>
    <row r="50" spans="1:4" ht="15" thickBot="1"/>
    <row r="51" spans="1:4" ht="15" thickBot="1">
      <c r="A51" s="155" t="str">
        <f>CUSTOM!A5</f>
        <v>turf and travertine in lay</v>
      </c>
      <c r="B51" s="156"/>
      <c r="C51" s="157"/>
      <c r="D51" s="360">
        <f>'COST - NEW'!D334</f>
        <v>6240</v>
      </c>
    </row>
    <row r="52" spans="1:4" ht="15" thickBot="1"/>
    <row r="53" spans="1:4" ht="15" thickBot="1">
      <c r="A53" s="155" t="str">
        <f>CUSTOM!A7</f>
        <v>No Custom Feature</v>
      </c>
      <c r="B53" s="156"/>
      <c r="C53" s="157"/>
      <c r="D53" s="360">
        <f>'COST - NEW'!D335</f>
        <v>0</v>
      </c>
    </row>
    <row r="54" spans="1:4" ht="15" thickBot="1"/>
    <row r="55" spans="1:4" ht="15" thickBot="1">
      <c r="A55" s="155" t="str">
        <f>CUSTOM!A9</f>
        <v>No Custom Feature</v>
      </c>
      <c r="B55" s="156"/>
      <c r="C55" s="157"/>
      <c r="D55" s="360">
        <f>'COST - NEW'!D336</f>
        <v>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No Custom Feature</v>
      </c>
      <c r="B57" s="156"/>
      <c r="C57" s="157"/>
      <c r="D57" s="360">
        <f>'COST - NEW'!D337</f>
        <v>0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33344.733900000007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U47" sqref="U47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14739.25</v>
      </c>
      <c r="Q2" s="229">
        <f>((S111*(1+R2)))</f>
        <v>21335.800000000003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255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19">P66</f>
        <v>0</v>
      </c>
      <c r="Q67" s="221"/>
      <c r="R67" s="44">
        <f t="shared" ref="R66:R72" si="20">($N$61+N67+O67+P67+Q67)</f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19"/>
        <v>0</v>
      </c>
      <c r="Q68" s="221"/>
      <c r="R68" s="44">
        <f t="shared" si="20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20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19"/>
        <v>35</v>
      </c>
      <c r="Q71" s="221"/>
      <c r="R71" s="44">
        <f t="shared" si="20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19"/>
        <v>35</v>
      </c>
      <c r="Q72" s="221"/>
      <c r="R72" s="44">
        <f t="shared" si="20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13775</v>
      </c>
      <c r="S111" s="231">
        <f>CEILING(S138,10)</f>
        <v>19940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2.7HP Variable Pump</v>
      </c>
      <c r="N114" s="232">
        <f>VLOOKUP(M114,M14:S19,5,FALSE)</f>
        <v>2174.15</v>
      </c>
      <c r="O114" s="233">
        <f>'NEW POOL'!B113</f>
        <v>1</v>
      </c>
      <c r="P114" s="111">
        <f t="shared" ref="P114:P130" si="33">N114*O114</f>
        <v>2174.15</v>
      </c>
      <c r="Q114" s="232">
        <f>VLOOKUP(M114,M14:S19,7,FALSE)</f>
        <v>3110</v>
      </c>
      <c r="R114" s="35">
        <f t="shared" ref="R114:R131" si="34">O114</f>
        <v>1</v>
      </c>
      <c r="S114" s="239">
        <f t="shared" ref="S114:S133" si="35">Q114*R114</f>
        <v>3110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6 Watt - Jandy Nicheless LED Spa light</v>
      </c>
      <c r="N122" s="236">
        <f>VLOOKUP(M122,M42:S43,2,FALSE)</f>
        <v>528</v>
      </c>
      <c r="O122" s="238">
        <f>'NEW POOL'!B125</f>
        <v>1</v>
      </c>
      <c r="P122" s="240">
        <f t="shared" si="33"/>
        <v>528</v>
      </c>
      <c r="Q122" s="236">
        <f>VLOOKUP(M122,M42:S43,7,FALSE)</f>
        <v>755</v>
      </c>
      <c r="R122" s="241">
        <f t="shared" si="34"/>
        <v>1</v>
      </c>
      <c r="S122" s="242">
        <f t="shared" si="35"/>
        <v>755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Salt/mineral System - Fusion Soft</v>
      </c>
      <c r="N124" s="236">
        <f>VLOOKUP(M124,M49:S57,2,FALSE)</f>
        <v>1000</v>
      </c>
      <c r="O124" s="238">
        <f>'NEW POOL'!B127</f>
        <v>1</v>
      </c>
      <c r="P124" s="240">
        <f t="shared" si="33"/>
        <v>1000</v>
      </c>
      <c r="Q124" s="236">
        <f>VLOOKUP(M124,M49:S57,7,FALSE)</f>
        <v>1430</v>
      </c>
      <c r="R124" s="241">
        <f t="shared" si="34"/>
        <v>1</v>
      </c>
      <c r="S124" s="242">
        <f t="shared" si="35"/>
        <v>1430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iAqualink Only PS-4 (H.O. To Provide WiFi) Only use with Infinite Light System</v>
      </c>
      <c r="N127" s="232">
        <f>VLOOKUP(M127,M63:S72,6,FALSE)</f>
        <v>3025</v>
      </c>
      <c r="O127" s="233">
        <f>'NEW POOL'!B131</f>
        <v>1</v>
      </c>
      <c r="P127" s="111">
        <f t="shared" si="33"/>
        <v>3025</v>
      </c>
      <c r="Q127" s="232">
        <f>VLOOKUP(M127,M63:S72,7,FALSE)</f>
        <v>4033.3333333333335</v>
      </c>
      <c r="R127" s="35">
        <f t="shared" si="34"/>
        <v>1</v>
      </c>
      <c r="S127" s="239">
        <f t="shared" si="35"/>
        <v>4033.3333333333335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No Wok Pot</v>
      </c>
      <c r="N130" s="236">
        <f>VLOOKUP(M130,M87:S96,6,FALSE)</f>
        <v>0</v>
      </c>
      <c r="O130" s="238">
        <f>'NEW POOL'!B141</f>
        <v>0</v>
      </c>
      <c r="P130" s="240">
        <f t="shared" si="33"/>
        <v>0</v>
      </c>
      <c r="Q130" s="236">
        <f>VLOOKUP(M130,M87:S96,7,FALSE)</f>
        <v>0</v>
      </c>
      <c r="R130" s="241">
        <f t="shared" si="34"/>
        <v>0</v>
      </c>
      <c r="S130" s="242">
        <f t="shared" si="35"/>
        <v>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65</v>
      </c>
      <c r="O135" s="415">
        <f>IF('NEW POOL'!B18=1,3,0)</f>
        <v>3</v>
      </c>
      <c r="P135" s="111">
        <f>N135*O135</f>
        <v>195</v>
      </c>
      <c r="Q135" s="232">
        <f>P135/0.7</f>
        <v>278.57142857142861</v>
      </c>
      <c r="R135" s="119">
        <f>O135</f>
        <v>3</v>
      </c>
      <c r="S135" s="239">
        <f>Q135*R135</f>
        <v>835.71428571428578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13775</v>
      </c>
      <c r="S136" s="334">
        <f>S111</f>
        <v>19940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13758.050000000001</v>
      </c>
      <c r="S138" s="60">
        <f>SUM(S113:S135)</f>
        <v>19932.476190476191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15732.571428571429</v>
      </c>
      <c r="O141" s="60">
        <f>N11+S17+S24+S45+S45</f>
        <v>7943</v>
      </c>
      <c r="P141" s="59">
        <f>IF(N141&gt;O141,N141-O141,0)</f>
        <v>7789.5714285714294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41</v>
      </c>
      <c r="D5" s="30">
        <f>B5*C5</f>
        <v>20.5</v>
      </c>
    </row>
    <row r="6" spans="1:10">
      <c r="A6" s="110" t="s">
        <v>476</v>
      </c>
      <c r="B6" s="67">
        <v>100</v>
      </c>
      <c r="C6" s="35">
        <f>EXC!C27</f>
        <v>1</v>
      </c>
      <c r="D6" s="137">
        <f>B6*C6</f>
        <v>100</v>
      </c>
    </row>
    <row r="7" spans="1:10">
      <c r="A7" s="110" t="s">
        <v>489</v>
      </c>
      <c r="B7" s="67">
        <v>2.5</v>
      </c>
      <c r="C7" s="119">
        <f>'NEW POOL'!B38</f>
        <v>0</v>
      </c>
      <c r="D7" s="30">
        <f>B7*C7</f>
        <v>0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820.5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28</v>
      </c>
      <c r="D13" s="30">
        <f>K13</f>
        <v>375</v>
      </c>
      <c r="F13" s="4">
        <f>IF('NEW POOL'!B104&gt;0,1,0)</f>
        <v>1</v>
      </c>
      <c r="G13" s="5">
        <f>'NEW POOL'!B104</f>
        <v>28</v>
      </c>
      <c r="H13" s="4">
        <f>IF(G13&lt;11,0,G13-$O$13)</f>
        <v>18</v>
      </c>
      <c r="I13" s="276">
        <f>F13*$M$13</f>
        <v>150</v>
      </c>
      <c r="J13" s="276">
        <f>H13*$M$14</f>
        <v>225</v>
      </c>
      <c r="K13" s="276">
        <f>I13+J13</f>
        <v>375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55</v>
      </c>
      <c r="D14" s="30">
        <f t="shared" ref="D14:D16" si="1">K14</f>
        <v>712.5</v>
      </c>
      <c r="F14" s="4">
        <f>IF('NEW POOL'!B105&gt;0,1,0)</f>
        <v>1</v>
      </c>
      <c r="G14" s="5">
        <f>'NEW POOL'!B105</f>
        <v>55</v>
      </c>
      <c r="H14" s="4">
        <f t="shared" ref="H14:H16" si="2">IF(G14&lt;11,0,G14-$O$13)</f>
        <v>45</v>
      </c>
      <c r="I14" s="276">
        <f t="shared" ref="I14:I16" si="3">F14*$M$13</f>
        <v>150</v>
      </c>
      <c r="J14" s="276">
        <f t="shared" ref="J14:J16" si="4">H14*$M$14</f>
        <v>562.5</v>
      </c>
      <c r="K14" s="276">
        <f t="shared" ref="K14:K16" si="5">I14+J14</f>
        <v>712.5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1087.5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2025-12-09T06:52:35Z</dcterms:modified>
</cp:coreProperties>
</file>