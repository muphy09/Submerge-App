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58a056af53f539/Customers/2025/Bishop^J David/"/>
    </mc:Choice>
  </mc:AlternateContent>
  <xr:revisionPtr revIDLastSave="3" documentId="8_{3F92185B-62F4-4F94-93D4-A6CEA95F3AA1}" xr6:coauthVersionLast="47" xr6:coauthVersionMax="47" xr10:uidLastSave="{423F1F39-E88C-4BD1-997A-BB82882340D0}"/>
  <bookViews>
    <workbookView xWindow="-16320" yWindow="-4815" windowWidth="16440" windowHeight="28320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" i="6" l="1"/>
  <c r="B125" i="6"/>
  <c r="D11" i="22" l="1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D293" i="7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A44" i="4" s="1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38" i="15" l="1"/>
  <c r="D15" i="18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D108" i="7" l="1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F16" i="13"/>
  <c r="F17" i="13" s="1"/>
  <c r="F18" i="13" s="1"/>
  <c r="G18" i="13" s="1"/>
  <c r="D109" i="7"/>
  <c r="D11" i="13"/>
  <c r="D31" i="18" l="1"/>
  <c r="I31" i="18" s="1"/>
  <c r="K31" i="18" s="1"/>
  <c r="M31" i="18" s="1"/>
  <c r="D31" i="17"/>
  <c r="F14" i="13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P138" i="2"/>
  <c r="P111" i="2" s="1"/>
  <c r="D43" i="8"/>
  <c r="D266" i="28" s="1"/>
  <c r="D39" i="29" s="1"/>
  <c r="C268" i="7"/>
  <c r="F260" i="7" l="1"/>
  <c r="D260" i="7" s="1"/>
  <c r="D261" i="7" s="1"/>
  <c r="D37" i="29"/>
  <c r="D65" i="29" s="1"/>
  <c r="D335" i="28"/>
  <c r="D268" i="7"/>
  <c r="D272" i="7" s="1"/>
  <c r="D47" i="8"/>
  <c r="P136" i="2"/>
  <c r="P2" i="2"/>
  <c r="D110" i="7"/>
  <c r="D121" i="7" s="1"/>
  <c r="D17" i="11"/>
  <c r="P37" i="2"/>
  <c r="D39" i="17" l="1"/>
  <c r="D37" i="18"/>
  <c r="I37" i="18" s="1"/>
  <c r="K37" i="18" s="1"/>
  <c r="M37" i="18" s="1"/>
  <c r="D344" i="7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<sst xmlns="http://schemas.openxmlformats.org/spreadsheetml/2006/main" count="1783" uniqueCount="1153">
  <si>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</si>
  <si>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</si>
  <si>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</si>
  <si>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</si>
  <si>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</si>
  <si>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</si>
  <si>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</si>
  <si>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</si>
  <si>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</si>
  <si>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</si>
  <si>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</si>
  <si>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</si>
  <si>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</si>
  <si>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</si>
  <si>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</si>
  <si>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</si>
  <si>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</si>
  <si>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</si>
  <si>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</si>
  <si>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</si>
  <si>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</si>
  <si>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</si>
  <si>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</si>
  <si>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</si>
  <si>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</si>
  <si>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</si>
  <si>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</si>
  <si>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</si>
  <si>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</si>
  <si>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</si>
  <si>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</si>
  <si>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</si>
  <si>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</si>
  <si>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</si>
  <si>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</si>
  <si>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</si>
  <si>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</si>
  <si>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</si>
  <si>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</si>
  <si>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</si>
  <si>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</si>
  <si>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</si>
  <si>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</si>
  <si>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</si>
  <si>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</si>
  <si>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</si>
  <si>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</si>
  <si>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</si>
  <si>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</si>
  <si>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</si>
  <si>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</si>
  <si>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</si>
  <si>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</si>
  <si>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</si>
  <si>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</si>
  <si>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</si>
  <si>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</si>
  <si>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</si>
  <si>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</si>
  <si>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</si>
  <si>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</si>
  <si>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</si>
  <si>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</si>
  <si>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</si>
  <si>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</si>
  <si>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</si>
  <si>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</si>
  <si>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</si>
  <si>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</si>
  <si>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</si>
  <si>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</si>
  <si>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</si>
  <si>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</si>
  <si>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</si>
  <si>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</si>
  <si>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</si>
  <si>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</si>
  <si>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</si>
  <si>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</si>
  <si>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</si>
  <si>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</si>
  <si>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</si>
  <si>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</si>
  <si>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</si>
  <si>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</si>
  <si>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</si>
  <si>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</si>
  <si>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</si>
  <si>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</si>
  <si>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</si>
  <si>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</si>
  <si>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</si>
  <si>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</si>
  <si>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</si>
  <si>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</si>
  <si>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</si>
  <si>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</si>
  <si>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</si>
  <si>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</si>
  <si>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</si>
  <si>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</si>
  <si>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</si>
  <si>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</si>
  <si>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</si>
  <si>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</si>
  <si>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</si>
  <si>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</si>
  <si>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</si>
  <si>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</si>
  <si>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</si>
  <si>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</si>
  <si>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</si>
  <si>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</si>
  <si>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</si>
  <si>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</si>
  <si>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</si>
  <si>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</si>
  <si>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</si>
  <si>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</si>
  <si>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</si>
  <si>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</si>
  <si>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</si>
  <si>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</si>
  <si>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</si>
  <si>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</si>
  <si>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</si>
  <si>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</si>
  <si>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</si>
  <si>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</si>
  <si>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</si>
  <si>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</si>
  <si>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</si>
  <si>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</si>
  <si>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</si>
  <si>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</si>
  <si>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</si>
  <si>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</si>
  <si>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</si>
  <si>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</si>
  <si>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</si>
  <si>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</si>
  <si>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</si>
  <si>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</si>
  <si>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</si>
  <si>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</si>
  <si>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</si>
  <si>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</si>
  <si>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</si>
  <si>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</si>
  <si>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</si>
  <si>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</si>
  <si>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</si>
  <si>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</si>
  <si>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</si>
  <si>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</si>
  <si>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</si>
  <si>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</si>
  <si>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</si>
  <si>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</si>
  <si>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</si>
  <si>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</si>
  <si>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</si>
  <si>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</si>
  <si>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</si>
  <si>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</si>
  <si>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</si>
  <si>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</si>
  <si>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</si>
  <si>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</si>
  <si>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</si>
  <si>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</si>
  <si>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</si>
  <si>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</si>
  <si>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</si>
  <si>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</si>
  <si>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</si>
  <si>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</si>
  <si>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</si>
  <si>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</si>
  <si>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</si>
  <si>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</si>
  <si>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</si>
  <si>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</si>
  <si>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</si>
  <si>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</si>
  <si>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</si>
  <si>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</si>
  <si>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</si>
  <si>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</si>
  <si>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</si>
  <si>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</si>
  <si>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</si>
  <si>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</si>
  <si>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</si>
  <si>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</si>
  <si>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</si>
  <si>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</si>
  <si>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</si>
  <si>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</si>
  <si>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</si>
  <si>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</si>
  <si>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</si>
  <si>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</si>
  <si>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</si>
  <si>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</si>
  <si>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</si>
  <si>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</si>
  <si>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</si>
  <si>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</si>
  <si>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</si>
  <si>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</si>
  <si>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</si>
  <si>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</si>
  <si>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</si>
  <si>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</si>
  <si>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</si>
  <si>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</si>
  <si>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</si>
  <si>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</si>
  <si>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</si>
  <si>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</si>
  <si>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</si>
  <si>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</si>
  <si>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</si>
  <si>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</si>
  <si>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</si>
  <si>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</si>
  <si>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</si>
  <si>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</si>
  <si>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</si>
  <si>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</si>
  <si>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</si>
  <si>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</si>
  <si>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</si>
  <si>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</si>
  <si>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</si>
  <si>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</si>
  <si>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</si>
  <si>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</si>
  <si>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</si>
  <si>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</si>
  <si>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</si>
  <si>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</si>
  <si>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</si>
  <si>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</si>
  <si>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</si>
  <si>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</si>
  <si>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</si>
  <si>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</si>
  <si>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</si>
  <si>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</si>
  <si>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</si>
  <si>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</si>
  <si>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</si>
  <si>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</si>
  <si>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</si>
  <si>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</si>
  <si>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</si>
  <si>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</si>
  <si>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</si>
  <si>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</si>
  <si>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</si>
  <si>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</si>
  <si>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</si>
  <si>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</si>
  <si>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</si>
  <si>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</si>
  <si>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</si>
  <si>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</si>
  <si>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</si>
  <si>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</si>
  <si>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</si>
  <si>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</si>
  <si>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</si>
  <si>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</si>
  <si>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</si>
  <si>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</si>
  <si>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</si>
  <si>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</si>
  <si>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</si>
  <si>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</si>
  <si>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</si>
  <si>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</si>
  <si>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</si>
  <si>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</si>
  <si>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</si>
  <si>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</si>
  <si>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</si>
  <si>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</si>
  <si>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</si>
  <si>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</si>
  <si>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</si>
  <si>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</si>
  <si>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</si>
  <si>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</si>
  <si>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</si>
  <si>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</si>
  <si>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</si>
  <si>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</si>
  <si>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</si>
  <si>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</si>
  <si>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</si>
  <si>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</si>
  <si>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</si>
  <si>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</si>
  <si>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</si>
  <si>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</si>
  <si>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</si>
  <si>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</si>
  <si>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</si>
  <si>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</si>
  <si>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</si>
  <si>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</si>
  <si>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</si>
  <si>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</si>
  <si>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</si>
  <si>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</si>
  <si>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</si>
  <si>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</si>
  <si>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</si>
  <si>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</si>
  <si>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</si>
  <si>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</si>
  <si>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</si>
  <si>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</si>
  <si>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</si>
  <si>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</si>
  <si>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</si>
  <si>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</si>
  <si>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</si>
  <si>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</si>
  <si>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</si>
  <si>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</si>
  <si>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</si>
  <si>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</si>
  <si>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</si>
  <si>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</si>
  <si>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</si>
  <si>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</si>
  <si>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</si>
  <si>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</si>
  <si>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</si>
  <si>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</si>
  <si>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</si>
  <si>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</si>
  <si>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</si>
  <si>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</si>
  <si>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</si>
  <si>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</si>
  <si>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</si>
  <si>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</si>
  <si>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</si>
  <si>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</si>
  <si>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</si>
  <si>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</si>
  <si>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</si>
  <si>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</si>
  <si>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</si>
  <si>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</si>
  <si>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</si>
  <si>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</si>
  <si>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</si>
  <si>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</si>
  <si>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</si>
  <si>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</si>
  <si>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</si>
  <si>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</si>
  <si>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</si>
  <si>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</si>
  <si>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</si>
  <si>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</si>
  <si>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</si>
  <si>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</si>
  <si>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</si>
  <si>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</si>
  <si>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</si>
  <si>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</si>
  <si>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</si>
  <si>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</si>
  <si>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</si>
  <si>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</si>
  <si>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</si>
  <si>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</si>
  <si>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</si>
  <si>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</si>
  <si>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</si>
  <si>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</si>
  <si>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</si>
  <si>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</si>
  <si>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</si>
  <si>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</si>
  <si>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</si>
  <si>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</si>
  <si>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</si>
  <si>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</si>
  <si>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</si>
  <si>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</si>
  <si>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</si>
  <si>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</si>
  <si>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</si>
  <si>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</si>
  <si>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</si>
  <si>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</si>
  <si>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</si>
  <si>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</si>
  <si>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</si>
  <si>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</si>
  <si>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</si>
  <si>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</si>
  <si>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</si>
  <si>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</si>
  <si>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</si>
  <si>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</si>
  <si>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</si>
  <si>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</si>
  <si>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</si>
  <si>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</si>
  <si>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</si>
  <si>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</si>
  <si>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</si>
  <si>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</si>
  <si>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</si>
  <si>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</si>
  <si>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</si>
  <si>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</si>
  <si>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</si>
  <si>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</si>
  <si>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</si>
  <si>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</si>
  <si>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</si>
  <si>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</si>
  <si>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</si>
  <si>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</si>
  <si>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</si>
  <si>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</si>
  <si>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</si>
  <si>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</si>
  <si>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</si>
  <si>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</si>
  <si>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</si>
  <si>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</si>
  <si>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</si>
  <si>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</si>
  <si>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</si>
  <si>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</si>
  <si>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</si>
  <si>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</si>
  <si>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</si>
  <si>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</si>
  <si>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</si>
  <si>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</si>
  <si>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</si>
  <si>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</si>
  <si>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</si>
  <si>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</si>
  <si>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</si>
  <si>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</si>
  <si>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</si>
  <si>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</si>
  <si>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</si>
  <si>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</si>
  <si>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</si>
  <si>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</si>
  <si>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</si>
  <si>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</si>
  <si>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</si>
  <si>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</si>
  <si>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</si>
  <si>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</si>
  <si>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</si>
  <si>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</si>
  <si>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</si>
  <si>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</si>
  <si>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</si>
  <si>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</si>
  <si>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</si>
  <si>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</si>
  <si>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</si>
  <si>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</si>
  <si>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</si>
  <si>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</si>
  <si>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</si>
  <si>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</si>
  <si>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</si>
  <si>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</si>
  <si>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</si>
  <si>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</si>
  <si>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</si>
  <si>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</si>
  <si>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</si>
  <si>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</si>
  <si>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</si>
  <si>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</si>
  <si>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</si>
  <si>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</si>
  <si>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</si>
  <si>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</si>
  <si>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</si>
  <si>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</si>
  <si>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</si>
  <si>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</si>
  <si>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</si>
  <si>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</si>
  <si>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</si>
  <si>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</si>
  <si>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</si>
  <si>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</si>
  <si>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</si>
  <si>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</si>
  <si>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</si>
  <si>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</si>
  <si>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</si>
  <si>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</si>
  <si>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</si>
  <si>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</si>
  <si>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</si>
  <si>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</si>
  <si>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</si>
  <si>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</si>
  <si>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</si>
  <si>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</si>
  <si>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</si>
  <si>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</si>
  <si>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</si>
  <si>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</si>
  <si>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</si>
  <si>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</si>
  <si>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</si>
  <si>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</si>
  <si>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</si>
  <si>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</si>
  <si>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</si>
  <si>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</si>
  <si>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</si>
  <si>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</si>
  <si>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</si>
  <si>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</si>
  <si>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</si>
  <si>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</si>
  <si>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</si>
  <si>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</si>
  <si>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</si>
  <si>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</si>
  <si>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</si>
  <si>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</si>
  <si>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</si>
  <si>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</si>
  <si>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</si>
  <si>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</si>
  <si>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</si>
  <si>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</si>
  <si>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</si>
  <si>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</si>
  <si>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</si>
  <si>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</si>
  <si>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</si>
  <si>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</si>
  <si>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</si>
  <si>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</si>
  <si>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</si>
  <si>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</si>
  <si>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</si>
  <si>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</si>
  <si>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</si>
  <si>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</si>
  <si>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</si>
  <si>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</si>
  <si>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</si>
  <si>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</si>
  <si>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</si>
  <si>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</si>
  <si>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</si>
  <si>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</si>
  <si>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</si>
  <si>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</si>
  <si>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</si>
  <si>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</si>
  <si>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</si>
  <si>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</si>
  <si>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</si>
  <si>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</si>
  <si>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</si>
  <si>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</si>
  <si>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</si>
  <si>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</si>
  <si>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</si>
  <si>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</si>
  <si>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</si>
  <si>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</si>
  <si>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</si>
  <si>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</si>
  <si>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</si>
  <si>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</si>
  <si>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</si>
  <si>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</si>
  <si>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</si>
  <si>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</si>
  <si>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</si>
  <si>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</si>
  <si>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</si>
  <si>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</si>
  <si>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</si>
  <si>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</si>
  <si>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</si>
  <si>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</si>
  <si>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</si>
  <si>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</si>
  <si>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</si>
  <si>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</si>
  <si>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</si>
  <si>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</si>
  <si>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</si>
  <si>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</si>
  <si>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</si>
  <si>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</si>
  <si>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</si>
  <si>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</si>
  <si>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</si>
  <si>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</si>
  <si>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</si>
  <si>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</si>
  <si>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</si>
  <si>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</si>
  <si>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</si>
  <si>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</si>
  <si>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</si>
  <si>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</si>
  <si>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</si>
  <si>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</si>
  <si>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</si>
  <si>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</si>
  <si>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</si>
  <si>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</si>
  <si>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</si>
  <si>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</si>
  <si>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</si>
  <si>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</si>
  <si>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</si>
  <si>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</si>
  <si>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</si>
  <si>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</si>
  <si>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</si>
  <si>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</si>
  <si>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</si>
  <si>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</si>
  <si>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</si>
  <si>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</si>
  <si>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</si>
  <si>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</si>
  <si>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</si>
  <si>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</si>
  <si>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</si>
  <si>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</si>
  <si>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</si>
  <si>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</si>
  <si>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</si>
  <si>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</si>
  <si>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</si>
  <si>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</si>
  <si>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</si>
  <si>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</si>
  <si>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</si>
  <si>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</si>
  <si>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</si>
  <si>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</si>
  <si>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</si>
  <si>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</si>
  <si>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</si>
  <si>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</si>
  <si>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</si>
  <si>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</si>
  <si>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</si>
  <si>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</si>
  <si>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</si>
  <si>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</si>
  <si>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</si>
  <si>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</si>
  <si>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</si>
  <si>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</si>
  <si>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</si>
  <si>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</si>
  <si>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</si>
  <si>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</si>
  <si>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</si>
  <si>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</si>
  <si>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</si>
  <si>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</si>
  <si>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</si>
  <si>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</si>
  <si>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</si>
  <si>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</si>
  <si>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</si>
  <si>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</si>
  <si>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</si>
  <si>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</si>
  <si>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</si>
  <si>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</si>
  <si>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</si>
  <si>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</si>
  <si>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</si>
  <si>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</si>
  <si>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</si>
  <si>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</si>
  <si>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</si>
  <si>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</si>
  <si>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</si>
  <si>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</si>
  <si>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</si>
  <si>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</si>
  <si>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</si>
  <si>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</si>
  <si>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</si>
  <si>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</si>
  <si>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</si>
  <si>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</si>
  <si>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</si>
  <si>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</si>
  <si>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</si>
  <si>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</si>
  <si>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</si>
  <si>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</si>
  <si>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</si>
  <si>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</si>
  <si>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</si>
  <si>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</si>
  <si>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</si>
  <si>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</si>
  <si>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</si>
  <si>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</si>
  <si>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</si>
  <si>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</si>
  <si>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</si>
  <si>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</si>
  <si>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</si>
  <si>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</si>
  <si>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</si>
  <si>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</si>
  <si>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</si>
  <si>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</si>
  <si>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</si>
  <si>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</si>
  <si>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</si>
  <si>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</si>
  <si>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</si>
  <si>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</si>
  <si>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</si>
  <si>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</si>
  <si>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</si>
  <si>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</si>
  <si>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</si>
  <si>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</si>
  <si>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</si>
  <si>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</si>
  <si>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</si>
  <si>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</si>
  <si>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</si>
  <si>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</si>
  <si>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</si>
  <si>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</si>
  <si>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</si>
  <si>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</si>
  <si>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</si>
  <si>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</si>
  <si>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</si>
  <si>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</si>
  <si>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</si>
  <si>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</si>
  <si>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</si>
  <si>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</si>
  <si>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</si>
  <si>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</si>
  <si>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</si>
  <si>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</si>
  <si>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</si>
  <si>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</si>
  <si>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</si>
  <si>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</si>
  <si>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</si>
  <si>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</si>
  <si>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</si>
  <si>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</si>
  <si>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</si>
  <si>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</si>
  <si>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</si>
  <si>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</si>
  <si>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</si>
  <si>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</si>
  <si>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</si>
  <si>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</si>
  <si>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</si>
  <si>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</si>
  <si>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</si>
  <si>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</si>
  <si>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</si>
  <si>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</si>
  <si>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</si>
  <si>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</si>
  <si>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</si>
  <si>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</si>
  <si>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</si>
  <si>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</si>
  <si>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</si>
  <si>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</si>
  <si>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</si>
  <si>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</si>
  <si>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</si>
  <si>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</si>
  <si>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</si>
  <si>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</si>
  <si>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</si>
  <si>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</si>
  <si>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</si>
  <si>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</si>
  <si>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</si>
  <si>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</si>
  <si>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</si>
  <si>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</si>
  <si>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</si>
  <si>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</si>
  <si>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</si>
  <si>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</si>
  <si>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</si>
  <si>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</si>
  <si>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</si>
  <si>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</si>
  <si>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</si>
  <si>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</si>
  <si>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</si>
  <si>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</si>
  <si>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</si>
  <si>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</si>
  <si>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</si>
  <si>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</si>
  <si>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</si>
  <si>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</si>
  <si>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</si>
  <si>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</si>
  <si>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</si>
  <si>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</si>
  <si>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</si>
  <si>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</si>
  <si>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</si>
  <si>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</si>
  <si>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</si>
  <si>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</si>
  <si>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</si>
  <si>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</si>
  <si>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</si>
  <si>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</si>
  <si>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</si>
  <si>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</si>
  <si>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</si>
  <si>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</si>
  <si>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</si>
  <si>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</si>
  <si>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</si>
  <si>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</si>
  <si>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</si>
  <si>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</si>
  <si>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</si>
  <si>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</si>
  <si>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</si>
  <si>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</si>
  <si>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</si>
  <si>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</si>
  <si>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</si>
  <si>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</si>
  <si>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</si>
  <si>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</si>
  <si>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</si>
  <si>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</si>
  <si>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</si>
  <si>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</si>
  <si>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</si>
  <si>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</si>
  <si>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</si>
  <si>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</si>
  <si>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</si>
  <si>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</si>
  <si>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</si>
  <si>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</si>
  <si>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</si>
  <si>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</si>
  <si>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</si>
  <si>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</si>
  <si>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</si>
  <si>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</si>
  <si>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</si>
  <si>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</si>
  <si>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</si>
  <si>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</si>
  <si>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</si>
  <si>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</si>
  <si>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</si>
  <si>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</si>
  <si>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</si>
  <si>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</si>
  <si>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</si>
  <si>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</si>
  <si>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</si>
  <si>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</si>
  <si>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</si>
  <si>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</si>
  <si>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</si>
  <si>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</si>
  <si>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</si>
  <si>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</si>
  <si>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</si>
  <si>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</si>
  <si>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</si>
  <si>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</si>
  <si>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</si>
  <si>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</si>
  <si>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</si>
  <si>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</si>
  <si>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</si>
  <si>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</si>
  <si>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</si>
  <si>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</si>
  <si>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</si>
  <si>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</si>
  <si>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</si>
  <si>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</si>
  <si>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</si>
  <si>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</si>
  <si>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</si>
  <si>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</si>
  <si>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</si>
  <si>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</si>
  <si>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</si>
  <si>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</si>
  <si>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</si>
  <si>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</si>
  <si>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</si>
  <si>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</si>
  <si>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</si>
  <si>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</si>
  <si>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</si>
  <si>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</si>
  <si>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</si>
  <si>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</si>
  <si>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</si>
  <si>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</si>
  <si>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</si>
  <si>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</si>
  <si>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</si>
  <si>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</si>
  <si>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</si>
  <si>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</si>
  <si>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</si>
  <si>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</si>
  <si>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</si>
  <si>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</si>
  <si>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</si>
  <si>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</si>
  <si>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</si>
  <si>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</si>
  <si>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</si>
  <si>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</si>
  <si>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</si>
  <si>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</si>
  <si>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</si>
  <si>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</si>
  <si>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</si>
  <si>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</si>
  <si>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</si>
  <si>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</si>
  <si>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</si>
  <si>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</si>
  <si>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</si>
  <si>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</si>
  <si>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</si>
  <si>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</si>
  <si>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</si>
  <si>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</si>
  <si>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</si>
  <si>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</si>
  <si>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</si>
  <si>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</si>
  <si>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</si>
  <si>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</si>
  <si>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</si>
  <si>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</si>
  <si>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</si>
  <si>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</si>
  <si>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</si>
  <si>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</si>
  <si>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</si>
  <si>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</si>
  <si>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</si>
  <si>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</si>
  <si>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</si>
  <si>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</si>
  <si>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</si>
  <si>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</si>
  <si>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</si>
  <si>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</si>
  <si>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</si>
  <si>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</si>
  <si>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</si>
  <si>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</si>
  <si>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</si>
  <si>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</si>
  <si>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</si>
  <si>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</si>
  <si>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</si>
  <si>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</si>
  <si>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</si>
  <si>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</si>
  <si>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</si>
  <si>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</si>
  <si>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</si>
  <si>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</si>
  <si>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</si>
  <si>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</si>
  <si>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</si>
  <si>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</si>
  <si>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</si>
  <si>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</si>
  <si>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</si>
  <si>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</si>
  <si>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</si>
  <si>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</si>
  <si>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</si>
  <si>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</si>
  <si>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</si>
  <si>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</si>
  <si>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</si>
  <si>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</si>
  <si>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</si>
  <si>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</si>
  <si>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</si>
  <si>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</si>
  <si>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</si>
  <si>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</si>
  <si>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</si>
  <si>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</si>
  <si>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</si>
  <si>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</si>
  <si>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</si>
  <si>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</si>
  <si>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</si>
  <si>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</si>
  <si>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</si>
  <si>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</si>
  <si>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</si>
  <si>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</si>
  <si>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</si>
  <si>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</si>
  <si>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</si>
  <si>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</si>
  <si>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</si>
  <si>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</si>
  <si>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</si>
  <si>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</si>
  <si>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</si>
  <si>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</si>
  <si>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</si>
  <si>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</si>
  <si>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</si>
  <si>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</si>
  <si>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</si>
  <si>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</si>
  <si>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</si>
  <si>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</si>
  <si>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</si>
  <si>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</si>
  <si>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</si>
  <si>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</si>
  <si>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</si>
  <si>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</si>
  <si>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</si>
  <si>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</si>
  <si>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</si>
  <si>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</si>
  <si>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</si>
  <si>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</si>
  <si>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</si>
  <si>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</si>
  <si>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</si>
  <si>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</si>
  <si>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</si>
  <si>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</si>
  <si>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</si>
  <si>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</si>
  <si>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</si>
  <si>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</si>
  <si>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</si>
  <si>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</si>
  <si>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</si>
  <si>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</si>
  <si>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</si>
  <si>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</si>
  <si>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</si>
  <si>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</si>
  <si>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</si>
  <si>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</si>
  <si>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</si>
  <si>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</si>
  <si>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</si>
  <si>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</si>
  <si>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</si>
  <si>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</si>
  <si>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</si>
  <si>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</si>
  <si>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</si>
  <si>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</si>
  <si>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</si>
  <si>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</si>
  <si>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</si>
  <si>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</si>
  <si>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</si>
  <si>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</si>
  <si>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</si>
  <si>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</si>
  <si>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</si>
  <si>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</si>
  <si>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</si>
  <si>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</si>
  <si>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</si>
  <si>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</si>
  <si>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</si>
  <si>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</si>
  <si>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</si>
  <si>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</si>
  <si>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</si>
  <si>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</si>
  <si>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</si>
  <si>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</si>
  <si>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</si>
  <si>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</si>
  <si>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</si>
  <si>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</si>
  <si>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</si>
  <si>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</si>
  <si>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</si>
  <si>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</si>
  <si>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</si>
  <si>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</si>
  <si>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Monaco</t>
  </si>
  <si>
    <t>Bishop</t>
  </si>
  <si>
    <t>Indian Land</t>
  </si>
  <si>
    <t>Oversized coping</t>
  </si>
  <si>
    <t>Endless Summer Discounts</t>
  </si>
  <si>
    <t>Endless Summer Fiberglass Discount</t>
  </si>
  <si>
    <t>Half Circle Decking Extensions</t>
  </si>
  <si>
    <t>Oct 1st price equipment increase</t>
  </si>
  <si>
    <t>Parged Concrete</t>
  </si>
  <si>
    <t>No Microglass</t>
  </si>
  <si>
    <t>decking 10500</t>
  </si>
  <si>
    <t>60+90</t>
  </si>
  <si>
    <t>handrail</t>
  </si>
  <si>
    <t>763+80+185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</si>
</sst>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44" fontId="0" fillId="0" borderId="17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44" fontId="0" fillId="0" borderId="44" xfId="2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44" fontId="0" fillId="0" borderId="6" xfId="2" applyFont="1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31" fillId="11" borderId="0" xfId="0" applyFont="1" applyFill="1" applyAlignment="1">
      <alignment horizontal="center" vertical="center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19" fillId="13" borderId="6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8" fillId="11" borderId="13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167" fontId="26" fillId="3" borderId="6" xfId="6" applyNumberFormat="1" applyFont="1" applyFill="1" applyBorder="1" applyAlignment="1">
      <alignment horizontal="center" vertical="center" wrapText="1"/>
    </xf>
    <xf numFmtId="167" fontId="26" fillId="0" borderId="6" xfId="6" applyNumberFormat="1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abSelected="1" topLeftCell="A132" zoomScaleNormal="100" workbookViewId="0">
      <selection activeCell="A131" sqref="A131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6" max="16" width="8.5703125" customWidth="1"/>
  </cols>
  <sheetData>
    <row r="1" spans="1:10" ht="24" thickBot="1">
      <c r="A1" s="504" t="s">
        <v>1134</v>
      </c>
      <c r="B1" s="505"/>
      <c r="C1" s="505"/>
      <c r="D1" s="505"/>
      <c r="E1" s="505"/>
      <c r="F1" s="505"/>
      <c r="G1" s="505"/>
      <c r="H1" s="506"/>
    </row>
    <row r="2" spans="1:10" ht="15.75" thickBot="1"/>
    <row r="3" spans="1:10" ht="15.75" thickBot="1">
      <c r="A3" s="165" t="s">
        <v>0</v>
      </c>
      <c r="B3" s="511" t="s">
        <v>1140</v>
      </c>
      <c r="C3" s="512"/>
      <c r="D3" s="512"/>
      <c r="E3" s="513"/>
    </row>
    <row r="4" spans="1:10" ht="15.75" thickBot="1">
      <c r="A4" s="165" t="s">
        <v>670</v>
      </c>
      <c r="B4" s="511" t="s">
        <v>1141</v>
      </c>
      <c r="C4" s="512"/>
      <c r="D4" s="512"/>
      <c r="E4" s="513"/>
    </row>
    <row r="5" spans="1:10" ht="15.75" thickBot="1">
      <c r="A5" s="8" t="s">
        <v>1073</v>
      </c>
      <c r="B5" s="403">
        <v>1</v>
      </c>
      <c r="C5" t="s">
        <v>1074</v>
      </c>
    </row>
    <row r="6" spans="1:10" ht="15.75" thickBot="1"/>
    <row r="7" spans="1:10" ht="15.75" thickBot="1">
      <c r="A7" s="165" t="s">
        <v>462</v>
      </c>
      <c r="B7" s="113">
        <v>104</v>
      </c>
      <c r="C7" t="s">
        <v>468</v>
      </c>
      <c r="D7" s="165" t="s">
        <v>484</v>
      </c>
      <c r="E7" s="476">
        <v>16</v>
      </c>
      <c r="F7" t="s">
        <v>590</v>
      </c>
      <c r="J7" s="226">
        <f>IF(B$21+B$22+B$23&gt;0,1,0)</f>
        <v>0</v>
      </c>
    </row>
    <row r="8" spans="1:10" ht="15.75" thickBot="1">
      <c r="A8" s="165" t="s">
        <v>463</v>
      </c>
      <c r="B8" s="113">
        <v>576</v>
      </c>
      <c r="C8" t="s">
        <v>435</v>
      </c>
      <c r="D8" s="165" t="s">
        <v>483</v>
      </c>
      <c r="E8" s="476">
        <v>36</v>
      </c>
      <c r="F8" t="s">
        <v>590</v>
      </c>
      <c r="G8" t="s">
        <v>997</v>
      </c>
    </row>
    <row r="9" spans="1:10" ht="15.7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834</v>
      </c>
      <c r="F9" t="s">
        <v>435</v>
      </c>
      <c r="G9">
        <v>817</v>
      </c>
      <c r="H9">
        <v>713</v>
      </c>
    </row>
    <row r="10" spans="1:10" ht="15.75" thickBot="1">
      <c r="A10" s="165" t="s">
        <v>465</v>
      </c>
      <c r="B10" s="331">
        <v>7</v>
      </c>
      <c r="C10" t="s">
        <v>590</v>
      </c>
      <c r="D10" s="165" t="s">
        <v>486</v>
      </c>
      <c r="E10" s="113">
        <v>0</v>
      </c>
      <c r="F10" t="s">
        <v>591</v>
      </c>
    </row>
    <row r="11" spans="1:10" ht="15.75" thickBot="1">
      <c r="A11" s="165" t="s">
        <v>908</v>
      </c>
      <c r="B11" s="118">
        <v>70</v>
      </c>
      <c r="C11" t="s">
        <v>468</v>
      </c>
      <c r="D11" s="165" t="s">
        <v>545</v>
      </c>
      <c r="E11" s="113">
        <v>0</v>
      </c>
      <c r="F11" t="s">
        <v>550</v>
      </c>
    </row>
    <row r="12" spans="1:10" ht="15.75" thickBot="1">
      <c r="A12" s="165" t="s">
        <v>802</v>
      </c>
      <c r="B12" s="118">
        <v>0</v>
      </c>
      <c r="C12" s="106" t="s">
        <v>803</v>
      </c>
      <c r="D12" s="8"/>
      <c r="E12" s="4"/>
    </row>
    <row r="13" spans="1:10" ht="15.75" thickBot="1">
      <c r="B13" s="115"/>
      <c r="C13" s="115"/>
      <c r="D13" s="165" t="s">
        <v>836</v>
      </c>
      <c r="E13" s="378">
        <f>_xlfn.CEILING.MATH(((B8*((B9+B10)/2))*7.6),10)-(B12*850)</f>
        <v>22990</v>
      </c>
      <c r="F13" s="153" t="s">
        <v>1065</v>
      </c>
    </row>
    <row r="14" spans="1:10" ht="15.75" thickBot="1">
      <c r="A14" s="165" t="s">
        <v>663</v>
      </c>
      <c r="B14" s="113">
        <v>0</v>
      </c>
    </row>
    <row r="15" spans="1:10" ht="15.75" thickBot="1">
      <c r="A15" s="165" t="s">
        <v>664</v>
      </c>
      <c r="B15" s="113">
        <v>0</v>
      </c>
      <c r="C15" s="117"/>
      <c r="D15" s="117"/>
      <c r="E15" s="106"/>
    </row>
    <row r="16" spans="1:10" ht="15.7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8" ht="15.75" thickBot="1">
      <c r="A17" s="165" t="s">
        <v>479</v>
      </c>
      <c r="B17" s="114">
        <f>ROUNDUP(IF(B16=1,(B14*3.14),(B14*2+B15*2)),0)</f>
        <v>0</v>
      </c>
      <c r="C17" s="153" t="s">
        <v>1066</v>
      </c>
    </row>
    <row r="18" spans="1:8" ht="15.7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8" ht="15.75" thickBot="1">
      <c r="A19" s="8" t="s">
        <v>653</v>
      </c>
      <c r="B19" s="113">
        <v>0</v>
      </c>
      <c r="C19" t="s">
        <v>651</v>
      </c>
    </row>
    <row r="20" spans="1:8" ht="14.45" customHeight="1" thickBot="1">
      <c r="A20" s="8"/>
      <c r="B20" s="174"/>
    </row>
    <row r="21" spans="1:8" ht="14.45" customHeight="1" thickBot="1">
      <c r="A21" s="212" t="s">
        <v>753</v>
      </c>
      <c r="B21" s="113">
        <f>IF(A21="Fiberglass - Small",0,1)</f>
        <v>0</v>
      </c>
    </row>
    <row r="22" spans="1:8" ht="14.45" customHeight="1" thickBot="1">
      <c r="A22" s="212" t="s">
        <v>754</v>
      </c>
      <c r="B22" s="113">
        <v>0</v>
      </c>
    </row>
    <row r="23" spans="1:8" ht="14.45" customHeight="1" thickBot="1">
      <c r="A23" s="212" t="s">
        <v>755</v>
      </c>
      <c r="B23" s="113">
        <f>IF(A23="Fiberglass - Large",0,1)</f>
        <v>0</v>
      </c>
    </row>
    <row r="24" spans="1:8" ht="14.45" customHeight="1" thickBot="1">
      <c r="A24" s="212" t="s">
        <v>756</v>
      </c>
      <c r="B24" s="113">
        <v>0</v>
      </c>
    </row>
    <row r="25" spans="1:8" ht="14.45" customHeight="1" thickBot="1">
      <c r="A25" s="212" t="s">
        <v>757</v>
      </c>
      <c r="B25" s="113">
        <f>IF(A25="No Spa",0,1)</f>
        <v>0</v>
      </c>
    </row>
    <row r="26" spans="1:8" ht="14.45" customHeight="1" thickBot="1">
      <c r="A26" s="212" t="s">
        <v>778</v>
      </c>
      <c r="B26" s="113">
        <v>0</v>
      </c>
    </row>
    <row r="27" spans="1:8" ht="14.45" customHeight="1" thickBot="1">
      <c r="A27" s="212" t="s">
        <v>758</v>
      </c>
      <c r="B27" s="113">
        <f>IF(A27="No Tanning",0,1)</f>
        <v>0</v>
      </c>
      <c r="D27" s="456"/>
    </row>
    <row r="28" spans="1:8" ht="14.45" customHeight="1" thickBot="1">
      <c r="A28" s="356" t="s">
        <v>772</v>
      </c>
      <c r="B28" s="113">
        <f>IF(A28="No Crane",0,1)</f>
        <v>0</v>
      </c>
    </row>
    <row r="29" spans="1:8" ht="15.75" thickBot="1">
      <c r="B29" s="174"/>
    </row>
    <row r="30" spans="1:8" ht="18" thickBot="1">
      <c r="A30" s="497" t="s">
        <v>475</v>
      </c>
      <c r="B30" s="498"/>
      <c r="C30" s="498"/>
      <c r="D30" s="499"/>
    </row>
    <row r="31" spans="1:8" ht="15.75" thickBot="1">
      <c r="B31" s="4" t="s">
        <v>468</v>
      </c>
      <c r="C31" s="4" t="s">
        <v>650</v>
      </c>
      <c r="D31" s="4"/>
    </row>
    <row r="32" spans="1:8" ht="15.75" thickBot="1">
      <c r="A32" s="99" t="s">
        <v>640</v>
      </c>
      <c r="B32" s="113">
        <v>0</v>
      </c>
      <c r="C32" s="113">
        <v>0</v>
      </c>
      <c r="D32" s="514" t="s">
        <v>821</v>
      </c>
      <c r="E32" s="515"/>
      <c r="F32" s="515"/>
      <c r="G32" s="515"/>
      <c r="H32" s="516"/>
    </row>
    <row r="33" spans="1:8" ht="15.75" thickBot="1">
      <c r="A33" s="99" t="s">
        <v>641</v>
      </c>
      <c r="B33" s="113">
        <v>0</v>
      </c>
      <c r="C33" s="113">
        <v>0</v>
      </c>
      <c r="D33" s="517"/>
      <c r="E33" s="518"/>
      <c r="F33" s="518"/>
      <c r="G33" s="518"/>
      <c r="H33" s="519"/>
    </row>
    <row r="34" spans="1:8" ht="15.75" thickBot="1">
      <c r="A34" s="99" t="s">
        <v>642</v>
      </c>
      <c r="B34" s="113">
        <v>0</v>
      </c>
      <c r="C34" s="113">
        <v>0</v>
      </c>
      <c r="D34" s="517"/>
      <c r="E34" s="518"/>
      <c r="F34" s="518"/>
      <c r="G34" s="518"/>
      <c r="H34" s="519"/>
    </row>
    <row r="35" spans="1:8" ht="15.75" thickBot="1">
      <c r="A35" s="99" t="s">
        <v>643</v>
      </c>
      <c r="B35" s="113">
        <v>0</v>
      </c>
      <c r="C35" s="113">
        <v>0</v>
      </c>
      <c r="D35" s="517"/>
      <c r="E35" s="518"/>
      <c r="F35" s="518"/>
      <c r="G35" s="518"/>
      <c r="H35" s="519"/>
    </row>
    <row r="36" spans="1:8" ht="15.75" thickBot="1">
      <c r="A36" s="99" t="s">
        <v>644</v>
      </c>
      <c r="B36" s="113">
        <v>0</v>
      </c>
      <c r="C36" s="113">
        <v>0</v>
      </c>
      <c r="D36" s="517"/>
      <c r="E36" s="518"/>
      <c r="F36" s="518"/>
      <c r="G36" s="518"/>
      <c r="H36" s="519"/>
    </row>
    <row r="37" spans="1:8" ht="15.75" thickBot="1">
      <c r="A37" s="170" t="s">
        <v>645</v>
      </c>
      <c r="B37" s="169">
        <v>0</v>
      </c>
      <c r="C37" s="113">
        <v>0</v>
      </c>
      <c r="D37" s="520"/>
      <c r="E37" s="521"/>
      <c r="F37" s="521"/>
      <c r="G37" s="521"/>
      <c r="H37" s="522"/>
    </row>
    <row r="38" spans="1:8" ht="15.75" thickBot="1">
      <c r="A38" s="99" t="s">
        <v>648</v>
      </c>
      <c r="B38" s="114">
        <f>SHOT!L10</f>
        <v>0</v>
      </c>
      <c r="C38" s="153" t="s">
        <v>1066</v>
      </c>
      <c r="D38" s="4"/>
      <c r="E38" s="4"/>
    </row>
    <row r="39" spans="1:8" ht="15.75" thickBot="1">
      <c r="A39" s="166"/>
      <c r="B39" s="117"/>
      <c r="C39" s="4" t="s">
        <v>650</v>
      </c>
      <c r="D39" s="117"/>
    </row>
    <row r="40" spans="1:8" ht="15.75" thickBot="1">
      <c r="A40" s="166" t="s">
        <v>659</v>
      </c>
      <c r="B40" s="113">
        <v>0</v>
      </c>
      <c r="C40" s="113">
        <v>0</v>
      </c>
      <c r="D40" s="511" t="str">
        <f>D32</f>
        <v>( 1=Tile / 2=Panel Ledge / 3=Stacked Stone)</v>
      </c>
      <c r="E40" s="512"/>
      <c r="F40" s="512"/>
      <c r="G40" s="512"/>
      <c r="H40" s="513"/>
    </row>
    <row r="41" spans="1:8" ht="15.75" thickBot="1">
      <c r="A41" s="166" t="s">
        <v>639</v>
      </c>
      <c r="B41" s="113">
        <v>0</v>
      </c>
      <c r="C41" s="51" t="s">
        <v>590</v>
      </c>
      <c r="D41" s="167"/>
    </row>
    <row r="42" spans="1:8" ht="15.75" thickBot="1">
      <c r="A42" s="166" t="s">
        <v>647</v>
      </c>
      <c r="B42" s="113">
        <v>0</v>
      </c>
      <c r="C42" s="51" t="s">
        <v>590</v>
      </c>
      <c r="D42" s="167"/>
    </row>
    <row r="43" spans="1:8" ht="15.75" thickBot="1">
      <c r="A43" s="166" t="s">
        <v>646</v>
      </c>
      <c r="B43" s="113">
        <v>0</v>
      </c>
      <c r="C43" s="51" t="s">
        <v>590</v>
      </c>
      <c r="D43" s="167"/>
    </row>
    <row r="44" spans="1:8" ht="15.75" thickBot="1">
      <c r="A44" s="153"/>
      <c r="B44" s="168"/>
      <c r="C44" s="167"/>
      <c r="D44" s="153"/>
    </row>
    <row r="45" spans="1:8" ht="15.75" thickBot="1">
      <c r="A45" s="99" t="s">
        <v>469</v>
      </c>
      <c r="B45" s="113">
        <v>0</v>
      </c>
      <c r="C45" t="s">
        <v>470</v>
      </c>
    </row>
    <row r="46" spans="1:8" ht="15.75" thickBot="1">
      <c r="A46" s="99" t="s">
        <v>471</v>
      </c>
      <c r="B46" s="113">
        <v>1</v>
      </c>
      <c r="C46" t="s">
        <v>592</v>
      </c>
    </row>
    <row r="47" spans="1:8" ht="15.75" thickBot="1">
      <c r="A47" s="99" t="s">
        <v>472</v>
      </c>
      <c r="B47" s="113">
        <v>1</v>
      </c>
      <c r="C47" t="s">
        <v>592</v>
      </c>
    </row>
    <row r="48" spans="1:8" ht="15.75" thickBot="1">
      <c r="A48" s="99" t="s">
        <v>473</v>
      </c>
      <c r="B48" s="114">
        <f>IF(B11&gt;20,B11-20,0)</f>
        <v>50</v>
      </c>
      <c r="C48" s="153" t="s">
        <v>1066</v>
      </c>
    </row>
    <row r="49" spans="1:4" ht="15.75" thickBot="1">
      <c r="A49" s="99" t="s">
        <v>474</v>
      </c>
      <c r="B49" s="113">
        <v>0</v>
      </c>
      <c r="C49" t="s">
        <v>592</v>
      </c>
    </row>
    <row r="50" spans="1:4" ht="15.75" thickBot="1">
      <c r="B50" s="117"/>
    </row>
    <row r="51" spans="1:4" ht="15.75" thickBot="1">
      <c r="A51" s="99" t="s">
        <v>805</v>
      </c>
      <c r="B51" s="113">
        <v>0</v>
      </c>
      <c r="C51" t="s">
        <v>468</v>
      </c>
    </row>
    <row r="52" spans="1:4" ht="15.75" thickBot="1">
      <c r="B52" s="117"/>
      <c r="C52" s="106"/>
    </row>
    <row r="53" spans="1:4" ht="15.75" thickBot="1">
      <c r="A53" s="99" t="s">
        <v>621</v>
      </c>
      <c r="B53" s="113">
        <v>1</v>
      </c>
      <c r="C53" t="s">
        <v>592</v>
      </c>
    </row>
    <row r="54" spans="1:4" ht="15.75" thickBot="1"/>
    <row r="55" spans="1:4" ht="18" thickBot="1">
      <c r="A55" s="497" t="s">
        <v>494</v>
      </c>
      <c r="B55" s="498"/>
      <c r="C55" s="498"/>
      <c r="D55" s="499"/>
    </row>
    <row r="56" spans="1:4" ht="15.75" thickBot="1"/>
    <row r="57" spans="1:4" ht="15.75" thickBot="1">
      <c r="A57" s="99" t="s">
        <v>495</v>
      </c>
      <c r="B57" s="118">
        <v>0</v>
      </c>
      <c r="C57" t="s">
        <v>500</v>
      </c>
    </row>
    <row r="58" spans="1:4" ht="15.75" thickBot="1">
      <c r="A58" s="99" t="s">
        <v>496</v>
      </c>
      <c r="B58" s="118">
        <v>60</v>
      </c>
      <c r="C58" t="s">
        <v>497</v>
      </c>
    </row>
    <row r="59" spans="1:4" ht="15.75" thickBot="1">
      <c r="A59" s="99" t="s">
        <v>498</v>
      </c>
      <c r="B59" s="118">
        <v>70</v>
      </c>
      <c r="C59" t="s">
        <v>499</v>
      </c>
    </row>
    <row r="60" spans="1:4" ht="15.75" thickBot="1">
      <c r="A60" s="99" t="s">
        <v>511</v>
      </c>
      <c r="B60" s="118">
        <v>0</v>
      </c>
      <c r="C60" t="s">
        <v>512</v>
      </c>
    </row>
    <row r="61" spans="1:4" ht="15.75" thickBot="1">
      <c r="A61" s="99" t="s">
        <v>501</v>
      </c>
      <c r="B61" s="118">
        <v>0</v>
      </c>
      <c r="C61" t="s">
        <v>502</v>
      </c>
    </row>
    <row r="62" spans="1:4" ht="15.75" thickBot="1">
      <c r="A62" s="99" t="s">
        <v>875</v>
      </c>
      <c r="B62" s="118">
        <v>0</v>
      </c>
      <c r="C62" t="s">
        <v>884</v>
      </c>
    </row>
    <row r="63" spans="1:4" ht="15.75" thickBot="1">
      <c r="A63" s="99" t="s">
        <v>876</v>
      </c>
      <c r="B63" s="118">
        <v>0</v>
      </c>
      <c r="C63" t="s">
        <v>884</v>
      </c>
    </row>
    <row r="64" spans="1:4" ht="15.75" thickBot="1">
      <c r="A64" s="99" t="s">
        <v>877</v>
      </c>
      <c r="B64" s="118">
        <v>0</v>
      </c>
      <c r="C64" t="s">
        <v>884</v>
      </c>
    </row>
    <row r="65" spans="1:5" ht="15.75" thickBot="1">
      <c r="A65" s="99" t="s">
        <v>878</v>
      </c>
      <c r="B65" s="118">
        <v>0</v>
      </c>
      <c r="C65" t="s">
        <v>884</v>
      </c>
    </row>
    <row r="66" spans="1:5" ht="15.75" thickBot="1">
      <c r="A66" s="99" t="s">
        <v>677</v>
      </c>
      <c r="B66" s="118">
        <v>0</v>
      </c>
      <c r="C66" t="s">
        <v>678</v>
      </c>
    </row>
    <row r="67" spans="1:5" ht="15.75" thickBot="1">
      <c r="A67" s="99" t="s">
        <v>515</v>
      </c>
      <c r="B67" s="118">
        <v>0</v>
      </c>
      <c r="C67" t="s">
        <v>679</v>
      </c>
    </row>
    <row r="68" spans="1:5" ht="15.75" thickBot="1">
      <c r="A68" s="344" t="s">
        <v>503</v>
      </c>
      <c r="B68" s="118">
        <v>0</v>
      </c>
      <c r="C68" s="116" t="s">
        <v>504</v>
      </c>
    </row>
    <row r="69" spans="1:5" ht="15.75" thickBot="1">
      <c r="A69" s="99" t="s">
        <v>505</v>
      </c>
      <c r="B69" s="118">
        <v>0</v>
      </c>
      <c r="C69" t="s">
        <v>506</v>
      </c>
    </row>
    <row r="70" spans="1:5" ht="15.75" thickBot="1"/>
    <row r="71" spans="1:5" ht="15.75" thickBot="1">
      <c r="A71" s="99" t="s">
        <v>531</v>
      </c>
      <c r="B71" s="118">
        <v>60</v>
      </c>
      <c r="C71" t="s">
        <v>532</v>
      </c>
      <c r="E71" t="s">
        <v>1150</v>
      </c>
    </row>
    <row r="72" spans="1:5" ht="15.75" thickBot="1">
      <c r="A72" s="99" t="s">
        <v>530</v>
      </c>
      <c r="B72" s="118">
        <v>135</v>
      </c>
      <c r="C72" t="s">
        <v>533</v>
      </c>
    </row>
    <row r="73" spans="1:5" ht="15.75" thickBot="1">
      <c r="A73" s="99" t="s">
        <v>828</v>
      </c>
      <c r="B73" s="118">
        <v>0</v>
      </c>
      <c r="C73" t="s">
        <v>829</v>
      </c>
    </row>
    <row r="74" spans="1:5" ht="15.75" thickBot="1"/>
    <row r="75" spans="1:5" ht="18" thickBot="1">
      <c r="A75" s="497" t="s">
        <v>785</v>
      </c>
      <c r="B75" s="498"/>
      <c r="C75" s="498"/>
      <c r="D75" s="499"/>
    </row>
    <row r="76" spans="1:5" ht="15" customHeight="1" thickBot="1">
      <c r="A76" s="163"/>
      <c r="B76" s="164"/>
      <c r="C76" s="163"/>
      <c r="D76" s="163"/>
    </row>
    <row r="77" spans="1:5" ht="15" customHeight="1" thickBot="1">
      <c r="A77" s="99" t="s">
        <v>784</v>
      </c>
      <c r="B77" s="118">
        <v>0</v>
      </c>
      <c r="C77" t="s">
        <v>967</v>
      </c>
      <c r="D77" s="163"/>
    </row>
    <row r="78" spans="1:5" ht="15" customHeight="1" thickBot="1">
      <c r="B78" s="430"/>
      <c r="D78" s="163"/>
    </row>
    <row r="79" spans="1:5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5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.75" thickBot="1">
      <c r="A87" s="170" t="s">
        <v>584</v>
      </c>
      <c r="B87" s="118">
        <v>0</v>
      </c>
      <c r="C87" t="s">
        <v>592</v>
      </c>
    </row>
    <row r="88" spans="1:10" ht="15.75" thickBot="1">
      <c r="A88" s="99" t="s">
        <v>588</v>
      </c>
      <c r="B88" s="118">
        <v>1</v>
      </c>
      <c r="C88" t="s">
        <v>592</v>
      </c>
    </row>
    <row r="89" spans="1:10" ht="15.75" thickBot="1">
      <c r="B89" s="152"/>
    </row>
    <row r="90" spans="1:10" ht="15.75" thickBot="1">
      <c r="A90" s="99" t="s">
        <v>822</v>
      </c>
      <c r="B90" s="118">
        <v>0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.75" thickBot="1">
      <c r="A91" s="99" t="s">
        <v>823</v>
      </c>
      <c r="B91" s="118">
        <v>0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.75" thickBot="1">
      <c r="B92" s="152"/>
    </row>
    <row r="93" spans="1:10" ht="15.6" customHeight="1" thickBot="1">
      <c r="A93" s="99" t="s">
        <v>824</v>
      </c>
      <c r="B93" s="118">
        <v>1</v>
      </c>
      <c r="C93" t="s">
        <v>592</v>
      </c>
      <c r="E93" s="523" t="str">
        <f>'TILE COPING'!F32</f>
        <v>Silver, Silver Vogue, River Silver, Bianco Dolomite, Dianna Royal, Skyline, Alaska Silver, Turkish Carrea</v>
      </c>
      <c r="F93" s="523"/>
      <c r="G93" s="523"/>
      <c r="H93" s="523"/>
      <c r="I93" s="523"/>
    </row>
    <row r="94" spans="1:10" ht="15.6" customHeight="1" thickBot="1">
      <c r="A94" s="99" t="s">
        <v>825</v>
      </c>
      <c r="B94" s="118">
        <v>0</v>
      </c>
      <c r="C94" t="s">
        <v>592</v>
      </c>
      <c r="E94" s="523" t="str">
        <f>'TILE COPING'!F33</f>
        <v>Silver, Silver Vogue, River Silver, Bianco Dolomite, Dianna Royal, Skyline, Alaska Silver, Turkish Carrea</v>
      </c>
      <c r="F94" s="523"/>
      <c r="G94" s="523"/>
      <c r="H94" s="523"/>
      <c r="I94" s="523"/>
      <c r="J94" s="523"/>
    </row>
    <row r="95" spans="1:10" ht="15.75" thickBot="1">
      <c r="B95" s="152"/>
    </row>
    <row r="96" spans="1:10" ht="15.75" thickBot="1">
      <c r="A96" s="99" t="s">
        <v>810</v>
      </c>
      <c r="B96" s="118">
        <v>0</v>
      </c>
      <c r="C96" t="s">
        <v>592</v>
      </c>
    </row>
    <row r="97" spans="1:4" ht="15.75" thickBot="1">
      <c r="A97" s="99" t="s">
        <v>587</v>
      </c>
      <c r="B97" s="118">
        <v>0</v>
      </c>
      <c r="C97" t="s">
        <v>592</v>
      </c>
    </row>
    <row r="98" spans="1:4" ht="15.75" thickBot="1">
      <c r="A98" s="99" t="s">
        <v>1059</v>
      </c>
      <c r="B98" s="118">
        <v>0</v>
      </c>
      <c r="C98" t="s">
        <v>468</v>
      </c>
    </row>
    <row r="99" spans="1:4" ht="15.75" thickBot="1">
      <c r="B99" s="152"/>
    </row>
    <row r="100" spans="1:4" ht="15.75" thickBot="1">
      <c r="A100" s="405" t="s">
        <v>850</v>
      </c>
      <c r="B100" s="406">
        <v>1</v>
      </c>
      <c r="C100" s="153" t="s">
        <v>1086</v>
      </c>
      <c r="D100" s="153"/>
    </row>
    <row r="101" spans="1:4" ht="15.75" thickBot="1">
      <c r="B101" s="152"/>
    </row>
    <row r="102" spans="1:4" ht="18" thickBot="1">
      <c r="A102" s="497" t="s">
        <v>841</v>
      </c>
      <c r="B102" s="498"/>
      <c r="C102" s="498"/>
      <c r="D102" s="499"/>
    </row>
    <row r="103" spans="1:4" ht="15.75" thickBot="1">
      <c r="B103" s="152"/>
    </row>
    <row r="104" spans="1:4" ht="15.75" thickBot="1">
      <c r="A104" s="99" t="s">
        <v>1135</v>
      </c>
      <c r="B104" s="118">
        <v>0</v>
      </c>
      <c r="C104" t="s">
        <v>844</v>
      </c>
    </row>
    <row r="105" spans="1:4" ht="15.75" thickBot="1">
      <c r="A105" s="99" t="s">
        <v>1136</v>
      </c>
      <c r="B105" s="118">
        <v>0</v>
      </c>
      <c r="C105" t="s">
        <v>844</v>
      </c>
    </row>
    <row r="106" spans="1:4" ht="15.75" thickBot="1">
      <c r="A106" s="99" t="s">
        <v>1137</v>
      </c>
      <c r="B106" s="118">
        <v>0</v>
      </c>
      <c r="C106" t="s">
        <v>844</v>
      </c>
    </row>
    <row r="107" spans="1:4" ht="15.75" thickBot="1">
      <c r="A107" s="99" t="s">
        <v>1138</v>
      </c>
      <c r="B107" s="118">
        <v>0</v>
      </c>
      <c r="C107" t="s">
        <v>844</v>
      </c>
    </row>
    <row r="108" spans="1:4" ht="15.75" thickBot="1">
      <c r="B108" s="152"/>
    </row>
    <row r="109" spans="1:4" ht="18" thickBot="1">
      <c r="A109" s="497" t="s">
        <v>686</v>
      </c>
      <c r="B109" s="498"/>
      <c r="C109" s="498"/>
      <c r="D109" s="499"/>
    </row>
    <row r="110" spans="1:4" ht="15.75" thickBot="1">
      <c r="B110" s="152"/>
    </row>
    <row r="111" spans="1:4" ht="18" thickBot="1">
      <c r="A111" s="497" t="s">
        <v>689</v>
      </c>
      <c r="B111" s="498"/>
      <c r="C111" s="498"/>
      <c r="D111" s="499"/>
    </row>
    <row r="112" spans="1:4" ht="15.75" thickBot="1">
      <c r="B112" s="152"/>
    </row>
    <row r="113" spans="1:11" ht="15.75" thickBot="1">
      <c r="A113" s="212" t="s">
        <v>971</v>
      </c>
      <c r="B113" s="194">
        <v>1</v>
      </c>
      <c r="C113" s="493" t="str">
        <f>VLOOKUP(A113,EQUIP!M15:T17,8,FALSE)</f>
        <v>INCLUDED</v>
      </c>
      <c r="D113" s="500"/>
    </row>
    <row r="114" spans="1:11" ht="15.75" thickBot="1">
      <c r="A114" s="212" t="s">
        <v>50</v>
      </c>
      <c r="B114" s="225">
        <f>IF(C114&gt;0,1,0)</f>
        <v>0</v>
      </c>
      <c r="C114" s="493">
        <f>VLOOKUP(A114,EQUIP!M14:S19,7,FALSE)</f>
        <v>0</v>
      </c>
      <c r="D114" s="500"/>
    </row>
    <row r="115" spans="1:11" ht="15.75" thickBot="1">
      <c r="A115" s="212" t="s">
        <v>50</v>
      </c>
      <c r="B115" s="225">
        <f>IF(C115&gt;0,1,0)</f>
        <v>0</v>
      </c>
      <c r="C115" s="493">
        <f>VLOOKUP(A115,EQUIP!M14:S19,7,FALSE)</f>
        <v>0</v>
      </c>
      <c r="D115" s="500"/>
    </row>
    <row r="116" spans="1:11" ht="15.75" thickBot="1">
      <c r="A116" s="117"/>
      <c r="B116" s="152"/>
    </row>
    <row r="117" spans="1:11" ht="15.75" thickBot="1">
      <c r="A117" s="212" t="s">
        <v>106</v>
      </c>
      <c r="B117" s="194">
        <v>1</v>
      </c>
      <c r="C117" s="493">
        <f>VLOOKUP(A117,EQUIP!M23:O28,3,FALSE)</f>
        <v>620</v>
      </c>
      <c r="D117" s="500"/>
    </row>
    <row r="118" spans="1:11" ht="15.75" thickBot="1">
      <c r="A118" s="117"/>
      <c r="B118" s="152"/>
    </row>
    <row r="119" spans="1:11" ht="15.75" thickBot="1">
      <c r="A119" s="212" t="s">
        <v>1115</v>
      </c>
      <c r="B119" s="194">
        <v>0</v>
      </c>
      <c r="C119" s="492">
        <f>VLOOKUP(A119,EQUIP!M31:S33,7,FALSE)</f>
        <v>2000</v>
      </c>
      <c r="D119" s="493"/>
    </row>
    <row r="120" spans="1:11" ht="15.75" thickBot="1">
      <c r="A120" s="117"/>
      <c r="B120" s="152"/>
      <c r="C120" s="343"/>
      <c r="D120" s="343"/>
    </row>
    <row r="121" spans="1:11" ht="15.75" thickBot="1">
      <c r="A121" s="212" t="s">
        <v>698</v>
      </c>
      <c r="B121" s="118">
        <v>0</v>
      </c>
      <c r="C121" s="492">
        <f>VLOOKUP(A121,EQUIP!M36:S39,7,FALSE)</f>
        <v>0</v>
      </c>
      <c r="D121" s="493"/>
      <c r="E121" s="526" t="str">
        <f>IF(A121="Jandy 260K BTU - JXI Heater", "CANNOT BE USED TO HEAT A SPA","")</f>
        <v/>
      </c>
      <c r="F121" s="527"/>
      <c r="G121" s="527"/>
      <c r="H121" s="527"/>
    </row>
    <row r="122" spans="1:11" ht="16.5" thickBot="1">
      <c r="A122" s="432" t="s">
        <v>933</v>
      </c>
      <c r="B122" s="482">
        <v>0</v>
      </c>
      <c r="C122" s="528">
        <f>B122*EQUIP!S39</f>
        <v>0</v>
      </c>
      <c r="D122" s="493"/>
      <c r="E122" s="532" t="str">
        <f>IF(B14&gt;0,"PROJECT HAS A SPA - SELECT YOUR HEATER","")</f>
        <v/>
      </c>
      <c r="F122" s="532"/>
      <c r="G122" s="532"/>
      <c r="H122" s="532"/>
      <c r="I122" s="532"/>
      <c r="J122" s="532"/>
      <c r="K122" s="532"/>
    </row>
    <row r="123" spans="1:11" ht="16.5" thickBot="1">
      <c r="A123" s="117"/>
      <c r="B123" s="152"/>
      <c r="E123" s="481"/>
    </row>
    <row r="124" spans="1:11" ht="15.75" thickBot="1">
      <c r="A124" s="212" t="s">
        <v>694</v>
      </c>
      <c r="B124" s="359">
        <v>2</v>
      </c>
      <c r="C124" s="493" t="str">
        <f>IF(B124=2,"INCLUDED",IF(B124=1,-EQUIP!S121,((B124-2)*EQUIP!S45)))</f>
        <v>INCLUDED</v>
      </c>
      <c r="D124" s="500"/>
    </row>
    <row r="125" spans="1:11" ht="16.5" thickBot="1">
      <c r="A125" s="212" t="s">
        <v>695</v>
      </c>
      <c r="B125" s="118">
        <f>EXC!C27</f>
        <v>0</v>
      </c>
      <c r="C125" s="530">
        <f>B125*EQUIP!S43</f>
        <v>0</v>
      </c>
      <c r="D125" s="531"/>
      <c r="E125" s="532" t="str">
        <f>IF(B14&gt;0,"PROJECT HAS A SPA - ADD SPA LIGHT","")</f>
        <v/>
      </c>
      <c r="F125" s="532"/>
      <c r="G125" s="532"/>
      <c r="H125" s="532"/>
      <c r="I125" s="532"/>
      <c r="J125" s="532"/>
      <c r="K125" s="532"/>
    </row>
    <row r="126" spans="1:11" ht="15.75" thickBot="1">
      <c r="B126" s="152"/>
    </row>
    <row r="127" spans="1:11" ht="15.75" thickBot="1">
      <c r="A127" s="217" t="s">
        <v>1076</v>
      </c>
      <c r="B127" s="194">
        <f>IF(C127&gt;0,1,0)</f>
        <v>1</v>
      </c>
      <c r="C127" s="493">
        <f>VLOOKUP(A127,EQUIP!M49:S57,7,FALSE)+(H127*EQUIP!S58)</f>
        <v>1645</v>
      </c>
      <c r="D127" s="500"/>
      <c r="E127" s="226">
        <f>IF(C127=1280,1,0)</f>
        <v>0</v>
      </c>
      <c r="F127" s="226">
        <f>IF(A127=EQUIP!M57,1,0)</f>
        <v>0</v>
      </c>
      <c r="G127" s="351">
        <f>B131</f>
        <v>1</v>
      </c>
      <c r="H127" s="226">
        <f>F127*G127</f>
        <v>0</v>
      </c>
    </row>
    <row r="128" spans="1:11" ht="15.75" thickBot="1">
      <c r="A128" s="217" t="s">
        <v>126</v>
      </c>
      <c r="B128" s="194">
        <f>IF(C128&gt;0,1,0)</f>
        <v>0</v>
      </c>
      <c r="C128" s="493">
        <f>VLOOKUP(A128,EQUIP!M49:S57,7,FALSE)+(H128*EQUIP!S58)</f>
        <v>0</v>
      </c>
      <c r="D128" s="500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.75" thickBot="1">
      <c r="A129" s="217" t="s">
        <v>126</v>
      </c>
      <c r="B129" s="194">
        <f>IF(C129&gt;0,1,0)</f>
        <v>0</v>
      </c>
      <c r="C129" s="493">
        <f>VLOOKUP(A129,EQUIP!M49:S57,7,FALSE)+(H129*EQUIP!S58)</f>
        <v>0</v>
      </c>
      <c r="D129" s="500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.75" thickBot="1">
      <c r="B130" s="152"/>
      <c r="F130" s="352"/>
      <c r="G130" s="352"/>
      <c r="H130" s="352"/>
    </row>
    <row r="131" spans="1:11" ht="16.5" thickBot="1">
      <c r="A131" s="212" t="s">
        <v>1090</v>
      </c>
      <c r="B131" s="118">
        <v>1</v>
      </c>
      <c r="C131" s="494">
        <f>VLOOKUP(A131,EQUIP!M63:S72,7,FALSE)</f>
        <v>1217.7777777777778</v>
      </c>
      <c r="D131" s="493"/>
      <c r="E131" s="532" t="str">
        <f>IF(B14&gt;0,"PROJECT HAS A SPA - SELECT AUTOMATION","")</f>
        <v/>
      </c>
      <c r="F131" s="532"/>
      <c r="G131" s="532"/>
      <c r="H131" s="532"/>
      <c r="I131" s="532"/>
      <c r="J131" s="532"/>
      <c r="K131" s="532"/>
    </row>
    <row r="132" spans="1:11" ht="15.75" thickBot="1">
      <c r="B132" s="152"/>
    </row>
    <row r="133" spans="1:11" ht="15.75" thickBot="1">
      <c r="A133" s="212" t="s">
        <v>885</v>
      </c>
      <c r="B133" s="194">
        <f>IF(A133=EQUIP!M105,0,1)</f>
        <v>0</v>
      </c>
      <c r="C133" s="492">
        <f>VLOOKUP(A133,EQUIP!M105:S107,7,FALSE)+(ELEC!E15)</f>
        <v>0</v>
      </c>
      <c r="D133" s="493"/>
    </row>
    <row r="134" spans="1:11" ht="15.75" thickBot="1">
      <c r="A134" s="117" t="s">
        <v>867</v>
      </c>
      <c r="B134" s="194">
        <v>0</v>
      </c>
      <c r="C134" s="524" t="s">
        <v>468</v>
      </c>
      <c r="D134" s="525"/>
    </row>
    <row r="135" spans="1:11" ht="15.75" thickBot="1">
      <c r="B135" s="152"/>
    </row>
    <row r="136" spans="1:11" ht="18" thickBot="1">
      <c r="A136" s="497" t="s">
        <v>703</v>
      </c>
      <c r="B136" s="498"/>
      <c r="C136" s="498"/>
      <c r="D136" s="499"/>
    </row>
    <row r="137" spans="1:11" ht="15.75" thickBot="1">
      <c r="B137" s="152"/>
    </row>
    <row r="138" spans="1:11" ht="15.75" thickBot="1">
      <c r="A138" s="217" t="s">
        <v>139</v>
      </c>
      <c r="B138" s="194">
        <v>0</v>
      </c>
      <c r="C138" s="500">
        <f>EQUIP!S128</f>
        <v>0</v>
      </c>
      <c r="D138" s="500"/>
    </row>
    <row r="139" spans="1:11" ht="15.75" thickBot="1">
      <c r="A139" s="217" t="s">
        <v>139</v>
      </c>
      <c r="B139" s="194">
        <v>0</v>
      </c>
      <c r="C139" s="500">
        <f>EQUIP!S129</f>
        <v>0</v>
      </c>
      <c r="D139" s="500"/>
    </row>
    <row r="140" spans="1:11" ht="15.75" thickBot="1">
      <c r="A140" s="117"/>
      <c r="B140" s="152"/>
    </row>
    <row r="141" spans="1:11" ht="15.75" thickBot="1">
      <c r="A141" s="217" t="s">
        <v>704</v>
      </c>
      <c r="B141" s="194">
        <v>0</v>
      </c>
      <c r="C141" s="500">
        <f>VLOOKUP(A141,EQUIP!M130:S130,7,FALSE)</f>
        <v>0</v>
      </c>
      <c r="D141" s="500"/>
    </row>
    <row r="142" spans="1:11" ht="15.75" thickBot="1">
      <c r="A142" s="117"/>
      <c r="B142" s="152"/>
    </row>
    <row r="143" spans="1:11" ht="15.75" thickBot="1">
      <c r="A143" s="217" t="s">
        <v>705</v>
      </c>
      <c r="B143" s="194">
        <v>0</v>
      </c>
      <c r="C143" s="494">
        <f>VLOOKUP(A143,EQUIP!M131:S131,7,FALSE)</f>
        <v>0</v>
      </c>
      <c r="D143" s="493"/>
    </row>
    <row r="144" spans="1:11" ht="15.75" thickBot="1">
      <c r="A144" s="117"/>
      <c r="B144" s="152"/>
      <c r="C144" s="343"/>
      <c r="D144" s="343"/>
    </row>
    <row r="145" spans="1:5" ht="15.75" thickBot="1">
      <c r="A145" s="212" t="s">
        <v>830</v>
      </c>
      <c r="B145" s="194">
        <v>0</v>
      </c>
      <c r="C145" s="494">
        <f>VLOOKUP(A145,EQUIP!M132:S132,7,FALSE)</f>
        <v>0</v>
      </c>
      <c r="D145" s="493"/>
    </row>
    <row r="146" spans="1:5" ht="15.75" thickBot="1">
      <c r="B146" s="152"/>
    </row>
    <row r="147" spans="1:5" ht="18" thickBot="1">
      <c r="A147" s="497" t="s">
        <v>713</v>
      </c>
      <c r="B147" s="498"/>
      <c r="C147" s="498"/>
      <c r="D147" s="499"/>
      <c r="E147" s="153" t="s">
        <v>1067</v>
      </c>
    </row>
    <row r="148" spans="1:5" ht="15.75" thickBot="1">
      <c r="B148" s="152"/>
    </row>
    <row r="149" spans="1:5" ht="15.75" thickBot="1">
      <c r="A149" s="212" t="str">
        <f>CUSTOM!A3</f>
        <v>Parged Concrete</v>
      </c>
      <c r="B149" s="194">
        <f>IF(C149&gt;0,1,0)</f>
        <v>0</v>
      </c>
      <c r="C149" s="493">
        <f>CUSTOM!G3</f>
        <v>0</v>
      </c>
      <c r="D149" s="500"/>
      <c r="E149" t="s">
        <v>783</v>
      </c>
    </row>
    <row r="150" spans="1:5" ht="9.75" customHeight="1" thickBot="1">
      <c r="B150" s="152"/>
    </row>
    <row r="151" spans="1:5" ht="15.75" thickBot="1">
      <c r="A151" s="212" t="str">
        <f>CUSTOM!A5</f>
        <v>Oversized coping</v>
      </c>
      <c r="B151" s="194">
        <f>IF(C151&gt;0,1,0)</f>
        <v>1</v>
      </c>
      <c r="C151" s="493">
        <f>CUSTOM!G5</f>
        <v>1177.1428571428571</v>
      </c>
      <c r="D151" s="500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.75" thickBot="1">
      <c r="A153" s="212" t="str">
        <f>CUSTOM!A7</f>
        <v>handrail</v>
      </c>
      <c r="B153" s="194">
        <f>IF(C153&gt;0,1,0)</f>
        <v>1</v>
      </c>
      <c r="C153" s="493">
        <f>CUSTOM!G7</f>
        <v>1468.5714285714287</v>
      </c>
      <c r="D153" s="500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.75" thickBot="1">
      <c r="A155" s="212" t="str">
        <f>CUSTOM!A9</f>
        <v>No Custom Feature</v>
      </c>
      <c r="B155" s="194">
        <f>IF(C155&gt;0,1,0)</f>
        <v>0</v>
      </c>
      <c r="C155" s="493">
        <f>CUSTOM!G9</f>
        <v>0</v>
      </c>
      <c r="D155" s="500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.75" thickBot="1">
      <c r="A157" s="212" t="str">
        <f>CUSTOM!A11</f>
        <v>No Custom Feature</v>
      </c>
      <c r="B157" s="194">
        <f>IF(C157&gt;0,1,0)</f>
        <v>0</v>
      </c>
      <c r="C157" s="493">
        <f>CUSTOM!G11</f>
        <v>0</v>
      </c>
      <c r="D157" s="500"/>
      <c r="E157" t="s">
        <v>783</v>
      </c>
    </row>
    <row r="158" spans="1:5" ht="9.75" customHeight="1" thickBot="1">
      <c r="B158" s="152"/>
    </row>
    <row r="159" spans="1:5" ht="15.75" thickBot="1">
      <c r="A159" s="212" t="str">
        <f>CUSTOM!A13</f>
        <v>No Custom Feature</v>
      </c>
      <c r="B159" s="194">
        <f>IF(C159&gt;0,1,0)</f>
        <v>0</v>
      </c>
      <c r="C159" s="493">
        <f>CUSTOM!G13</f>
        <v>0</v>
      </c>
      <c r="D159" s="500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.75" thickBot="1">
      <c r="A161" s="212" t="str">
        <f>CUSTOM!A15</f>
        <v>No Custom Feature</v>
      </c>
      <c r="B161" s="194">
        <f>IF(C161&gt;0,1,0)</f>
        <v>0</v>
      </c>
      <c r="C161" s="493">
        <f>CUSTOM!G15</f>
        <v>0</v>
      </c>
      <c r="D161" s="500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.75" thickBot="1">
      <c r="A163" s="212" t="str">
        <f>CUSTOM!A17</f>
        <v>No Custom Feature</v>
      </c>
      <c r="B163" s="194">
        <f>IF(C163&gt;0,1,0)</f>
        <v>0</v>
      </c>
      <c r="C163" s="493">
        <f>CUSTOM!G17</f>
        <v>0</v>
      </c>
      <c r="D163" s="500"/>
      <c r="E163" t="s">
        <v>783</v>
      </c>
    </row>
    <row r="164" spans="1:14" ht="15.75" thickBot="1">
      <c r="B164" s="152"/>
    </row>
    <row r="165" spans="1:14" ht="18" thickBot="1">
      <c r="A165" s="497" t="s">
        <v>1069</v>
      </c>
      <c r="B165" s="498"/>
      <c r="C165" s="498"/>
      <c r="D165" s="499"/>
    </row>
    <row r="166" spans="1:14" ht="15" customHeight="1" thickBot="1">
      <c r="A166" s="163"/>
      <c r="B166" s="175"/>
      <c r="C166" s="163"/>
      <c r="D166" s="163"/>
    </row>
    <row r="167" spans="1:14" ht="15.75" thickBot="1">
      <c r="A167" s="99" t="s">
        <v>1070</v>
      </c>
      <c r="B167" s="118">
        <v>0</v>
      </c>
      <c r="C167" t="s">
        <v>468</v>
      </c>
    </row>
    <row r="168" spans="1:14" ht="15.75" thickBot="1">
      <c r="B168" s="152"/>
    </row>
    <row r="169" spans="1:14" ht="18" thickBot="1">
      <c r="A169" s="497" t="s">
        <v>1056</v>
      </c>
      <c r="B169" s="498"/>
      <c r="C169" s="498"/>
      <c r="D169" s="499"/>
    </row>
    <row r="170" spans="1:14" ht="18" thickBot="1">
      <c r="A170" s="163"/>
      <c r="B170" s="175"/>
      <c r="C170" s="163"/>
      <c r="D170" s="163"/>
    </row>
    <row r="171" spans="1:14" ht="15.75" thickBot="1">
      <c r="A171" s="99" t="s">
        <v>1051</v>
      </c>
      <c r="B171" s="118">
        <v>0</v>
      </c>
      <c r="C171" t="s">
        <v>468</v>
      </c>
      <c r="D171">
        <v>37</v>
      </c>
    </row>
    <row r="172" spans="1:14" ht="15.75" thickBot="1">
      <c r="B172" s="152"/>
    </row>
    <row r="173" spans="1:14" ht="18" thickBot="1">
      <c r="A173" s="497" t="s">
        <v>572</v>
      </c>
      <c r="B173" s="498"/>
      <c r="C173" s="498"/>
      <c r="D173" s="499"/>
    </row>
    <row r="174" spans="1:14" ht="15.75" thickBot="1"/>
    <row r="175" spans="1:14" ht="15.75" customHeight="1" thickBot="1">
      <c r="A175" s="347" t="s">
        <v>975</v>
      </c>
      <c r="B175" s="194">
        <v>1</v>
      </c>
      <c r="E175" s="529" t="str">
        <f>VLOOKUP(A175,INT!A6:R18,18,FALSE)</f>
        <v>Caribbean Blue / Sandy Beach / Tahoe Blue / White Pearl</v>
      </c>
      <c r="F175" s="529"/>
      <c r="G175" s="529"/>
      <c r="H175" s="529"/>
      <c r="I175" s="529"/>
      <c r="J175" s="529"/>
      <c r="K175" s="529"/>
      <c r="L175" s="529"/>
      <c r="M175" s="529"/>
      <c r="N175" s="437"/>
    </row>
    <row r="176" spans="1:14" ht="15.7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1</v>
      </c>
      <c r="C177" s="493">
        <f>'COST - NEW'!E299</f>
        <v>580</v>
      </c>
      <c r="D177" s="500"/>
      <c r="E177" s="503" t="s">
        <v>914</v>
      </c>
      <c r="F177" s="503"/>
      <c r="G177" s="503"/>
      <c r="H177" s="503"/>
      <c r="I177" s="503"/>
      <c r="J177" s="503"/>
      <c r="K177" s="503"/>
      <c r="L177" s="503"/>
      <c r="M177" s="503"/>
      <c r="N177" s="503"/>
    </row>
    <row r="178" spans="1:14" ht="15.7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.7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.7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95" customHeight="1" thickBot="1">
      <c r="A181" s="501" t="s">
        <v>637</v>
      </c>
      <c r="B181" s="502"/>
      <c r="C181" s="495">
        <f>CEILING('COST - NEW'!D344/'COST - NEW'!E344,10)+'COST - NEW'!E309</f>
        <v>105540</v>
      </c>
      <c r="D181" s="496"/>
      <c r="E181" s="153" t="s">
        <v>1068</v>
      </c>
      <c r="H181">
        <v>113990</v>
      </c>
    </row>
    <row r="182" spans="1:14" ht="15.75" thickBot="1"/>
    <row r="183" spans="1:14" ht="18.95" customHeight="1" thickBot="1">
      <c r="A183" s="509" t="s">
        <v>1148</v>
      </c>
      <c r="B183" s="510"/>
      <c r="C183" s="490">
        <v>0</v>
      </c>
      <c r="D183" s="491"/>
    </row>
    <row r="184" spans="1:14" ht="15.75" thickBot="1"/>
    <row r="185" spans="1:14" ht="18.95" customHeight="1" thickBot="1">
      <c r="A185" s="509" t="s">
        <v>1149</v>
      </c>
      <c r="B185" s="510"/>
      <c r="C185" s="490">
        <v>0</v>
      </c>
      <c r="D185" s="491"/>
    </row>
    <row r="186" spans="1:14" ht="15.75" thickBot="1"/>
    <row r="187" spans="1:14" ht="18.95" customHeight="1" thickBot="1">
      <c r="A187" s="509"/>
      <c r="B187" s="510"/>
      <c r="C187" s="490">
        <v>-1570</v>
      </c>
      <c r="D187" s="491"/>
    </row>
    <row r="188" spans="1:14" ht="15.75" thickBot="1"/>
    <row r="189" spans="1:14" ht="18.95" customHeight="1" thickBot="1">
      <c r="A189" s="509"/>
      <c r="B189" s="510"/>
      <c r="C189" s="490">
        <v>-6400</v>
      </c>
      <c r="D189" s="491"/>
      <c r="E189">
        <v>5699</v>
      </c>
    </row>
    <row r="190" spans="1:14" ht="15.75" thickBot="1"/>
    <row r="191" spans="1:14" ht="19.5" thickBot="1">
      <c r="A191" s="182" t="s">
        <v>676</v>
      </c>
      <c r="B191" s="349">
        <f>'COST - NEW'!E353*10</f>
        <v>1.6279686199010979</v>
      </c>
      <c r="C191" s="507">
        <f>SUM(C181:D190)</f>
        <v>97570</v>
      </c>
      <c r="D191" s="508"/>
      <c r="E191" s="153" t="s">
        <v>1068</v>
      </c>
    </row>
  </sheetData>
  <mergeCells count="64"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</mergeCells>
  <phoneticPr fontId="47" type="noConversion"/>
  <conditionalFormatting sqref="B121">
    <cfRule type="cellIs" dxfId="15" priority="6" operator="greaterThan">
      <formula>0</formula>
    </cfRule>
    <cfRule type="cellIs" dxfId="14" priority="8" operator="greaterThan">
      <formula>0</formula>
    </cfRule>
    <cfRule type="cellIs" dxfId="13" priority="9" operator="greaterThan">
      <formula>1</formula>
    </cfRule>
    <cfRule type="cellIs" dxfId="12" priority="10" operator="greaterThan">
      <formula>1</formula>
    </cfRule>
    <cfRule type="cellIs" dxfId="11" priority="11" operator="greaterThan">
      <formula>0</formula>
    </cfRule>
  </conditionalFormatting>
  <conditionalFormatting sqref="B125">
    <cfRule type="cellIs" dxfId="10" priority="7" operator="greaterThan">
      <formula>0</formula>
    </cfRule>
  </conditionalFormatting>
  <conditionalFormatting sqref="B131">
    <cfRule type="cellIs" dxfId="9" priority="1" operator="greaterThan">
      <formula>0</formula>
    </cfRule>
    <cfRule type="cellIs" dxfId="8" priority="2" operator="greaterThan">
      <formula>0</formula>
    </cfRule>
    <cfRule type="cellIs" dxfId="7" priority="3" operator="greaterThan">
      <formula>1</formula>
    </cfRule>
    <cfRule type="cellIs" dxfId="6" priority="4" operator="greaterThan">
      <formula>1</formula>
    </cfRule>
    <cfRule type="cellIs" dxfId="5" priority="5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7"/>
  <sheetViews>
    <sheetView zoomScaleNormal="100" workbookViewId="0">
      <selection activeCell="C8" sqref="C8"/>
    </sheetView>
  </sheetViews>
  <sheetFormatPr defaultRowHeight="15"/>
  <cols>
    <col min="1" max="1" width="43.28515625" customWidth="1"/>
    <col min="3" max="5" width="14.42578125" customWidth="1"/>
    <col min="7" max="7" width="17.570312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1147</v>
      </c>
      <c r="B3" s="28"/>
      <c r="C3" s="67">
        <v>0</v>
      </c>
      <c r="D3" s="67">
        <v>0</v>
      </c>
      <c r="E3" s="29">
        <f>C3+D3</f>
        <v>0</v>
      </c>
      <c r="F3" s="244">
        <v>0.7</v>
      </c>
      <c r="G3" s="30">
        <f>E3/F3</f>
        <v>0</v>
      </c>
    </row>
    <row r="5" spans="1:8">
      <c r="A5" s="7" t="s">
        <v>1142</v>
      </c>
      <c r="B5" s="28"/>
      <c r="C5" s="67">
        <v>824</v>
      </c>
      <c r="D5" s="67">
        <v>0</v>
      </c>
      <c r="E5" s="29">
        <f>C5+D5</f>
        <v>824</v>
      </c>
      <c r="F5" s="244">
        <v>0.7</v>
      </c>
      <c r="G5" s="30">
        <f>E5/F5</f>
        <v>1177.1428571428571</v>
      </c>
    </row>
    <row r="6" spans="1:8">
      <c r="A6" s="4"/>
    </row>
    <row r="7" spans="1:8">
      <c r="A7" s="7" t="s">
        <v>1151</v>
      </c>
      <c r="B7" s="28"/>
      <c r="C7" s="67">
        <v>1028</v>
      </c>
      <c r="D7" s="67">
        <v>0</v>
      </c>
      <c r="E7" s="29">
        <f>C7+D7</f>
        <v>1028</v>
      </c>
      <c r="F7" s="244">
        <v>0.7</v>
      </c>
      <c r="G7" s="30">
        <f>E7/F7</f>
        <v>1468.5714285714287</v>
      </c>
      <c r="H7" s="484" t="s">
        <v>1152</v>
      </c>
    </row>
    <row r="8" spans="1:8">
      <c r="A8" s="4"/>
    </row>
    <row r="9" spans="1:8">
      <c r="A9" s="7" t="s">
        <v>980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980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980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980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980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topLeftCell="A87" zoomScaleNormal="100" workbookViewId="0">
      <selection activeCell="A141" sqref="A141:D141"/>
    </sheetView>
  </sheetViews>
  <sheetFormatPr defaultRowHeight="15"/>
  <cols>
    <col min="1" max="1" width="32.140625" customWidth="1"/>
    <col min="2" max="3" width="7.5703125" customWidth="1"/>
    <col min="4" max="4" width="7.85546875" customWidth="1"/>
    <col min="5" max="5" width="10.5703125" customWidth="1"/>
    <col min="6" max="6" width="23.140625" customWidth="1"/>
    <col min="7" max="7" width="13.85546875" customWidth="1"/>
  </cols>
  <sheetData>
    <row r="1" spans="1:7">
      <c r="A1" s="80"/>
      <c r="B1" s="540">
        <v>2025</v>
      </c>
      <c r="C1" s="540"/>
      <c r="D1" s="540"/>
      <c r="E1" s="540"/>
      <c r="F1" s="546" t="s">
        <v>361</v>
      </c>
      <c r="G1" s="546"/>
    </row>
    <row r="2" spans="1:7">
      <c r="A2" s="80"/>
      <c r="B2" s="540"/>
      <c r="C2" s="540"/>
      <c r="D2" s="540"/>
      <c r="E2" s="540"/>
      <c r="F2" s="550" t="s">
        <v>432</v>
      </c>
      <c r="G2" s="550"/>
    </row>
    <row r="3" spans="1:7">
      <c r="A3" s="80"/>
      <c r="B3" s="540"/>
      <c r="C3" s="540"/>
      <c r="D3" s="540"/>
      <c r="E3" s="540"/>
      <c r="F3" s="550"/>
      <c r="G3" s="550"/>
    </row>
    <row r="4" spans="1:7" ht="18.600000000000001" customHeight="1">
      <c r="A4" s="80"/>
      <c r="B4" s="580"/>
      <c r="C4" s="580"/>
      <c r="D4" s="580"/>
      <c r="E4" s="580"/>
      <c r="F4" s="547" t="s">
        <v>1098</v>
      </c>
      <c r="G4" s="547"/>
    </row>
    <row r="5" spans="1:7" ht="18.600000000000001" customHeight="1">
      <c r="A5" s="80"/>
      <c r="B5" s="355"/>
      <c r="C5" s="355"/>
      <c r="D5" s="355"/>
      <c r="E5" s="355"/>
      <c r="F5" s="547" t="s">
        <v>1099</v>
      </c>
      <c r="G5" s="547"/>
    </row>
    <row r="6" spans="1:7" ht="18.600000000000001" customHeight="1">
      <c r="A6" s="80"/>
      <c r="B6" s="581" t="s">
        <v>799</v>
      </c>
      <c r="C6" s="581"/>
      <c r="D6" s="581"/>
      <c r="E6" s="581"/>
      <c r="F6" s="548" t="s">
        <v>1100</v>
      </c>
      <c r="G6" s="549"/>
    </row>
    <row r="7" spans="1:7" ht="14.45" customHeight="1">
      <c r="A7" s="609" t="s">
        <v>719</v>
      </c>
      <c r="B7" s="599" t="str">
        <f>'NEW POOL'!B3</f>
        <v>Bishop</v>
      </c>
      <c r="C7" s="599"/>
      <c r="D7" s="599"/>
      <c r="E7" s="599"/>
      <c r="F7" s="605">
        <f ca="1">TODAY()</f>
        <v>45959</v>
      </c>
      <c r="G7" s="606"/>
    </row>
    <row r="8" spans="1:7" ht="14.45" customHeight="1">
      <c r="A8" s="610"/>
      <c r="B8" s="599" t="str">
        <f>'NEW POOL'!B4</f>
        <v>Indian Land</v>
      </c>
      <c r="C8" s="599"/>
      <c r="D8" s="599"/>
      <c r="E8" s="599"/>
      <c r="F8" s="607"/>
      <c r="G8" s="608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602" t="s">
        <v>365</v>
      </c>
      <c r="G10" s="603"/>
    </row>
    <row r="11" spans="1:7" ht="22.5" customHeight="1">
      <c r="A11" s="246" t="s">
        <v>720</v>
      </c>
      <c r="B11" s="333">
        <f>'NEW POOL'!E7</f>
        <v>16</v>
      </c>
      <c r="C11" s="333">
        <f>'NEW POOL'!E8</f>
        <v>36</v>
      </c>
      <c r="D11" s="333">
        <f>'NEW POOL'!B9</f>
        <v>3.5</v>
      </c>
      <c r="E11" s="171">
        <f>'NEW POOL'!B10</f>
        <v>7</v>
      </c>
      <c r="F11" s="533"/>
      <c r="G11" s="533"/>
    </row>
    <row r="12" spans="1:7" ht="22.5" customHeight="1">
      <c r="A12" s="246" t="s">
        <v>721</v>
      </c>
      <c r="B12" s="172">
        <f>'NEW POOL'!B15</f>
        <v>0</v>
      </c>
      <c r="C12" s="173">
        <f>'NEW POOL'!B14</f>
        <v>0</v>
      </c>
      <c r="D12" s="173">
        <f>IF(B12&gt;0,3,0)</f>
        <v>0</v>
      </c>
      <c r="E12" s="173">
        <v>0</v>
      </c>
      <c r="F12" s="533" t="str">
        <f>IF(C12=0,"No Spa","Split Bench for Customized Therapy")</f>
        <v>No Spa</v>
      </c>
      <c r="G12" s="533"/>
    </row>
    <row r="13" spans="1:7" ht="14.45" customHeight="1">
      <c r="A13" s="554" t="str">
        <f>IF(I43=1,"Shell:","Notes:")</f>
        <v>Notes:</v>
      </c>
      <c r="B13" s="554" t="str">
        <f>IF('NEW POOL'!A21="Fiberglass - Small","",'NEW POOL'!A21)</f>
        <v/>
      </c>
      <c r="C13" s="555"/>
      <c r="D13" s="555"/>
      <c r="E13" s="555"/>
      <c r="F13" s="555"/>
      <c r="G13" s="556"/>
    </row>
    <row r="14" spans="1:7" ht="14.45" customHeight="1">
      <c r="A14" s="584"/>
      <c r="B14" s="554" t="str">
        <f>IF('NEW POOL'!A22="Fiberglass - Medium","",'NEW POOL'!A22)</f>
        <v/>
      </c>
      <c r="C14" s="555"/>
      <c r="D14" s="555"/>
      <c r="E14" s="555"/>
      <c r="F14" s="555"/>
      <c r="G14" s="556"/>
    </row>
    <row r="15" spans="1:7">
      <c r="A15" s="557"/>
      <c r="B15" s="552" t="str">
        <f>IF('NEW POOL'!A23="Fiberglass - Large","",'NEW POOL'!A23)</f>
        <v/>
      </c>
      <c r="C15" s="604"/>
      <c r="D15" s="604"/>
      <c r="E15" s="604"/>
      <c r="F15" s="604"/>
      <c r="G15" s="553"/>
    </row>
    <row r="16" spans="1:7" ht="18">
      <c r="A16" s="69"/>
      <c r="B16" s="69"/>
      <c r="C16" s="69"/>
      <c r="D16" s="69"/>
      <c r="E16" s="69"/>
      <c r="F16" s="69"/>
    </row>
    <row r="17" spans="1:7" ht="15.6" customHeight="1">
      <c r="A17" s="543" t="s">
        <v>367</v>
      </c>
      <c r="B17" s="544"/>
      <c r="C17" s="544"/>
      <c r="D17" s="544"/>
      <c r="E17" s="545"/>
      <c r="F17" s="551" t="s">
        <v>365</v>
      </c>
      <c r="G17" s="551"/>
    </row>
    <row r="18" spans="1:7" ht="33" customHeight="1">
      <c r="A18" s="534" t="s">
        <v>368</v>
      </c>
      <c r="B18" s="535"/>
      <c r="C18" s="535"/>
      <c r="D18" s="535"/>
      <c r="E18" s="536"/>
      <c r="F18" s="533"/>
      <c r="G18" s="533"/>
    </row>
    <row r="19" spans="1:7" ht="15.6" customHeight="1">
      <c r="A19" s="534" t="s">
        <v>369</v>
      </c>
      <c r="B19" s="541"/>
      <c r="C19" s="541"/>
      <c r="D19" s="541"/>
      <c r="E19" s="542"/>
      <c r="F19" s="533" t="s">
        <v>370</v>
      </c>
      <c r="G19" s="533"/>
    </row>
    <row r="20" spans="1:7" ht="15.6" customHeight="1">
      <c r="A20" s="563" t="s">
        <v>366</v>
      </c>
      <c r="B20" s="554"/>
      <c r="C20" s="555"/>
      <c r="D20" s="555"/>
      <c r="E20" s="555"/>
      <c r="F20" s="555"/>
      <c r="G20" s="556"/>
    </row>
    <row r="21" spans="1:7" ht="15.6" customHeight="1">
      <c r="A21" s="564"/>
      <c r="B21" s="565"/>
      <c r="C21" s="566"/>
      <c r="D21" s="566"/>
      <c r="E21" s="566"/>
      <c r="F21" s="566"/>
      <c r="G21" s="567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43" t="s">
        <v>371</v>
      </c>
      <c r="B23" s="544"/>
      <c r="C23" s="544"/>
      <c r="D23" s="544"/>
      <c r="E23" s="545"/>
      <c r="F23" s="551" t="s">
        <v>365</v>
      </c>
      <c r="G23" s="551"/>
    </row>
    <row r="24" spans="1:7" ht="15.6" customHeight="1">
      <c r="A24" s="534" t="s">
        <v>372</v>
      </c>
      <c r="B24" s="535"/>
      <c r="C24" s="535"/>
      <c r="D24" s="535"/>
      <c r="E24" s="536"/>
      <c r="F24" s="533" t="s">
        <v>439</v>
      </c>
      <c r="G24" s="533"/>
    </row>
    <row r="25" spans="1:7" ht="15.6" customHeight="1">
      <c r="A25" s="534" t="s">
        <v>373</v>
      </c>
      <c r="B25" s="535"/>
      <c r="C25" s="535"/>
      <c r="D25" s="535"/>
      <c r="E25" s="536"/>
      <c r="F25" s="533" t="s">
        <v>374</v>
      </c>
      <c r="G25" s="533"/>
    </row>
    <row r="26" spans="1:7" ht="15.6" customHeight="1">
      <c r="A26" s="534" t="s">
        <v>375</v>
      </c>
      <c r="B26" s="535"/>
      <c r="C26" s="535"/>
      <c r="D26" s="535"/>
      <c r="E26" s="536"/>
      <c r="F26" s="533"/>
      <c r="G26" s="533"/>
    </row>
    <row r="27" spans="1:7" ht="15.6" customHeight="1">
      <c r="A27" s="534" t="s">
        <v>376</v>
      </c>
      <c r="B27" s="535"/>
      <c r="C27" s="535"/>
      <c r="D27" s="535"/>
      <c r="E27" s="536"/>
      <c r="F27" s="533"/>
      <c r="G27" s="533"/>
    </row>
    <row r="28" spans="1:7" ht="15.6" customHeight="1">
      <c r="A28" s="534" t="s">
        <v>377</v>
      </c>
      <c r="B28" s="535"/>
      <c r="C28" s="535"/>
      <c r="D28" s="535"/>
      <c r="E28" s="536"/>
      <c r="F28" s="533"/>
      <c r="G28" s="533"/>
    </row>
    <row r="29" spans="1:7" ht="15.6" customHeight="1">
      <c r="A29" s="534" t="s">
        <v>378</v>
      </c>
      <c r="B29" s="535"/>
      <c r="C29" s="535"/>
      <c r="D29" s="535"/>
      <c r="E29" s="536"/>
      <c r="F29" s="533"/>
      <c r="G29" s="533"/>
    </row>
    <row r="30" spans="1:7" ht="15.6" customHeight="1">
      <c r="A30" s="534" t="s">
        <v>379</v>
      </c>
      <c r="B30" s="535"/>
      <c r="C30" s="535"/>
      <c r="D30" s="535"/>
      <c r="E30" s="536"/>
      <c r="F30" s="533"/>
      <c r="G30" s="533"/>
    </row>
    <row r="31" spans="1:7" ht="15.6" customHeight="1">
      <c r="A31" s="534" t="s">
        <v>380</v>
      </c>
      <c r="B31" s="535"/>
      <c r="C31" s="535"/>
      <c r="D31" s="535"/>
      <c r="E31" s="536"/>
      <c r="F31" s="533"/>
      <c r="G31" s="533"/>
    </row>
    <row r="32" spans="1:7" ht="15.6" customHeight="1">
      <c r="A32" s="534" t="s">
        <v>381</v>
      </c>
      <c r="B32" s="541"/>
      <c r="C32" s="541"/>
      <c r="D32" s="541"/>
      <c r="E32" s="542"/>
      <c r="F32" s="533"/>
      <c r="G32" s="533"/>
    </row>
    <row r="33" spans="1:9" ht="15.6" customHeight="1">
      <c r="A33" s="563" t="s">
        <v>366</v>
      </c>
      <c r="B33" s="554"/>
      <c r="C33" s="555"/>
      <c r="D33" s="555"/>
      <c r="E33" s="555"/>
      <c r="F33" s="555"/>
      <c r="G33" s="556"/>
    </row>
    <row r="34" spans="1:9" ht="15.6" customHeight="1">
      <c r="A34" s="564"/>
      <c r="B34" s="565"/>
      <c r="C34" s="566"/>
      <c r="D34" s="566"/>
      <c r="E34" s="566"/>
      <c r="F34" s="566"/>
      <c r="G34" s="567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43" t="s">
        <v>382</v>
      </c>
      <c r="B36" s="544"/>
      <c r="C36" s="544"/>
      <c r="D36" s="544"/>
      <c r="E36" s="545"/>
      <c r="F36" s="551" t="s">
        <v>365</v>
      </c>
      <c r="G36" s="551"/>
    </row>
    <row r="37" spans="1:9" ht="21" customHeight="1">
      <c r="A37" s="534" t="s">
        <v>383</v>
      </c>
      <c r="B37" s="535"/>
      <c r="C37" s="535"/>
      <c r="D37" s="535"/>
      <c r="E37" s="536"/>
      <c r="F37" s="533" t="s">
        <v>384</v>
      </c>
      <c r="G37" s="533"/>
    </row>
    <row r="38" spans="1:9" ht="21" customHeight="1">
      <c r="A38" s="534" t="s">
        <v>385</v>
      </c>
      <c r="B38" s="535"/>
      <c r="C38" s="535"/>
      <c r="D38" s="535"/>
      <c r="E38" s="536"/>
      <c r="F38" s="533" t="s">
        <v>386</v>
      </c>
      <c r="G38" s="533"/>
    </row>
    <row r="39" spans="1:9" ht="15.6" customHeight="1">
      <c r="A39" s="534"/>
      <c r="B39" s="541"/>
      <c r="C39" s="541"/>
      <c r="D39" s="541"/>
      <c r="E39" s="542"/>
      <c r="F39" s="533"/>
      <c r="G39" s="533"/>
    </row>
    <row r="40" spans="1:9" ht="15.6" customHeight="1">
      <c r="A40" s="563" t="s">
        <v>366</v>
      </c>
      <c r="B40" s="533"/>
      <c r="C40" s="533"/>
      <c r="D40" s="533"/>
      <c r="E40" s="533"/>
      <c r="F40" s="533"/>
      <c r="G40" s="533"/>
    </row>
    <row r="41" spans="1:9" ht="15.6" customHeight="1">
      <c r="A41" s="564"/>
      <c r="B41" s="537"/>
      <c r="C41" s="537"/>
      <c r="D41" s="537"/>
      <c r="E41" s="537"/>
      <c r="F41" s="537"/>
      <c r="G41" s="537"/>
    </row>
    <row r="42" spans="1:9" ht="15.6" customHeight="1"/>
    <row r="43" spans="1:9" ht="15.6" customHeight="1">
      <c r="A43" s="543" t="s">
        <v>387</v>
      </c>
      <c r="B43" s="544"/>
      <c r="C43" s="544"/>
      <c r="D43" s="544"/>
      <c r="E43" s="545"/>
      <c r="F43" s="600" t="s">
        <v>365</v>
      </c>
      <c r="G43" s="601"/>
      <c r="I43" s="286">
        <f>I76</f>
        <v>0</v>
      </c>
    </row>
    <row r="44" spans="1:9" ht="52.5" customHeight="1">
      <c r="A44" s="534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35"/>
      <c r="C44" s="535"/>
      <c r="D44" s="535"/>
      <c r="E44" s="536"/>
      <c r="F44" s="552" t="str">
        <f>IF(I43=1,"","Our bond beam and wall steel schedules are beyond code for protection against expansive soils")</f>
        <v>Our bond beam and wall steel schedules are beyond code for protection against expansive soils</v>
      </c>
      <c r="G44" s="553"/>
    </row>
    <row r="45" spans="1:9" ht="15.6" customHeight="1">
      <c r="A45" s="534" t="str">
        <f>IF(I43=1,"","10 inch on center in transition slope by 20 feet length")</f>
        <v>10 inch on center in transition slope by 20 feet length</v>
      </c>
      <c r="B45" s="535"/>
      <c r="C45" s="535"/>
      <c r="D45" s="535"/>
      <c r="E45" s="536"/>
      <c r="F45" s="552" t="str">
        <f>IF(I43=1,"","Strongest steel schedule in the industry!")</f>
        <v>Strongest steel schedule in the industry!</v>
      </c>
      <c r="G45" s="553"/>
    </row>
    <row r="46" spans="1:9" ht="15.6" customHeight="1">
      <c r="A46" s="534" t="s">
        <v>1097</v>
      </c>
      <c r="B46" s="535"/>
      <c r="C46" s="535"/>
      <c r="D46" s="535"/>
      <c r="E46" s="536"/>
      <c r="F46" s="552"/>
      <c r="G46" s="553"/>
    </row>
    <row r="47" spans="1:9" ht="15.6" customHeight="1">
      <c r="A47" s="534"/>
      <c r="B47" s="541"/>
      <c r="C47" s="541"/>
      <c r="D47" s="541"/>
      <c r="E47" s="542"/>
      <c r="F47" s="552"/>
      <c r="G47" s="553"/>
    </row>
    <row r="48" spans="1:9" ht="15.6" customHeight="1">
      <c r="A48" s="554" t="s">
        <v>366</v>
      </c>
      <c r="B48" s="554"/>
      <c r="C48" s="555"/>
      <c r="D48" s="555"/>
      <c r="E48" s="555"/>
      <c r="F48" s="555"/>
      <c r="G48" s="556"/>
    </row>
    <row r="49" spans="1:7" ht="15.6" customHeight="1">
      <c r="A49" s="557"/>
      <c r="B49" s="557"/>
      <c r="C49" s="558"/>
      <c r="D49" s="558"/>
      <c r="E49" s="558"/>
      <c r="F49" s="558"/>
      <c r="G49" s="559"/>
    </row>
    <row r="50" spans="1:7" ht="15.6" customHeight="1"/>
    <row r="51" spans="1:7" ht="15.6" customHeight="1">
      <c r="A51" s="543" t="s">
        <v>388</v>
      </c>
      <c r="B51" s="544"/>
      <c r="C51" s="544"/>
      <c r="D51" s="544"/>
      <c r="E51" s="545"/>
      <c r="F51" s="551" t="s">
        <v>365</v>
      </c>
      <c r="G51" s="551"/>
    </row>
    <row r="52" spans="1:7" ht="15.6" customHeight="1">
      <c r="A52" s="534" t="s">
        <v>389</v>
      </c>
      <c r="B52" s="535"/>
      <c r="C52" s="535"/>
      <c r="D52" s="535"/>
      <c r="E52" s="536"/>
      <c r="F52" s="533" t="s">
        <v>390</v>
      </c>
      <c r="G52" s="533"/>
    </row>
    <row r="53" spans="1:7" ht="15.6" customHeight="1">
      <c r="A53" s="534" t="s">
        <v>391</v>
      </c>
      <c r="B53" s="535"/>
      <c r="C53" s="535"/>
      <c r="D53" s="535"/>
      <c r="E53" s="536"/>
      <c r="F53" s="533" t="s">
        <v>392</v>
      </c>
      <c r="G53" s="533"/>
    </row>
    <row r="54" spans="1:7" ht="15.6" customHeight="1">
      <c r="A54" s="534" t="s">
        <v>393</v>
      </c>
      <c r="B54" s="535"/>
      <c r="C54" s="535"/>
      <c r="D54" s="535"/>
      <c r="E54" s="536"/>
      <c r="F54" s="533" t="s">
        <v>394</v>
      </c>
      <c r="G54" s="533"/>
    </row>
    <row r="55" spans="1:7" ht="47.25" customHeight="1">
      <c r="A55" s="534" t="s">
        <v>395</v>
      </c>
      <c r="B55" s="535"/>
      <c r="C55" s="535"/>
      <c r="D55" s="535"/>
      <c r="E55" s="536"/>
      <c r="F55" s="533"/>
      <c r="G55" s="533"/>
    </row>
    <row r="56" spans="1:7" ht="15.6" customHeight="1">
      <c r="A56" s="534" t="s">
        <v>434</v>
      </c>
      <c r="B56" s="535"/>
      <c r="C56" s="535"/>
      <c r="D56" s="535"/>
      <c r="E56" s="536"/>
      <c r="F56" s="533"/>
      <c r="G56" s="533"/>
    </row>
    <row r="57" spans="1:7" ht="15.6" customHeight="1">
      <c r="A57" s="534" t="s">
        <v>396</v>
      </c>
      <c r="B57" s="535"/>
      <c r="C57" s="535"/>
      <c r="D57" s="535"/>
      <c r="E57" s="536"/>
      <c r="F57" s="533"/>
      <c r="G57" s="533"/>
    </row>
    <row r="58" spans="1:7" ht="15.6" customHeight="1">
      <c r="A58" s="534" t="s">
        <v>397</v>
      </c>
      <c r="B58" s="535"/>
      <c r="C58" s="535"/>
      <c r="D58" s="535"/>
      <c r="E58" s="536"/>
      <c r="F58" s="533"/>
      <c r="G58" s="533"/>
    </row>
    <row r="59" spans="1:7" ht="15.6" customHeight="1">
      <c r="A59" s="534"/>
      <c r="B59" s="535"/>
      <c r="C59" s="535"/>
      <c r="D59" s="535"/>
      <c r="E59" s="536"/>
      <c r="F59" s="533"/>
      <c r="G59" s="533"/>
    </row>
    <row r="60" spans="1:7" ht="15.6" customHeight="1">
      <c r="A60" s="534" t="s">
        <v>398</v>
      </c>
      <c r="B60" s="535"/>
      <c r="C60" s="535"/>
      <c r="D60" s="535"/>
      <c r="E60" s="536"/>
      <c r="F60" s="533"/>
      <c r="G60" s="533"/>
    </row>
    <row r="61" spans="1:7" ht="28.5" customHeight="1">
      <c r="A61" s="596" t="s">
        <v>399</v>
      </c>
      <c r="B61" s="597"/>
      <c r="C61" s="597"/>
      <c r="D61" s="597"/>
      <c r="E61" s="598"/>
      <c r="F61" s="533"/>
      <c r="G61" s="533"/>
    </row>
    <row r="62" spans="1:7" ht="15.6" customHeight="1">
      <c r="A62" s="538"/>
      <c r="B62" s="538"/>
      <c r="C62" s="538"/>
      <c r="D62" s="538"/>
      <c r="E62" s="539"/>
      <c r="F62" s="533"/>
      <c r="G62" s="533"/>
    </row>
    <row r="63" spans="1:7" ht="15.6" customHeight="1">
      <c r="A63" s="563" t="s">
        <v>366</v>
      </c>
      <c r="B63" s="533"/>
      <c r="C63" s="533"/>
      <c r="D63" s="533"/>
      <c r="E63" s="533"/>
      <c r="F63" s="533"/>
      <c r="G63" s="533"/>
    </row>
    <row r="64" spans="1:7" ht="15.6" customHeight="1">
      <c r="A64" s="564"/>
      <c r="B64" s="537"/>
      <c r="C64" s="537"/>
      <c r="D64" s="537"/>
      <c r="E64" s="537"/>
      <c r="F64" s="537"/>
      <c r="G64" s="537"/>
    </row>
    <row r="65" spans="1:9" ht="15.6" customHeight="1"/>
    <row r="66" spans="1:9" ht="15.6" customHeight="1">
      <c r="A66" s="543" t="s">
        <v>400</v>
      </c>
      <c r="B66" s="544"/>
      <c r="C66" s="544"/>
      <c r="D66" s="544"/>
      <c r="E66" s="545"/>
      <c r="F66" s="551" t="s">
        <v>365</v>
      </c>
      <c r="G66" s="551"/>
    </row>
    <row r="67" spans="1:9" ht="15.6" customHeight="1">
      <c r="A67" s="534" t="s">
        <v>401</v>
      </c>
      <c r="B67" s="535"/>
      <c r="C67" s="535"/>
      <c r="D67" s="535"/>
      <c r="E67" s="536"/>
      <c r="F67" s="533" t="s">
        <v>402</v>
      </c>
      <c r="G67" s="533"/>
    </row>
    <row r="68" spans="1:9" ht="15.6" customHeight="1">
      <c r="A68" s="534" t="s">
        <v>403</v>
      </c>
      <c r="B68" s="535"/>
      <c r="C68" s="535"/>
      <c r="D68" s="535"/>
      <c r="E68" s="536"/>
      <c r="F68" s="533"/>
      <c r="G68" s="533"/>
    </row>
    <row r="69" spans="1:9" ht="15.6" customHeight="1">
      <c r="A69" s="534" t="s">
        <v>404</v>
      </c>
      <c r="B69" s="535"/>
      <c r="C69" s="535"/>
      <c r="D69" s="535"/>
      <c r="E69" s="536"/>
      <c r="F69" s="533"/>
      <c r="G69" s="533"/>
    </row>
    <row r="70" spans="1:9" ht="15.6" customHeight="1">
      <c r="A70" s="534" t="s">
        <v>963</v>
      </c>
      <c r="B70" s="535"/>
      <c r="C70" s="535"/>
      <c r="D70" s="535"/>
      <c r="E70" s="536"/>
      <c r="F70" s="533" t="s">
        <v>964</v>
      </c>
      <c r="G70" s="533"/>
    </row>
    <row r="71" spans="1:9" ht="15.6" customHeight="1">
      <c r="A71" s="534" t="s">
        <v>405</v>
      </c>
      <c r="B71" s="535"/>
      <c r="C71" s="535"/>
      <c r="D71" s="535"/>
      <c r="E71" s="536"/>
      <c r="F71" s="533"/>
      <c r="G71" s="533"/>
    </row>
    <row r="72" spans="1:9" ht="15.6" customHeight="1">
      <c r="A72" s="534" t="s">
        <v>406</v>
      </c>
      <c r="B72" s="541"/>
      <c r="C72" s="541"/>
      <c r="D72" s="541"/>
      <c r="E72" s="542"/>
      <c r="F72" s="533"/>
      <c r="G72" s="533"/>
    </row>
    <row r="73" spans="1:9" ht="15.6" customHeight="1">
      <c r="A73" s="563" t="s">
        <v>366</v>
      </c>
      <c r="B73" s="554"/>
      <c r="C73" s="555"/>
      <c r="D73" s="555"/>
      <c r="E73" s="555"/>
      <c r="F73" s="555"/>
      <c r="G73" s="556"/>
    </row>
    <row r="74" spans="1:9" ht="15.6" customHeight="1">
      <c r="A74" s="564"/>
      <c r="B74" s="565"/>
      <c r="C74" s="566"/>
      <c r="D74" s="566"/>
      <c r="E74" s="566"/>
      <c r="F74" s="566"/>
      <c r="G74" s="567"/>
    </row>
    <row r="75" spans="1:9" ht="15.6" customHeight="1"/>
    <row r="76" spans="1:9" ht="15.6" customHeight="1">
      <c r="A76" s="543" t="s">
        <v>407</v>
      </c>
      <c r="B76" s="544"/>
      <c r="C76" s="544"/>
      <c r="D76" s="544"/>
      <c r="E76" s="545"/>
      <c r="F76" s="551" t="s">
        <v>365</v>
      </c>
      <c r="G76" s="551"/>
      <c r="I76" s="286">
        <f>J142</f>
        <v>0</v>
      </c>
    </row>
    <row r="77" spans="1:9" ht="15.6" customHeight="1">
      <c r="A77" s="534" t="str">
        <f>IF(J142=1,"No Shotcrete - Fiberglass Shell","4,000 PSI pneumatically applied shotcrete")</f>
        <v>4,000 PSI pneumatically applied shotcrete</v>
      </c>
      <c r="B77" s="535"/>
      <c r="C77" s="535"/>
      <c r="D77" s="535"/>
      <c r="E77" s="536"/>
      <c r="F77" s="533" t="str">
        <f>IF(I76=1,"","Lifetime structural warranty")</f>
        <v>Lifetime structural warranty</v>
      </c>
      <c r="G77" s="533"/>
    </row>
    <row r="78" spans="1:9" ht="47.25" customHeight="1">
      <c r="A78" s="534"/>
      <c r="B78" s="535"/>
      <c r="C78" s="535"/>
      <c r="D78" s="535"/>
      <c r="E78" s="536"/>
      <c r="F78" s="533"/>
      <c r="G78" s="533"/>
    </row>
    <row r="79" spans="1:9" ht="15.6" customHeight="1">
      <c r="A79" s="534" t="str">
        <f>IF(I76=1,"","All shotcrete is measured by a certified weighmaster")</f>
        <v>All shotcrete is measured by a certified weighmaster</v>
      </c>
      <c r="B79" s="535"/>
      <c r="C79" s="535"/>
      <c r="D79" s="535"/>
      <c r="E79" s="536"/>
      <c r="F79" s="552"/>
      <c r="G79" s="553"/>
    </row>
    <row r="80" spans="1:9" ht="15.6" customHeight="1">
      <c r="A80" s="534" t="str">
        <f>IF(I76=1,"","All nozzlemen are certified for State and Municipal work")</f>
        <v>All nozzlemen are certified for State and Municipal work</v>
      </c>
      <c r="B80" s="535"/>
      <c r="C80" s="535"/>
      <c r="D80" s="535"/>
      <c r="E80" s="536"/>
      <c r="F80" s="552"/>
      <c r="G80" s="553"/>
    </row>
    <row r="81" spans="1:9" ht="15.6" customHeight="1">
      <c r="A81" s="534" t="str">
        <f>IF(I76=1,"","Lifetime structural warranty")</f>
        <v>Lifetime structural warranty</v>
      </c>
      <c r="B81" s="535"/>
      <c r="C81" s="535"/>
      <c r="D81" s="535"/>
      <c r="E81" s="536"/>
      <c r="F81" s="533"/>
      <c r="G81" s="533"/>
    </row>
    <row r="82" spans="1:9" ht="15.6" customHeight="1">
      <c r="A82" s="563" t="s">
        <v>366</v>
      </c>
      <c r="B82" s="554"/>
      <c r="C82" s="555"/>
      <c r="D82" s="555"/>
      <c r="E82" s="555"/>
      <c r="F82" s="555"/>
      <c r="G82" s="556"/>
    </row>
    <row r="83" spans="1:9" ht="15.6" customHeight="1">
      <c r="A83" s="564"/>
      <c r="B83" s="565"/>
      <c r="C83" s="566"/>
      <c r="D83" s="566"/>
      <c r="E83" s="566"/>
      <c r="F83" s="566"/>
      <c r="G83" s="567"/>
    </row>
    <row r="84" spans="1:9" ht="15.6" customHeight="1"/>
    <row r="85" spans="1:9" ht="15.6" customHeight="1">
      <c r="A85" s="543" t="s">
        <v>408</v>
      </c>
      <c r="B85" s="544"/>
      <c r="C85" s="544"/>
      <c r="D85" s="544"/>
      <c r="E85" s="545"/>
      <c r="F85" s="551" t="s">
        <v>365</v>
      </c>
      <c r="G85" s="551"/>
      <c r="I85" s="286">
        <f>I76</f>
        <v>0</v>
      </c>
    </row>
    <row r="86" spans="1:9" ht="27" customHeight="1">
      <c r="A86" s="534" t="str">
        <f>IF(I85=1,"Fiberglass Shell - No Tile","All pool &amp; spa waterline tile including - skimmer throat")</f>
        <v>All pool &amp; spa waterline tile including - skimmer throat</v>
      </c>
      <c r="B86" s="535"/>
      <c r="C86" s="535"/>
      <c r="D86" s="535"/>
      <c r="E86" s="536"/>
      <c r="F86" s="533" t="str">
        <f>IF(I85=1,"","Frost-proof tiles in a variety of patterns and colors")</f>
        <v>Frost-proof tiles in a variety of patterns and colors</v>
      </c>
      <c r="G86" s="533"/>
    </row>
    <row r="87" spans="1:9" ht="15.6" customHeight="1">
      <c r="A87" s="534" t="str">
        <f>IF(I85=1,"","Trim tile available on steps and benches")</f>
        <v>Trim tile available on steps and benches</v>
      </c>
      <c r="B87" s="541"/>
      <c r="C87" s="541"/>
      <c r="D87" s="541"/>
      <c r="E87" s="542"/>
      <c r="F87" s="533" t="s">
        <v>965</v>
      </c>
      <c r="G87" s="533"/>
    </row>
    <row r="88" spans="1:9" ht="15.6" customHeight="1">
      <c r="A88" s="563" t="s">
        <v>366</v>
      </c>
      <c r="B88" s="554"/>
      <c r="C88" s="555"/>
      <c r="D88" s="555"/>
      <c r="E88" s="555"/>
      <c r="F88" s="555"/>
      <c r="G88" s="556"/>
    </row>
    <row r="89" spans="1:9" ht="15.6" customHeight="1">
      <c r="A89" s="564"/>
      <c r="B89" s="565"/>
      <c r="C89" s="566"/>
      <c r="D89" s="566"/>
      <c r="E89" s="566"/>
      <c r="F89" s="566"/>
      <c r="G89" s="567"/>
    </row>
    <row r="90" spans="1:9" ht="15.6" customHeight="1"/>
    <row r="91" spans="1:9" ht="15.6" customHeight="1">
      <c r="A91" s="543" t="s">
        <v>409</v>
      </c>
      <c r="B91" s="544"/>
      <c r="C91" s="544"/>
      <c r="D91" s="544"/>
      <c r="E91" s="545"/>
      <c r="F91" s="551" t="s">
        <v>365</v>
      </c>
      <c r="G91" s="551"/>
    </row>
    <row r="92" spans="1:9" ht="15.6" customHeight="1">
      <c r="A92" s="534"/>
      <c r="B92" s="535"/>
      <c r="C92" s="535"/>
      <c r="D92" s="535"/>
      <c r="E92" s="536"/>
      <c r="F92" s="533"/>
      <c r="G92" s="533"/>
    </row>
    <row r="93" spans="1:9" ht="15.6" customHeight="1">
      <c r="A93" s="534"/>
      <c r="B93" s="541"/>
      <c r="C93" s="541"/>
      <c r="D93" s="541"/>
      <c r="E93" s="542"/>
      <c r="F93" s="533"/>
      <c r="G93" s="533"/>
    </row>
    <row r="94" spans="1:9" ht="15.6" customHeight="1">
      <c r="A94" s="563" t="s">
        <v>366</v>
      </c>
      <c r="B94" s="554"/>
      <c r="C94" s="555"/>
      <c r="D94" s="555"/>
      <c r="E94" s="555"/>
      <c r="F94" s="555"/>
      <c r="G94" s="556"/>
    </row>
    <row r="95" spans="1:9" ht="15.6" customHeight="1">
      <c r="A95" s="564"/>
      <c r="B95" s="565"/>
      <c r="C95" s="566"/>
      <c r="D95" s="566"/>
      <c r="E95" s="566"/>
      <c r="F95" s="566"/>
      <c r="G95" s="567"/>
    </row>
    <row r="96" spans="1:9" ht="15.6" customHeight="1"/>
    <row r="97" spans="1:7" ht="15.6" customHeight="1">
      <c r="A97" s="543" t="s">
        <v>410</v>
      </c>
      <c r="B97" s="544"/>
      <c r="C97" s="544"/>
      <c r="D97" s="544"/>
      <c r="E97" s="545"/>
      <c r="F97" s="551" t="s">
        <v>365</v>
      </c>
      <c r="G97" s="551"/>
    </row>
    <row r="98" spans="1:7" ht="23.25" customHeight="1">
      <c r="A98" s="534" t="str">
        <f>'NEW POOL'!A113</f>
        <v>Jandy 1.85HP Variable Pump</v>
      </c>
      <c r="B98" s="535"/>
      <c r="C98" s="535"/>
      <c r="D98" s="535"/>
      <c r="E98" s="536"/>
      <c r="F98" s="533" t="s">
        <v>411</v>
      </c>
      <c r="G98" s="533"/>
    </row>
    <row r="99" spans="1:7" ht="15.6" customHeight="1">
      <c r="A99" s="560" t="str">
        <f>'NEW POOL'!A114</f>
        <v>No Auxiliary Pump</v>
      </c>
      <c r="B99" s="561"/>
      <c r="C99" s="561"/>
      <c r="D99" s="561"/>
      <c r="E99" s="562"/>
      <c r="F99" s="533"/>
      <c r="G99" s="533"/>
    </row>
    <row r="100" spans="1:7" ht="15.6" customHeight="1">
      <c r="A100" s="534" t="str">
        <f>'NEW POOL'!A117</f>
        <v>580 SQFT Cartridge Filter</v>
      </c>
      <c r="B100" s="535"/>
      <c r="C100" s="535"/>
      <c r="D100" s="535"/>
      <c r="E100" s="536"/>
      <c r="F100" s="533"/>
      <c r="G100" s="533"/>
    </row>
    <row r="101" spans="1:7" ht="15.6" customHeight="1">
      <c r="A101" s="560" t="str">
        <f>'NEW POOL'!A127</f>
        <v>Salt System - Jandy Tru-Clear</v>
      </c>
      <c r="B101" s="561"/>
      <c r="C101" s="561"/>
      <c r="D101" s="561"/>
      <c r="E101" s="562"/>
      <c r="F101" s="552"/>
      <c r="G101" s="553"/>
    </row>
    <row r="102" spans="1:7" ht="15.6" customHeight="1">
      <c r="A102" s="560" t="str">
        <f>'NEW POOL'!A128</f>
        <v>No Sanitation</v>
      </c>
      <c r="B102" s="561"/>
      <c r="C102" s="561"/>
      <c r="D102" s="561"/>
      <c r="E102" s="562"/>
      <c r="F102" s="552"/>
      <c r="G102" s="553"/>
    </row>
    <row r="103" spans="1:7" ht="15.6" customHeight="1">
      <c r="A103" s="560" t="str">
        <f>'NEW POOL'!A129</f>
        <v>No Sanitation</v>
      </c>
      <c r="B103" s="561"/>
      <c r="C103" s="561"/>
      <c r="D103" s="561"/>
      <c r="E103" s="562"/>
      <c r="F103" s="533"/>
      <c r="G103" s="533"/>
    </row>
    <row r="104" spans="1:7" ht="15.6" customHeight="1">
      <c r="A104" s="534" t="str">
        <f>'NEW POOL'!A121</f>
        <v>No Heater</v>
      </c>
      <c r="B104" s="535"/>
      <c r="C104" s="535"/>
      <c r="D104" s="535"/>
      <c r="E104" s="536"/>
      <c r="F104" s="533"/>
      <c r="G104" s="533"/>
    </row>
    <row r="105" spans="1:7" ht="15.6" customHeight="1">
      <c r="A105" s="534"/>
      <c r="B105" s="535"/>
      <c r="C105" s="535"/>
      <c r="D105" s="535"/>
      <c r="E105" s="536"/>
      <c r="F105" s="533"/>
      <c r="G105" s="533"/>
    </row>
    <row r="106" spans="1:7" ht="15.6" customHeight="1">
      <c r="A106" s="534" t="str">
        <f>'NEW POOL'!A131</f>
        <v>Jandy TCX Controler (1 JVA, Lights and Heater Control)</v>
      </c>
      <c r="B106" s="541"/>
      <c r="C106" s="541"/>
      <c r="D106" s="541"/>
      <c r="E106" s="542"/>
      <c r="F106" s="533"/>
      <c r="G106" s="533"/>
    </row>
    <row r="107" spans="1:7" ht="36" customHeight="1">
      <c r="A107" s="563" t="s">
        <v>366</v>
      </c>
      <c r="B107" s="554" t="s">
        <v>966</v>
      </c>
      <c r="C107" s="555"/>
      <c r="D107" s="555"/>
      <c r="E107" s="555"/>
      <c r="F107" s="555"/>
      <c r="G107" s="556"/>
    </row>
    <row r="108" spans="1:7" ht="15.6" customHeight="1">
      <c r="A108" s="564"/>
      <c r="B108" s="565"/>
      <c r="C108" s="566"/>
      <c r="D108" s="566"/>
      <c r="E108" s="566"/>
      <c r="F108" s="566"/>
      <c r="G108" s="567"/>
    </row>
    <row r="109" spans="1:7" ht="15.6" customHeight="1"/>
    <row r="110" spans="1:7" ht="15.6" customHeight="1">
      <c r="A110" s="543" t="s">
        <v>412</v>
      </c>
      <c r="B110" s="544"/>
      <c r="C110" s="544"/>
      <c r="D110" s="544"/>
      <c r="E110" s="545"/>
      <c r="F110" s="551" t="s">
        <v>365</v>
      </c>
      <c r="G110" s="551"/>
    </row>
    <row r="111" spans="1:7" ht="15.6" customHeight="1">
      <c r="A111" s="534" t="s">
        <v>413</v>
      </c>
      <c r="B111" s="535"/>
      <c r="C111" s="535"/>
      <c r="D111" s="535"/>
      <c r="E111" s="536"/>
      <c r="F111" s="552"/>
      <c r="G111" s="553"/>
    </row>
    <row r="112" spans="1:7" ht="15.6" customHeight="1">
      <c r="A112" s="534" t="s">
        <v>414</v>
      </c>
      <c r="B112" s="535"/>
      <c r="C112" s="535"/>
      <c r="D112" s="535"/>
      <c r="E112" s="536"/>
      <c r="F112" s="552"/>
      <c r="G112" s="553"/>
    </row>
    <row r="113" spans="1:7" ht="15.6" customHeight="1">
      <c r="A113" s="534"/>
      <c r="B113" s="535"/>
      <c r="C113" s="535"/>
      <c r="D113" s="535"/>
      <c r="E113" s="536"/>
      <c r="F113" s="552"/>
      <c r="G113" s="553"/>
    </row>
    <row r="114" spans="1:7" ht="15.6" customHeight="1">
      <c r="A114" s="534" t="str">
        <f>IF(J142=1,"",'NEW POOL'!A175)</f>
        <v>Pebble Tec  - Level 1</v>
      </c>
      <c r="B114" s="535"/>
      <c r="C114" s="535"/>
      <c r="D114" s="535"/>
      <c r="E114" s="536"/>
      <c r="F114" s="552" t="str">
        <f>IF(A114="","","Combines durablity and functionality")</f>
        <v>Combines durablity and functionality</v>
      </c>
      <c r="G114" s="553"/>
    </row>
    <row r="115" spans="1:7" ht="15.6" customHeight="1">
      <c r="A115" s="534" t="s">
        <v>415</v>
      </c>
      <c r="B115" s="535"/>
      <c r="C115" s="535"/>
      <c r="D115" s="535"/>
      <c r="E115" s="536"/>
      <c r="F115" s="552"/>
      <c r="G115" s="553"/>
    </row>
    <row r="116" spans="1:7" ht="15.6" customHeight="1">
      <c r="A116" s="534" t="str">
        <f>IF('NEW POOL'!B47=1, "Dirt haul off included", "Dirt to remain at property")</f>
        <v>Dirt haul off included</v>
      </c>
      <c r="B116" s="535"/>
      <c r="C116" s="535"/>
      <c r="D116" s="535"/>
      <c r="E116" s="536"/>
      <c r="F116" s="552"/>
      <c r="G116" s="553"/>
    </row>
    <row r="117" spans="1:7" ht="15.6" customHeight="1">
      <c r="A117" s="534" t="s">
        <v>1131</v>
      </c>
      <c r="B117" s="535"/>
      <c r="C117" s="535"/>
      <c r="D117" s="535"/>
      <c r="E117" s="536"/>
      <c r="F117" s="552" t="s">
        <v>1132</v>
      </c>
      <c r="G117" s="553"/>
    </row>
    <row r="118" spans="1:7" ht="15.6" customHeight="1">
      <c r="A118" s="563" t="s">
        <v>366</v>
      </c>
      <c r="B118" s="554"/>
      <c r="C118" s="555"/>
      <c r="D118" s="555"/>
      <c r="E118" s="555"/>
      <c r="F118" s="555"/>
      <c r="G118" s="556"/>
    </row>
    <row r="119" spans="1:7" ht="15.6" customHeight="1">
      <c r="A119" s="564"/>
      <c r="B119" s="565"/>
      <c r="C119" s="566"/>
      <c r="D119" s="566"/>
      <c r="E119" s="566"/>
      <c r="F119" s="566"/>
      <c r="G119" s="567"/>
    </row>
    <row r="120" spans="1:7" ht="15.6" customHeight="1"/>
    <row r="121" spans="1:7" ht="15.6" customHeight="1">
      <c r="A121" s="543" t="s">
        <v>416</v>
      </c>
      <c r="B121" s="544"/>
      <c r="C121" s="544"/>
      <c r="D121" s="544"/>
      <c r="E121" s="545"/>
      <c r="F121" s="551" t="s">
        <v>365</v>
      </c>
      <c r="G121" s="551"/>
    </row>
    <row r="122" spans="1:7" ht="24" customHeight="1">
      <c r="A122" s="534" t="s">
        <v>417</v>
      </c>
      <c r="B122" s="535"/>
      <c r="C122" s="535"/>
      <c r="D122" s="535"/>
      <c r="E122" s="536"/>
      <c r="F122" s="533" t="s">
        <v>418</v>
      </c>
      <c r="G122" s="533"/>
    </row>
    <row r="123" spans="1:7" ht="15.6" customHeight="1">
      <c r="A123" s="534" t="s">
        <v>419</v>
      </c>
      <c r="B123" s="535"/>
      <c r="C123" s="535"/>
      <c r="D123" s="535"/>
      <c r="E123" s="536"/>
      <c r="F123" s="533" t="s">
        <v>420</v>
      </c>
      <c r="G123" s="533"/>
    </row>
    <row r="124" spans="1:7" ht="18.75" customHeight="1">
      <c r="A124" s="534" t="s">
        <v>421</v>
      </c>
      <c r="B124" s="535"/>
      <c r="C124" s="535"/>
      <c r="D124" s="535"/>
      <c r="E124" s="536"/>
      <c r="F124" s="533" t="s">
        <v>422</v>
      </c>
      <c r="G124" s="533"/>
    </row>
    <row r="125" spans="1:7" ht="15.6" customHeight="1">
      <c r="A125" s="563" t="s">
        <v>366</v>
      </c>
      <c r="B125" s="584"/>
      <c r="C125" s="585"/>
      <c r="D125" s="585"/>
      <c r="E125" s="585"/>
      <c r="F125" s="585"/>
      <c r="G125" s="585"/>
    </row>
    <row r="126" spans="1:7" ht="15.6" customHeight="1">
      <c r="A126" s="564"/>
      <c r="B126" s="582"/>
      <c r="C126" s="583"/>
      <c r="D126" s="583"/>
      <c r="E126" s="583"/>
      <c r="F126" s="583"/>
      <c r="G126" s="583"/>
    </row>
    <row r="127" spans="1:7" ht="15.6" customHeight="1">
      <c r="A127" s="80"/>
      <c r="B127" s="540">
        <v>2025</v>
      </c>
      <c r="C127" s="540"/>
      <c r="D127" s="540"/>
      <c r="E127" s="540"/>
      <c r="F127" s="546" t="s">
        <v>361</v>
      </c>
      <c r="G127" s="546"/>
    </row>
    <row r="128" spans="1:7" ht="15.6" customHeight="1">
      <c r="A128" s="80"/>
      <c r="B128" s="540"/>
      <c r="C128" s="540"/>
      <c r="D128" s="540"/>
      <c r="E128" s="540"/>
      <c r="F128" s="550" t="str">
        <f>F2</f>
        <v>Prepared by:</v>
      </c>
      <c r="G128" s="550"/>
    </row>
    <row r="129" spans="1:10" ht="15.6" customHeight="1">
      <c r="A129" s="80"/>
      <c r="B129" s="540"/>
      <c r="C129" s="540"/>
      <c r="D129" s="540"/>
      <c r="E129" s="540"/>
      <c r="F129" s="550"/>
      <c r="G129" s="550"/>
    </row>
    <row r="130" spans="1:10" ht="15.6" customHeight="1">
      <c r="A130" s="80"/>
      <c r="B130" s="580"/>
      <c r="C130" s="580"/>
      <c r="D130" s="580"/>
      <c r="E130" s="580"/>
      <c r="F130" s="547" t="str">
        <f>F4</f>
        <v>John Piotrowski</v>
      </c>
      <c r="G130" s="547"/>
    </row>
    <row r="131" spans="1:10" ht="15.6" customHeight="1">
      <c r="A131" s="80"/>
      <c r="B131" s="355"/>
      <c r="C131" s="355"/>
      <c r="D131" s="355"/>
      <c r="E131" s="355"/>
      <c r="F131" s="547" t="str">
        <f>F5</f>
        <v>980-392-7944</v>
      </c>
      <c r="G131" s="547"/>
    </row>
    <row r="132" spans="1:10" ht="15.6" customHeight="1">
      <c r="A132" s="80"/>
      <c r="B132" s="581" t="s">
        <v>799</v>
      </c>
      <c r="C132" s="581"/>
      <c r="D132" s="581"/>
      <c r="E132" s="581"/>
      <c r="F132" s="547" t="str">
        <f>F6</f>
        <v>jpiotrowski@ppas.com</v>
      </c>
      <c r="G132" s="547"/>
    </row>
    <row r="133" spans="1:10" ht="14.45" customHeight="1">
      <c r="A133" s="587" t="s">
        <v>423</v>
      </c>
      <c r="B133" s="587"/>
      <c r="C133" s="587"/>
      <c r="D133" s="587"/>
      <c r="E133" s="587"/>
      <c r="F133" s="587"/>
      <c r="G133" s="587"/>
    </row>
    <row r="134" spans="1:10" ht="14.45" customHeight="1">
      <c r="A134" s="587"/>
      <c r="B134" s="587"/>
      <c r="C134" s="587"/>
      <c r="D134" s="587"/>
      <c r="E134" s="587"/>
      <c r="F134" s="587"/>
      <c r="G134" s="587"/>
    </row>
    <row r="135" spans="1:10" ht="15.6" customHeight="1">
      <c r="A135" s="70" t="s">
        <v>424</v>
      </c>
      <c r="B135" s="594" t="s">
        <v>425</v>
      </c>
      <c r="C135" s="595"/>
      <c r="D135" s="71" t="s">
        <v>426</v>
      </c>
      <c r="E135" s="87" t="s">
        <v>427</v>
      </c>
      <c r="F135" s="586" t="s">
        <v>428</v>
      </c>
      <c r="G135" s="569"/>
    </row>
    <row r="136" spans="1:10" ht="15.6" customHeight="1">
      <c r="A136" s="72" t="s">
        <v>429</v>
      </c>
      <c r="B136" s="588">
        <v>123591.37</v>
      </c>
      <c r="C136" s="589"/>
      <c r="D136" s="100"/>
      <c r="E136" s="90">
        <f>B136+D136</f>
        <v>123591.37</v>
      </c>
      <c r="F136" s="590"/>
      <c r="G136" s="591"/>
    </row>
    <row r="137" spans="1:10" ht="15.6" customHeight="1">
      <c r="A137" s="72"/>
      <c r="B137" s="588"/>
      <c r="C137" s="589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72"/>
      <c r="C138" s="572"/>
      <c r="D138" s="75"/>
      <c r="E138" s="90">
        <f>B138+D138</f>
        <v>0</v>
      </c>
      <c r="F138" s="590"/>
      <c r="G138" s="591"/>
    </row>
    <row r="139" spans="1:10" ht="15.6" customHeight="1">
      <c r="A139" s="76"/>
      <c r="B139" s="573"/>
      <c r="C139" s="573"/>
      <c r="D139" s="77"/>
      <c r="E139" s="91">
        <f>B139+D139</f>
        <v>0</v>
      </c>
      <c r="F139" s="590"/>
      <c r="G139" s="591"/>
    </row>
    <row r="140" spans="1:10" ht="15.6" customHeight="1">
      <c r="A140" s="76"/>
      <c r="B140" s="573"/>
      <c r="C140" s="573"/>
      <c r="D140" s="77"/>
      <c r="E140" s="91">
        <f>B140+D140</f>
        <v>0</v>
      </c>
      <c r="F140" s="590"/>
      <c r="G140" s="591"/>
    </row>
    <row r="141" spans="1:10" ht="15.6" customHeight="1">
      <c r="A141" s="74" t="s">
        <v>1146</v>
      </c>
      <c r="B141" s="572">
        <v>504</v>
      </c>
      <c r="C141" s="572"/>
      <c r="D141" s="75">
        <v>-504</v>
      </c>
      <c r="E141" s="90">
        <f t="shared" ref="E141:E147" si="0">IF(B141="","",B141+D141)</f>
        <v>0</v>
      </c>
      <c r="F141" s="590"/>
      <c r="G141" s="591"/>
    </row>
    <row r="142" spans="1:10" ht="15.6" customHeight="1" thickBot="1">
      <c r="A142" s="76" t="s">
        <v>1143</v>
      </c>
      <c r="B142" s="573"/>
      <c r="C142" s="573"/>
      <c r="D142" s="77">
        <v>-1451.37</v>
      </c>
      <c r="E142" s="91" t="str">
        <f t="shared" si="0"/>
        <v/>
      </c>
      <c r="F142" s="592" t="s">
        <v>436</v>
      </c>
      <c r="G142" s="593"/>
      <c r="J142" s="348">
        <f>'NEW POOL'!B21+'NEW POOL'!B22+'NEW POOL'!B23</f>
        <v>0</v>
      </c>
    </row>
    <row r="143" spans="1:10" ht="15.6" customHeight="1">
      <c r="A143" s="74" t="s">
        <v>1144</v>
      </c>
      <c r="B143" s="572" t="str">
        <f>IF('NEW POOL'!B171&gt;0,'COST - NEW'!E233,"")</f>
        <v/>
      </c>
      <c r="C143" s="572"/>
      <c r="D143" s="75">
        <v>-8150</v>
      </c>
      <c r="E143" s="90" t="str">
        <f t="shared" si="0"/>
        <v/>
      </c>
      <c r="F143" s="96" t="s">
        <v>437</v>
      </c>
      <c r="G143" s="94">
        <f>E148*0.1</f>
        <v>11399</v>
      </c>
      <c r="J143" s="348">
        <f>IF(A143="Crystite G2",1,0)</f>
        <v>0</v>
      </c>
    </row>
    <row r="144" spans="1:10" ht="15.6" customHeight="1">
      <c r="A144" s="76"/>
      <c r="B144" s="573"/>
      <c r="C144" s="573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30777</v>
      </c>
      <c r="J144" s="348">
        <f>IF(A143="Crystite G3",1.5,0)</f>
        <v>0</v>
      </c>
    </row>
    <row r="145" spans="1:7" ht="15.6" customHeight="1">
      <c r="A145" s="74"/>
      <c r="B145" s="572"/>
      <c r="C145" s="572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30777</v>
      </c>
    </row>
    <row r="146" spans="1:7" ht="15.6" customHeight="1">
      <c r="A146" s="76"/>
      <c r="B146" s="573"/>
      <c r="C146" s="573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30777</v>
      </c>
    </row>
    <row r="147" spans="1:7" ht="15.6" customHeight="1">
      <c r="A147" s="74"/>
      <c r="B147" s="572"/>
      <c r="C147" s="572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10260</v>
      </c>
    </row>
    <row r="148" spans="1:7" ht="15.6" customHeight="1" thickBot="1">
      <c r="A148" s="86" t="s">
        <v>433</v>
      </c>
      <c r="B148" s="574">
        <f>SUM(B136:C147)</f>
        <v>124095.37</v>
      </c>
      <c r="C148" s="575"/>
      <c r="D148" s="89">
        <f>SUM(D136:D147)</f>
        <v>-10105.369999999999</v>
      </c>
      <c r="E148" s="92">
        <f>B148+D148</f>
        <v>113990</v>
      </c>
      <c r="F148" s="97" t="s">
        <v>438</v>
      </c>
      <c r="G148" s="95">
        <f>SUM(G143:G147)</f>
        <v>113990</v>
      </c>
    </row>
    <row r="149" spans="1:7" ht="18">
      <c r="A149" s="73"/>
      <c r="B149" s="73"/>
      <c r="C149" s="576"/>
      <c r="D149" s="576"/>
      <c r="E149" s="105">
        <f>IF('NEW POOL'!C191-PROPOSAL!E148=0,"",'NEW POOL'!C191-E148)</f>
        <v>-16420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577" t="s">
        <v>425</v>
      </c>
      <c r="C151" s="577"/>
      <c r="D151" s="88" t="s">
        <v>426</v>
      </c>
      <c r="E151" s="85" t="s">
        <v>427</v>
      </c>
      <c r="F151" s="568" t="s">
        <v>428</v>
      </c>
      <c r="G151" s="569"/>
    </row>
    <row r="152" spans="1:7" ht="15.6" customHeight="1">
      <c r="A152" s="102" t="s">
        <v>1145</v>
      </c>
      <c r="B152" s="578">
        <v>7070</v>
      </c>
      <c r="C152" s="578"/>
      <c r="D152" s="103">
        <v>0</v>
      </c>
      <c r="E152" s="104">
        <f>B152+D152</f>
        <v>7070</v>
      </c>
      <c r="F152" s="570"/>
      <c r="G152" s="570"/>
    </row>
    <row r="153" spans="1:7" ht="15.6" customHeight="1">
      <c r="A153" s="82" t="s">
        <v>431</v>
      </c>
      <c r="B153" s="579">
        <v>0</v>
      </c>
      <c r="C153" s="579"/>
      <c r="D153" s="83">
        <v>0</v>
      </c>
      <c r="E153" s="84">
        <f>B153+D153</f>
        <v>0</v>
      </c>
      <c r="F153" s="571"/>
      <c r="G153" s="571"/>
    </row>
    <row r="154" spans="1:7" ht="15.6" customHeight="1">
      <c r="A154" s="102" t="s">
        <v>431</v>
      </c>
      <c r="B154" s="578">
        <v>0</v>
      </c>
      <c r="C154" s="578"/>
      <c r="D154" s="103">
        <v>0</v>
      </c>
      <c r="E154" s="104">
        <f>B154+D154</f>
        <v>0</v>
      </c>
      <c r="F154" s="570"/>
      <c r="G154" s="570"/>
    </row>
    <row r="155" spans="1:7">
      <c r="A155" s="82" t="s">
        <v>431</v>
      </c>
      <c r="B155" s="579">
        <v>0</v>
      </c>
      <c r="C155" s="579"/>
      <c r="D155" s="83">
        <v>0</v>
      </c>
      <c r="E155" s="84">
        <f>B155+D155</f>
        <v>0</v>
      </c>
      <c r="F155" s="571"/>
      <c r="G155" s="571"/>
    </row>
    <row r="156" spans="1:7">
      <c r="A156" s="102" t="s">
        <v>431</v>
      </c>
      <c r="B156" s="578">
        <v>0</v>
      </c>
      <c r="C156" s="578"/>
      <c r="D156" s="103">
        <v>0</v>
      </c>
      <c r="E156" s="104">
        <f>B156+D156</f>
        <v>0</v>
      </c>
      <c r="F156" s="570"/>
      <c r="G156" s="570"/>
    </row>
  </sheetData>
  <mergeCells count="248"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opLeftCell="A293" zoomScaleNormal="100" workbookViewId="0">
      <selection activeCell="E350" sqref="E350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6" max="6" width="11.85546875" customWidth="1"/>
    <col min="8" max="9" width="10.140625" bestFit="1" customWidth="1"/>
  </cols>
  <sheetData>
    <row r="1" spans="1:4" ht="15.75" thickBot="1"/>
    <row r="2" spans="1:4" ht="15.7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1</v>
      </c>
      <c r="D7" s="2">
        <f>PLANS!D8</f>
        <v>750</v>
      </c>
    </row>
    <row r="8" spans="1:4" ht="15.75" thickBot="1"/>
    <row r="9" spans="1:4" ht="15.75" thickBot="1">
      <c r="A9" s="155" t="s">
        <v>628</v>
      </c>
      <c r="B9" s="156"/>
      <c r="C9" s="157"/>
      <c r="D9" s="158">
        <f>SUM(D3:D8)</f>
        <v>1160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987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631</v>
      </c>
      <c r="B16" s="156"/>
      <c r="C16" s="157"/>
      <c r="D16" s="158">
        <f>SUM(D12:D15)</f>
        <v>550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925</v>
      </c>
    </row>
    <row r="24" spans="1:4" ht="15.75" thickBot="1"/>
    <row r="25" spans="1:4" ht="15.7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576</v>
      </c>
      <c r="D26" s="2">
        <f>EXC!D18</f>
        <v>2700</v>
      </c>
    </row>
    <row r="27" spans="1:4">
      <c r="A27" t="s">
        <v>900</v>
      </c>
      <c r="B27" s="21">
        <f>EXC!B17</f>
        <v>4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0</v>
      </c>
      <c r="D35" s="1">
        <f>EXC!D27</f>
        <v>0</v>
      </c>
    </row>
    <row r="36" spans="1:6">
      <c r="A36" t="str">
        <f>EXC!A28</f>
        <v>Raise Spa:</v>
      </c>
      <c r="B36" s="1">
        <f>EXC!B28</f>
        <v>350</v>
      </c>
      <c r="C36" s="5">
        <f>EXC!C28</f>
        <v>0</v>
      </c>
      <c r="D36" s="1">
        <f>EXC!D28</f>
        <v>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1584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180</v>
      </c>
      <c r="D40" s="1">
        <f>ROUNDUP(EXC!D32,0)</f>
        <v>3230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.75" thickBot="1">
      <c r="A44" s="153" t="s">
        <v>1133</v>
      </c>
      <c r="B44" s="153"/>
      <c r="C44" s="485"/>
      <c r="D44" s="486">
        <f>F44*-E44</f>
        <v>-818.90000000000009</v>
      </c>
      <c r="E44" s="455">
        <v>0.1</v>
      </c>
      <c r="F44" s="1">
        <f>SUM(D26:D43)</f>
        <v>8189</v>
      </c>
    </row>
    <row r="45" spans="1:6" ht="15.75" thickBot="1">
      <c r="A45" s="155" t="s">
        <v>521</v>
      </c>
      <c r="B45" s="156"/>
      <c r="C45" s="157"/>
      <c r="D45" s="454">
        <f>IF('NEW POOL'!B21+'NEW POOL'!B22+'NEW POOL'!B23&gt;0,D40+('NEW POOL'!B47*D43),SUM(D26:D44))</f>
        <v>7370.1</v>
      </c>
    </row>
    <row r="46" spans="1:6" ht="15.75" thickBot="1"/>
    <row r="47" spans="1:6" ht="15.7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0</v>
      </c>
      <c r="D49" s="2">
        <f>PLUM!D5</f>
        <v>0</v>
      </c>
    </row>
    <row r="50" spans="1:4">
      <c r="A50" t="s">
        <v>872</v>
      </c>
      <c r="B50" s="2">
        <f>PLUM!B8</f>
        <v>25</v>
      </c>
      <c r="C50" s="4">
        <f>PLUM!C8</f>
        <v>27</v>
      </c>
      <c r="D50" s="24">
        <f>PLUM!D8</f>
        <v>675</v>
      </c>
    </row>
    <row r="51" spans="1:4">
      <c r="A51" t="s">
        <v>871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205</v>
      </c>
      <c r="D56" s="2">
        <f>PLUM!D14</f>
        <v>1127.5</v>
      </c>
    </row>
    <row r="57" spans="1:4">
      <c r="A57" t="str">
        <f>PLUM!A15</f>
        <v>2.5"</v>
      </c>
      <c r="B57" s="2">
        <f>PLUM!B15</f>
        <v>7</v>
      </c>
      <c r="C57" s="4">
        <f>PLUM!C15</f>
        <v>70</v>
      </c>
      <c r="D57" s="2">
        <f>PLUM!D15</f>
        <v>490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229</v>
      </c>
      <c r="D67" s="2">
        <f>PLUM!D26</f>
        <v>629.75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.75" thickBot="1">
      <c r="A70" s="153" t="s">
        <v>1133</v>
      </c>
      <c r="B70" s="153"/>
      <c r="C70" s="485"/>
      <c r="D70" s="486">
        <f>F70*-E70</f>
        <v>0</v>
      </c>
      <c r="E70" s="487">
        <v>0</v>
      </c>
      <c r="F70" s="1">
        <f>SUM(D48:D69)</f>
        <v>4347.25</v>
      </c>
    </row>
    <row r="71" spans="1:6" ht="15.75" thickBot="1">
      <c r="A71" s="155" t="s">
        <v>520</v>
      </c>
      <c r="B71" s="156"/>
      <c r="C71" s="157"/>
      <c r="D71" s="158">
        <f>IF('NEW POOL'!B21+'NEW POOL'!B22+'NEW POOL'!B23&gt;0,(SUM(D48:D70)*0.4),SUM(D48:D70))</f>
        <v>4347.25</v>
      </c>
    </row>
    <row r="72" spans="1:6" ht="15.75" thickBot="1">
      <c r="A72" s="116"/>
      <c r="B72" s="116"/>
      <c r="C72" s="152"/>
      <c r="D72" s="154"/>
    </row>
    <row r="73" spans="1:6" ht="15.7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0</v>
      </c>
      <c r="D74" s="129">
        <f>B74*C74</f>
        <v>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0</v>
      </c>
      <c r="D75" s="129">
        <f>PLUM!D34</f>
        <v>0</v>
      </c>
    </row>
    <row r="76" spans="1:6" ht="15.75" thickBot="1">
      <c r="B76" s="129"/>
      <c r="C76" s="4"/>
      <c r="D76" s="129"/>
    </row>
    <row r="77" spans="1:6" ht="15.75" thickBot="1">
      <c r="A77" s="155" t="s">
        <v>669</v>
      </c>
      <c r="B77" s="156"/>
      <c r="C77" s="157"/>
      <c r="D77" s="158">
        <f>SUM(D74:D76)</f>
        <v>0</v>
      </c>
    </row>
    <row r="78" spans="1:6" ht="15.75" thickBot="1">
      <c r="A78" s="116"/>
      <c r="B78" s="116"/>
      <c r="C78" s="116"/>
      <c r="D78" s="116"/>
    </row>
    <row r="79" spans="1:6" ht="15.7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104</v>
      </c>
      <c r="D80" s="2">
        <f>STEEL!D4</f>
        <v>2600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104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0</v>
      </c>
      <c r="D84" s="2">
        <f>STEEL!D8</f>
        <v>0</v>
      </c>
    </row>
    <row r="85" spans="1:4">
      <c r="A85" t="s">
        <v>490</v>
      </c>
      <c r="B85" s="2">
        <f>STEEL!B9</f>
        <v>150</v>
      </c>
      <c r="C85" s="423">
        <f>STEEL!C9</f>
        <v>0</v>
      </c>
      <c r="D85" s="2">
        <f>STEEL!D9</f>
        <v>0</v>
      </c>
    </row>
    <row r="86" spans="1:4">
      <c r="A86" t="str">
        <f>STEEL!A10</f>
        <v>Bench:</v>
      </c>
      <c r="B86" s="2">
        <f>STEEL!B10</f>
        <v>8</v>
      </c>
      <c r="C86" s="4">
        <f>STEEL!C10</f>
        <v>70</v>
      </c>
      <c r="D86" s="2">
        <f>STEEL!D10</f>
        <v>560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2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1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0</v>
      </c>
      <c r="D98" s="2">
        <f>STEEL!D22</f>
        <v>0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0</v>
      </c>
      <c r="D99" s="2">
        <f>STEEL!D24</f>
        <v>0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.75" thickBot="1">
      <c r="A103" s="153" t="s">
        <v>1133</v>
      </c>
      <c r="B103" s="153"/>
      <c r="C103" s="485"/>
      <c r="D103" s="486">
        <f>F103*-E103</f>
        <v>-396</v>
      </c>
      <c r="E103" s="455">
        <v>0.1</v>
      </c>
      <c r="F103" s="1">
        <f>SUM(D80:D102)</f>
        <v>3960</v>
      </c>
    </row>
    <row r="104" spans="1:6" ht="15.75" thickBot="1">
      <c r="A104" s="155" t="s">
        <v>536</v>
      </c>
      <c r="B104" s="156"/>
      <c r="C104" s="157"/>
      <c r="D104" s="158">
        <f>IF('NEW POOL'!$B$21+'NEW POOL'!$B$22+'NEW POOL'!$B$23&gt;0,0,SUM(D80:D103))</f>
        <v>3564</v>
      </c>
    </row>
    <row r="105" spans="1:6" ht="15.75" thickBot="1"/>
    <row r="106" spans="1:6" ht="15.7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0</v>
      </c>
      <c r="D108" s="2">
        <f>ELEC!D5</f>
        <v>0</v>
      </c>
    </row>
    <row r="109" spans="1:6">
      <c r="A109" t="str">
        <f>ELEC!A6</f>
        <v>Lights:</v>
      </c>
      <c r="B109" s="2">
        <f>ELEC!B6</f>
        <v>100</v>
      </c>
      <c r="C109" s="4">
        <f>ELEC!C6</f>
        <v>1</v>
      </c>
      <c r="D109" s="2">
        <f>ELEC!D6</f>
        <v>100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0</v>
      </c>
      <c r="D110" s="2">
        <f>ELEC!D7</f>
        <v>0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1133</v>
      </c>
      <c r="B119" s="488"/>
      <c r="C119" s="168"/>
      <c r="D119" s="488">
        <v>0</v>
      </c>
    </row>
    <row r="120" spans="1:5" ht="15.75" thickBot="1"/>
    <row r="121" spans="1:5" ht="15.75" thickBot="1">
      <c r="A121" s="155" t="s">
        <v>559</v>
      </c>
      <c r="B121" s="156"/>
      <c r="C121" s="157"/>
      <c r="D121" s="158">
        <f>SUM(D107:D120)</f>
        <v>2385</v>
      </c>
    </row>
    <row r="122" spans="1:5" ht="15.75" thickBot="1"/>
    <row r="123" spans="1:5" ht="15.7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9</v>
      </c>
      <c r="D125" s="2">
        <f>SHOT!D5</f>
        <v>810</v>
      </c>
    </row>
    <row r="126" spans="1:5">
      <c r="A126" t="str">
        <f>SHOT!A6</f>
        <v>Spa:</v>
      </c>
      <c r="B126" s="2">
        <f>SHOT!B6</f>
        <v>250</v>
      </c>
      <c r="C126" s="4">
        <f>SHOT!C6</f>
        <v>0</v>
      </c>
      <c r="D126" s="2">
        <f>SHOT!D6</f>
        <v>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3690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41</v>
      </c>
      <c r="D134" s="2">
        <f>SHOT!D15</f>
        <v>9348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41</v>
      </c>
      <c r="D137" s="2">
        <f>SHOT!D18</f>
        <v>1025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265.57499999999999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504.59250000000003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11393.167500000001</v>
      </c>
    </row>
    <row r="144" spans="1:4" ht="15.75" thickBot="1"/>
    <row r="145" spans="1:5" ht="15.75" thickBot="1">
      <c r="A145" s="130" t="s">
        <v>599</v>
      </c>
      <c r="B145" s="131"/>
      <c r="C145" s="132"/>
      <c r="D145" s="133">
        <f>D132</f>
        <v>3690</v>
      </c>
    </row>
    <row r="146" spans="1:5" ht="15.75" thickBot="1"/>
    <row r="147" spans="1:5" ht="15.75" thickBot="1">
      <c r="A147" s="130" t="s">
        <v>600</v>
      </c>
      <c r="B147" s="131"/>
      <c r="C147" s="132"/>
      <c r="D147" s="133">
        <f>D143</f>
        <v>11393.167500000001</v>
      </c>
    </row>
    <row r="148" spans="1:5">
      <c r="A148" s="153" t="s">
        <v>1133</v>
      </c>
      <c r="B148" s="153"/>
      <c r="C148" s="485"/>
      <c r="D148" s="486">
        <f>(D145+D147)*-E148</f>
        <v>-754.15837500000009</v>
      </c>
      <c r="E148" s="489">
        <v>0.05</v>
      </c>
    </row>
    <row r="149" spans="1:5" ht="15.75" thickBot="1"/>
    <row r="150" spans="1:5" ht="15.75" thickBot="1">
      <c r="A150" s="155" t="s">
        <v>563</v>
      </c>
      <c r="B150" s="156"/>
      <c r="C150" s="157"/>
      <c r="D150" s="158">
        <f>IF('NEW POOL'!$B$21+'NEW POOL'!$B$22+'NEW POOL'!$B$23&gt;0,0,D145+D147)</f>
        <v>15083.167500000001</v>
      </c>
    </row>
    <row r="151" spans="1:5" ht="15.75" thickBot="1">
      <c r="A151" s="116"/>
      <c r="B151" s="116"/>
      <c r="C151" s="152"/>
      <c r="D151" s="154"/>
    </row>
    <row r="152" spans="1:5" ht="15.7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104</v>
      </c>
      <c r="D153" s="129">
        <f>'TILE COPING'!D4</f>
        <v>1040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0</v>
      </c>
      <c r="D154" s="129">
        <f>'TILE COPING'!D8</f>
        <v>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1040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104</v>
      </c>
      <c r="D160" s="129">
        <f>'TILE COPING'!D5</f>
        <v>728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0</v>
      </c>
      <c r="D163" s="129">
        <f>'TILE COPING'!D9</f>
        <v>0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728</v>
      </c>
    </row>
    <row r="172" spans="1:4" ht="15.75" thickBot="1">
      <c r="D172" s="1"/>
    </row>
    <row r="173" spans="1:4" ht="15.75" thickBot="1">
      <c r="A173" s="130" t="s">
        <v>596</v>
      </c>
      <c r="B173" s="131"/>
      <c r="C173" s="132"/>
      <c r="D173" s="133">
        <f>D158</f>
        <v>1040</v>
      </c>
    </row>
    <row r="174" spans="1:4" ht="15.75" thickBot="1"/>
    <row r="175" spans="1:4" ht="15.75" thickBot="1">
      <c r="A175" s="130" t="s">
        <v>597</v>
      </c>
      <c r="B175" s="131"/>
      <c r="C175" s="132"/>
      <c r="D175" s="133">
        <f>D171*1.075</f>
        <v>782.6</v>
      </c>
    </row>
    <row r="176" spans="1:4" ht="15.75" thickBot="1"/>
    <row r="177" spans="1:6" ht="15.75" thickBot="1">
      <c r="A177" s="155" t="s">
        <v>598</v>
      </c>
      <c r="B177" s="156"/>
      <c r="C177" s="157"/>
      <c r="D177" s="158">
        <f>IF('NEW POOL'!$B$21+'NEW POOL'!$B$22+'NEW POOL'!$B$23&gt;0,0,D173+D175)</f>
        <v>1822.6</v>
      </c>
    </row>
    <row r="178" spans="1:6" ht="15.75" thickBot="1">
      <c r="D178" s="1"/>
    </row>
    <row r="179" spans="1:6" ht="15.7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875.7</v>
      </c>
      <c r="D182" s="2">
        <f>'TILE COPING'!D24</f>
        <v>7005.6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115</v>
      </c>
      <c r="D183" s="2">
        <f>'TILE COPING'!D25</f>
        <v>1380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0</v>
      </c>
      <c r="D184" s="2">
        <f>'TILE COPING'!D26</f>
        <v>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0</v>
      </c>
      <c r="D186" s="2">
        <f>'TILE COPING'!D29</f>
        <v>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1133</v>
      </c>
      <c r="B188" s="153"/>
      <c r="C188" s="485"/>
      <c r="D188" s="486">
        <f>F188*-E188</f>
        <v>-700.56000000000006</v>
      </c>
      <c r="E188" s="455">
        <v>0.1</v>
      </c>
      <c r="F188" s="1">
        <f>D182+D184</f>
        <v>7005.6</v>
      </c>
    </row>
    <row r="189" spans="1:6">
      <c r="A189" t="s">
        <v>549</v>
      </c>
      <c r="C189"/>
      <c r="D189" s="30">
        <f>SUM(D180:D188)</f>
        <v>7685.04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3.25</v>
      </c>
      <c r="C193" s="4">
        <f>'TILE COPING'!C35*1.1</f>
        <v>963.2700000000001</v>
      </c>
      <c r="D193" s="2">
        <f>'TILE COPING'!D35</f>
        <v>2846.0250000000001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0</v>
      </c>
      <c r="D194" s="2">
        <f>'TILE COPING'!D36</f>
        <v>0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0</v>
      </c>
      <c r="D195" s="2">
        <f>'TILE COPING'!D37</f>
        <v>0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126.50000000000001</v>
      </c>
      <c r="D196" s="2">
        <f>'TILE COPING'!D38</f>
        <v>1380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0</v>
      </c>
      <c r="D198" s="2">
        <f>'TILE COPING'!D41</f>
        <v>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0</v>
      </c>
      <c r="D199" s="2">
        <f>'TILE COPING'!D42</f>
        <v>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1133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4226.0249999999996</v>
      </c>
    </row>
    <row r="203" spans="1:6" ht="15.75" thickBot="1"/>
    <row r="204" spans="1:6" ht="15.75" thickBot="1">
      <c r="A204" s="130" t="s">
        <v>605</v>
      </c>
      <c r="B204" s="131"/>
      <c r="C204" s="132"/>
      <c r="D204" s="133">
        <f>D189</f>
        <v>7685.04</v>
      </c>
    </row>
    <row r="205" spans="1:6" ht="15.75" thickBot="1"/>
    <row r="206" spans="1:6" ht="15.75" thickBot="1">
      <c r="A206" s="130" t="s">
        <v>606</v>
      </c>
      <c r="B206" s="131"/>
      <c r="C206" s="132"/>
      <c r="D206" s="133">
        <f>D202*1.0725</f>
        <v>4532.4118124999995</v>
      </c>
    </row>
    <row r="207" spans="1:6" ht="15.75" thickBot="1">
      <c r="A207" s="116"/>
      <c r="B207" s="116"/>
      <c r="C207" s="152"/>
      <c r="D207" s="154"/>
    </row>
    <row r="208" spans="1:6" ht="15.75" thickBot="1">
      <c r="A208" s="130" t="s">
        <v>849</v>
      </c>
      <c r="B208" s="131"/>
      <c r="C208" s="132"/>
      <c r="D208" s="133">
        <f>MISC!D18</f>
        <v>0</v>
      </c>
    </row>
    <row r="209" spans="1:4" ht="15.75" thickBot="1"/>
    <row r="210" spans="1:4" ht="15.75" thickBot="1">
      <c r="A210" s="155" t="s">
        <v>607</v>
      </c>
      <c r="B210" s="156"/>
      <c r="C210" s="157"/>
      <c r="D210" s="158">
        <f>D204+D206+D208</f>
        <v>12217.4518125</v>
      </c>
    </row>
    <row r="211" spans="1:4" ht="15.75" thickBot="1"/>
    <row r="212" spans="1:4" ht="15.7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0</v>
      </c>
      <c r="D213" s="2">
        <f>'TILE COPING'!D48</f>
        <v>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0</v>
      </c>
      <c r="D215" s="2">
        <f>'TILE COPING'!D50</f>
        <v>0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0</v>
      </c>
      <c r="D216" s="2">
        <f>'TILE COPING'!D51</f>
        <v>0</v>
      </c>
    </row>
    <row r="217" spans="1:4">
      <c r="A217" t="s">
        <v>549</v>
      </c>
      <c r="C217"/>
      <c r="D217" s="30">
        <f>SUM(D213:D216)</f>
        <v>0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0</v>
      </c>
      <c r="D219" s="2">
        <f>'TILE COPING'!D54</f>
        <v>0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0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0</v>
      </c>
      <c r="D222" s="2">
        <f>'TILE COPING'!D57</f>
        <v>0</v>
      </c>
    </row>
    <row r="223" spans="1:4">
      <c r="A223" t="s">
        <v>549</v>
      </c>
      <c r="C223"/>
      <c r="D223" s="30">
        <f>SUM(D219:D222)</f>
        <v>0</v>
      </c>
    </row>
    <row r="224" spans="1:4" ht="15.75" thickBot="1">
      <c r="C224"/>
      <c r="D224" s="1"/>
    </row>
    <row r="225" spans="1:5" ht="15.75" thickBot="1">
      <c r="A225" s="130" t="s">
        <v>617</v>
      </c>
      <c r="B225" s="131"/>
      <c r="C225" s="132"/>
      <c r="D225" s="133">
        <f>D217</f>
        <v>0</v>
      </c>
    </row>
    <row r="226" spans="1:5" ht="15.75" thickBot="1"/>
    <row r="227" spans="1:5" ht="15.75" thickBot="1">
      <c r="A227" s="130" t="s">
        <v>618</v>
      </c>
      <c r="B227" s="131"/>
      <c r="C227" s="132"/>
      <c r="D227" s="133">
        <f>D223*1.0725</f>
        <v>0</v>
      </c>
    </row>
    <row r="228" spans="1:5" ht="15.75" thickBot="1"/>
    <row r="229" spans="1:5" ht="15.75" thickBot="1">
      <c r="A229" s="155" t="s">
        <v>619</v>
      </c>
      <c r="B229" s="156"/>
      <c r="C229" s="157"/>
      <c r="D229" s="158">
        <f>D225+D227</f>
        <v>0</v>
      </c>
    </row>
    <row r="230" spans="1:5" ht="15.75" thickBot="1">
      <c r="A230" s="116"/>
      <c r="B230" s="116"/>
      <c r="C230" s="152"/>
      <c r="D230" s="154"/>
    </row>
    <row r="231" spans="1:5" ht="15.75" thickBot="1">
      <c r="A231" s="611" t="s">
        <v>1056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.75" thickBot="1">
      <c r="A234" s="116"/>
      <c r="B234" s="116"/>
      <c r="C234" s="152"/>
      <c r="D234" s="154"/>
    </row>
    <row r="235" spans="1:5" ht="15.75" thickBot="1">
      <c r="A235" s="614" t="s">
        <v>1057</v>
      </c>
      <c r="B235" s="615"/>
      <c r="C235" s="616"/>
      <c r="D235" s="158">
        <f>SUM(D233:D234)*(1+C235)</f>
        <v>0</v>
      </c>
    </row>
    <row r="236" spans="1:5" ht="15.75" thickBot="1">
      <c r="A236" s="116"/>
      <c r="B236" s="116"/>
      <c r="C236" s="152"/>
      <c r="D236" s="154"/>
    </row>
    <row r="237" spans="1:5" ht="15.7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1.85HP Variable Pump</v>
      </c>
      <c r="B240" s="220">
        <f>EQUIP!N114</f>
        <v>1777.6000000000001</v>
      </c>
      <c r="C240" s="4">
        <f>EQUIP!O114</f>
        <v>1</v>
      </c>
      <c r="D240" s="220">
        <f>EQUIP!P114</f>
        <v>1777.6000000000001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580 SQFT Cartridge Filter</v>
      </c>
      <c r="B243" s="220">
        <f>EQUIP!N117</f>
        <v>1493.5</v>
      </c>
      <c r="C243" s="4">
        <f>EQUIP!O117</f>
        <v>1</v>
      </c>
      <c r="D243" s="220">
        <f>EQUIP!P117</f>
        <v>1493.5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No Heater</v>
      </c>
      <c r="B245" s="220">
        <f>EQUIP!N119</f>
        <v>0</v>
      </c>
      <c r="C245" s="4">
        <f>EQUIP!O119</f>
        <v>0</v>
      </c>
      <c r="D245" s="220">
        <f>EQUIP!P119</f>
        <v>0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2</v>
      </c>
      <c r="D247" s="220">
        <f>EQUIP!P121</f>
        <v>1202</v>
      </c>
    </row>
    <row r="248" spans="1:4">
      <c r="A248" s="51" t="str">
        <f>EQUIP!M122</f>
        <v>No Additional Lights</v>
      </c>
      <c r="B248" s="220">
        <f>EQUIP!N122</f>
        <v>0</v>
      </c>
      <c r="C248" s="4">
        <f>EQUIP!O122</f>
        <v>0</v>
      </c>
      <c r="D248" s="220">
        <f>EQUIP!P122</f>
        <v>0</v>
      </c>
    </row>
    <row r="249" spans="1:4">
      <c r="A249" s="51" t="str">
        <f>EQUIP!M124</f>
        <v>Salt System - Jandy Tru-Clear</v>
      </c>
      <c r="B249" s="220">
        <f>EQUIP!N124</f>
        <v>1150</v>
      </c>
      <c r="C249" s="4">
        <f>EQUIP!O124</f>
        <v>1</v>
      </c>
      <c r="D249" s="220">
        <f>EQUIP!P124</f>
        <v>1150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Jandy TCX Controler (1 JVA, Lights and Heater Control)</v>
      </c>
      <c r="B252" s="220">
        <f>EQUIP!N127</f>
        <v>913.33333333333337</v>
      </c>
      <c r="C252" s="4">
        <f>EQUIP!O127</f>
        <v>1</v>
      </c>
      <c r="D252" s="220">
        <f>EQUIP!P127</f>
        <v>913.33333333333337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0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.75" thickBot="1">
      <c r="A260" s="153" t="s">
        <v>1133</v>
      </c>
      <c r="B260" s="153"/>
      <c r="C260" s="485"/>
      <c r="D260" s="486">
        <f>F260*-E260</f>
        <v>0</v>
      </c>
      <c r="E260" s="455">
        <v>0</v>
      </c>
      <c r="F260" s="1">
        <f>SUM(D242:D259)</f>
        <v>4758.833333333333</v>
      </c>
    </row>
    <row r="261" spans="1:8" ht="15.75" thickBot="1">
      <c r="A261" s="155" t="s">
        <v>634</v>
      </c>
      <c r="B261" s="156"/>
      <c r="C261" s="243">
        <v>7.2499999999999995E-2</v>
      </c>
      <c r="D261" s="158">
        <f>SUM(D238:D260)*(1+C261)</f>
        <v>8132.2669999999998</v>
      </c>
    </row>
    <row r="262" spans="1:8" ht="15.75" thickBot="1"/>
    <row r="263" spans="1:8" ht="15.7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0</v>
      </c>
      <c r="D268" s="2">
        <f>PLUM!D43</f>
        <v>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.75" thickBot="1"/>
    <row r="272" spans="1:8" ht="15.75" thickBot="1">
      <c r="A272" s="155" t="s">
        <v>523</v>
      </c>
      <c r="B272" s="156"/>
      <c r="C272" s="157"/>
      <c r="D272" s="158">
        <f>SUM(D264:D271)</f>
        <v>875</v>
      </c>
    </row>
    <row r="273" spans="1:4" ht="15.75" thickBot="1"/>
    <row r="274" spans="1:4" ht="15.7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76</v>
      </c>
      <c r="D276" s="2">
        <f>CLEAN!D5</f>
        <v>38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0</v>
      </c>
      <c r="D278" s="2">
        <f>CLEAN!D6</f>
        <v>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.75" thickBot="1"/>
    <row r="282" spans="1:4" ht="15.75" thickBot="1">
      <c r="A282" s="155" t="s">
        <v>577</v>
      </c>
      <c r="B282" s="156"/>
      <c r="C282" s="157"/>
      <c r="D282" s="158">
        <f>SUM(D275:D281)</f>
        <v>1438</v>
      </c>
    </row>
    <row r="283" spans="1:4" ht="15.75" thickBot="1"/>
    <row r="284" spans="1:4" ht="15.7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Tec  - Level 1</v>
      </c>
      <c r="B285" s="2">
        <f>VLOOKUP(A285,INT!A6:B17,2,FALSE)</f>
        <v>6.3</v>
      </c>
      <c r="C285" s="424">
        <f>SHOT!D2</f>
        <v>1122</v>
      </c>
      <c r="D285" s="2">
        <f>ROUNDUP(VLOOKUP(A285,INT!A6:N18,4,FALSE),0)</f>
        <v>7069</v>
      </c>
    </row>
    <row r="286" spans="1:4">
      <c r="A286" t="s">
        <v>476</v>
      </c>
      <c r="B286" s="2">
        <f>VLOOKUP(A285,INT!A6:G19,7,FALSE)</f>
        <v>0</v>
      </c>
      <c r="C286" s="5">
        <f>INT!F6</f>
        <v>0</v>
      </c>
      <c r="D286" s="2">
        <f>B286*C286</f>
        <v>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50</v>
      </c>
      <c r="D290" s="2">
        <f>INT!D22</f>
        <v>1000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0</v>
      </c>
      <c r="C293" s="424">
        <f>INT!C31</f>
        <v>1122</v>
      </c>
      <c r="D293" s="2">
        <f>INT!D34</f>
        <v>0</v>
      </c>
    </row>
    <row r="294" spans="1:6" ht="15.75" thickBot="1">
      <c r="A294" s="153" t="s">
        <v>1133</v>
      </c>
      <c r="B294" s="153"/>
      <c r="C294" s="485"/>
      <c r="D294" s="486">
        <f>F294*-E294</f>
        <v>-451.45000000000005</v>
      </c>
      <c r="E294" s="487">
        <v>0.05</v>
      </c>
      <c r="F294" s="1">
        <f>SUM(D285:D293)</f>
        <v>9029</v>
      </c>
    </row>
    <row r="295" spans="1:6" ht="15.75" thickBot="1">
      <c r="A295" s="155" t="s">
        <v>620</v>
      </c>
      <c r="B295" s="156"/>
      <c r="C295" s="157"/>
      <c r="D295" s="158">
        <f>IF('NEW POOL'!$B$21+'NEW POOL'!$B$22+'NEW POOL'!$B$23&gt;0,0,SUM(D285:D294))</f>
        <v>8577.5499999999993</v>
      </c>
    </row>
    <row r="296" spans="1:6" ht="15.75" thickBot="1">
      <c r="A296" s="116"/>
      <c r="B296" s="116"/>
      <c r="C296" s="152"/>
      <c r="D296" s="154"/>
    </row>
    <row r="297" spans="1:6" ht="15.7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1</v>
      </c>
      <c r="D299" s="1">
        <f>B299*C299</f>
        <v>490</v>
      </c>
      <c r="E299" s="1">
        <f>CEILING(D299/0.85,5)</f>
        <v>580</v>
      </c>
    </row>
    <row r="300" spans="1:6" ht="15.75" thickBot="1">
      <c r="A300" s="116"/>
      <c r="B300" s="116"/>
      <c r="C300" s="152"/>
      <c r="D300" s="154"/>
    </row>
    <row r="301" spans="1:6" ht="15.75" thickBot="1">
      <c r="A301" s="155" t="s">
        <v>837</v>
      </c>
      <c r="B301" s="156"/>
      <c r="C301" s="157"/>
      <c r="D301" s="158">
        <f>D298+D299</f>
        <v>980</v>
      </c>
    </row>
    <row r="302" spans="1:6" ht="15.75" thickBot="1">
      <c r="A302" s="116"/>
      <c r="B302" s="116"/>
      <c r="C302" s="152"/>
      <c r="D302" s="154"/>
    </row>
    <row r="303" spans="1:6" ht="15.7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0.25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Standard Finish</v>
      </c>
      <c r="B309" s="283">
        <f>FIBER!G33+FIBER!G34+FIBER!G46+FIBER!G47+FIBER!G59+FIBER!G60</f>
        <v>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982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.7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.75" thickBot="1">
      <c r="A315" s="155" t="s">
        <v>759</v>
      </c>
      <c r="B315" s="156"/>
      <c r="C315" s="157"/>
      <c r="D315" s="158">
        <f>SUM(D304:D314)</f>
        <v>0</v>
      </c>
    </row>
    <row r="316" spans="1:5" ht="15.75" thickBot="1">
      <c r="B316" s="129"/>
      <c r="D316" s="283"/>
    </row>
    <row r="317" spans="1:5" ht="15.7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.75" thickBot="1">
      <c r="B322" s="129"/>
      <c r="D322" s="283"/>
    </row>
    <row r="323" spans="1:6" ht="15.75" thickBot="1">
      <c r="A323" s="155" t="s">
        <v>761</v>
      </c>
      <c r="B323" s="156"/>
      <c r="C323" s="157"/>
      <c r="D323" s="158">
        <f>SUM(D318:D322)</f>
        <v>0</v>
      </c>
    </row>
    <row r="324" spans="1:6" ht="15.75" thickBot="1">
      <c r="B324" s="2"/>
      <c r="D324" s="283"/>
    </row>
    <row r="325" spans="1:6" ht="15.7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0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.75" thickBot="1">
      <c r="A329" s="153" t="s">
        <v>1133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.75" thickBot="1">
      <c r="A330" s="155" t="s">
        <v>635</v>
      </c>
      <c r="B330" s="156"/>
      <c r="C330" s="157"/>
      <c r="D330" s="158">
        <f>SUM(D326:D329)</f>
        <v>1000</v>
      </c>
    </row>
    <row r="331" spans="1:6" ht="15.75" thickBot="1">
      <c r="A331" s="116"/>
      <c r="B331" s="116"/>
      <c r="C331" s="152"/>
      <c r="D331" s="154"/>
    </row>
    <row r="332" spans="1:6" ht="15.75" thickBot="1">
      <c r="A332" s="611" t="s">
        <v>796</v>
      </c>
      <c r="B332" s="612"/>
      <c r="C332" s="612"/>
      <c r="D332" s="613"/>
    </row>
    <row r="333" spans="1:6">
      <c r="A333" t="str">
        <f>CUSTOM!A3</f>
        <v>Parged Concrete</v>
      </c>
      <c r="B333" s="2">
        <f>CUSTOM!E3</f>
        <v>0</v>
      </c>
      <c r="C333" s="5">
        <f t="shared" ref="C333:C340" si="1">IF(B333&gt;0,1,0)</f>
        <v>0</v>
      </c>
      <c r="D333" s="2">
        <f t="shared" ref="D333:D340" si="2">B333*C333</f>
        <v>0</v>
      </c>
    </row>
    <row r="334" spans="1:6">
      <c r="A334" t="str">
        <f>CUSTOM!A5</f>
        <v>Oversized coping</v>
      </c>
      <c r="B334" s="2">
        <f>CUSTOM!E5</f>
        <v>824</v>
      </c>
      <c r="C334" s="5">
        <f t="shared" si="1"/>
        <v>1</v>
      </c>
      <c r="D334" s="2">
        <f t="shared" si="2"/>
        <v>824</v>
      </c>
    </row>
    <row r="335" spans="1:6">
      <c r="A335" t="str">
        <f>CUSTOM!A7</f>
        <v>handrail</v>
      </c>
      <c r="B335" s="2">
        <f>CUSTOM!E7</f>
        <v>1028</v>
      </c>
      <c r="C335" s="5">
        <f t="shared" si="1"/>
        <v>1</v>
      </c>
      <c r="D335" s="2">
        <f t="shared" si="2"/>
        <v>1028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.75" thickBot="1">
      <c r="B341" s="2"/>
      <c r="D341" s="2"/>
    </row>
    <row r="342" spans="1:9" ht="15.75" thickBot="1">
      <c r="A342" s="155" t="s">
        <v>797</v>
      </c>
      <c r="B342" s="156"/>
      <c r="C342" s="157"/>
      <c r="D342" s="158">
        <f>SUM(D333:D341)</f>
        <v>1852</v>
      </c>
    </row>
    <row r="343" spans="1:9" ht="15.75" thickBot="1"/>
    <row r="344" spans="1:9" ht="15.7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73002.180175624992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97570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.75" thickBot="1">
      <c r="A348" t="s">
        <v>674</v>
      </c>
      <c r="D348" s="1">
        <f>-D344</f>
        <v>-73002.180175624992</v>
      </c>
      <c r="E348" s="4"/>
    </row>
    <row r="349" spans="1:9" ht="15.75" thickBot="1">
      <c r="A349" t="s">
        <v>671</v>
      </c>
      <c r="D349" s="1">
        <f>-D346*E349</f>
        <v>-2927.1</v>
      </c>
      <c r="E349" s="179">
        <v>0.03</v>
      </c>
    </row>
    <row r="350" spans="1:9" ht="15.75" thickBot="1">
      <c r="A350" t="s">
        <v>672</v>
      </c>
      <c r="D350" s="1">
        <f>-D346*0.029</f>
        <v>-2829.53</v>
      </c>
      <c r="E350" s="4"/>
    </row>
    <row r="351" spans="1:9" ht="15.75" thickBot="1">
      <c r="A351" t="s">
        <v>673</v>
      </c>
      <c r="D351" s="2">
        <f>-D346*E351</f>
        <v>-2927.1</v>
      </c>
      <c r="E351" s="180">
        <f>E349</f>
        <v>0.03</v>
      </c>
    </row>
    <row r="352" spans="1:9" ht="15.75" thickBot="1">
      <c r="D352" s="181"/>
    </row>
    <row r="353" spans="1:5" ht="19.5" thickBot="1">
      <c r="A353" s="189" t="s">
        <v>675</v>
      </c>
      <c r="B353" s="189"/>
      <c r="C353" s="190"/>
      <c r="D353" s="191">
        <f>SUM(D346:D352)</f>
        <v>15884.089824375011</v>
      </c>
      <c r="E353" s="192">
        <f>D353/D346</f>
        <v>0.16279686199010979</v>
      </c>
    </row>
  </sheetData>
  <mergeCells count="23">
    <mergeCell ref="A79:D79"/>
    <mergeCell ref="A106:D106"/>
    <mergeCell ref="A123:D123"/>
    <mergeCell ref="A73:D73"/>
    <mergeCell ref="A179:D179"/>
    <mergeCell ref="A2:D2"/>
    <mergeCell ref="A11:D11"/>
    <mergeCell ref="A18:D18"/>
    <mergeCell ref="A25:D25"/>
    <mergeCell ref="A47:D47"/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>Bishop</v>
      </c>
      <c r="C3" s="621"/>
      <c r="D3" s="622"/>
    </row>
    <row r="4" spans="1:10" ht="15.75" thickBot="1">
      <c r="J4" s="4"/>
    </row>
    <row r="5" spans="1:10" ht="15.75" thickBot="1">
      <c r="A5" s="155" t="s">
        <v>628</v>
      </c>
      <c r="B5" s="156"/>
      <c r="C5" s="157"/>
      <c r="D5" s="360">
        <f>'COST - NEW'!D9</f>
        <v>1160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631</v>
      </c>
      <c r="B7" s="156"/>
      <c r="C7" s="157"/>
      <c r="D7" s="360">
        <f>'COST - NEW'!D16</f>
        <v>550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NEW'!D23</f>
        <v>925</v>
      </c>
      <c r="F9" s="184"/>
      <c r="H9" s="24"/>
      <c r="J9" s="1"/>
    </row>
    <row r="10" spans="1:10" ht="15.75" thickBot="1">
      <c r="F10" s="184"/>
      <c r="H10" s="24"/>
    </row>
    <row r="11" spans="1:10" ht="15.75" thickBot="1">
      <c r="A11" s="155" t="s">
        <v>521</v>
      </c>
      <c r="B11" s="156"/>
      <c r="C11" s="157"/>
      <c r="D11" s="360">
        <f>'COST - NEW'!D45</f>
        <v>7370.1</v>
      </c>
      <c r="F11" s="184"/>
      <c r="H11" s="24"/>
      <c r="J11" s="1"/>
    </row>
    <row r="12" spans="1:10" ht="15.75" thickBot="1">
      <c r="F12" s="184"/>
      <c r="H12" s="24"/>
    </row>
    <row r="13" spans="1:10" ht="15.75" thickBot="1">
      <c r="A13" s="155" t="s">
        <v>520</v>
      </c>
      <c r="B13" s="156"/>
      <c r="C13" s="157"/>
      <c r="D13" s="360">
        <f>'COST - NEW'!D71</f>
        <v>4347.25</v>
      </c>
      <c r="F13" s="184"/>
      <c r="H13" s="24"/>
      <c r="J13" s="1"/>
    </row>
    <row r="14" spans="1:10" ht="15.75" thickBot="1">
      <c r="A14" s="116"/>
      <c r="B14" s="116"/>
      <c r="C14" s="152"/>
      <c r="D14" s="154"/>
      <c r="F14" s="184"/>
      <c r="H14" s="24"/>
    </row>
    <row r="15" spans="1:10" ht="15.75" thickBot="1">
      <c r="A15" s="155" t="s">
        <v>669</v>
      </c>
      <c r="B15" s="156"/>
      <c r="C15" s="157"/>
      <c r="D15" s="360">
        <f>'COST - NEW'!D77</f>
        <v>0</v>
      </c>
      <c r="F15" s="184"/>
      <c r="H15" s="24"/>
      <c r="J15" s="1"/>
    </row>
    <row r="16" spans="1:10" ht="15.75" thickBot="1">
      <c r="F16" s="184"/>
      <c r="H16" s="24"/>
    </row>
    <row r="17" spans="1:10" ht="15.75" thickBot="1">
      <c r="A17" s="155" t="s">
        <v>536</v>
      </c>
      <c r="B17" s="156"/>
      <c r="C17" s="157"/>
      <c r="D17" s="360">
        <f>OTHER!D17</f>
        <v>3564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559</v>
      </c>
      <c r="B19" s="156"/>
      <c r="C19" s="157"/>
      <c r="D19" s="360">
        <f>'COST - NEW'!D121</f>
        <v>2385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599</v>
      </c>
      <c r="B21" s="156"/>
      <c r="C21" s="157"/>
      <c r="D21" s="360">
        <f>OTHER!D21</f>
        <v>3690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600</v>
      </c>
      <c r="B23" s="156"/>
      <c r="C23" s="157"/>
      <c r="D23" s="360">
        <f>OTHER!D23</f>
        <v>11393.167500000001</v>
      </c>
      <c r="F23" s="184"/>
      <c r="H23" s="24"/>
      <c r="J23" s="1"/>
    </row>
    <row r="24" spans="1:10" ht="15.75" thickBot="1">
      <c r="D24" s="1"/>
      <c r="F24" s="184"/>
      <c r="H24" s="24"/>
    </row>
    <row r="25" spans="1:10" ht="15.75" thickBot="1">
      <c r="A25" s="155" t="s">
        <v>596</v>
      </c>
      <c r="B25" s="156"/>
      <c r="C25" s="157"/>
      <c r="D25" s="360">
        <f>OTHER!D25</f>
        <v>1040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597</v>
      </c>
      <c r="B27" s="156"/>
      <c r="C27" s="157"/>
      <c r="D27" s="360">
        <f>OTHER!D27</f>
        <v>782.6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605</v>
      </c>
      <c r="B29" s="156"/>
      <c r="C29" s="157"/>
      <c r="D29" s="360">
        <f>'COST - NEW'!D204</f>
        <v>7685.04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606</v>
      </c>
      <c r="B31" s="156"/>
      <c r="C31" s="157"/>
      <c r="D31" s="360">
        <f>'COST - NEW'!D206</f>
        <v>4532.4118124999995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617</v>
      </c>
      <c r="B33" s="156"/>
      <c r="C33" s="157"/>
      <c r="D33" s="360">
        <f>'COST - NEW'!D225</f>
        <v>0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618</v>
      </c>
      <c r="B35" s="156"/>
      <c r="C35" s="157"/>
      <c r="D35" s="360">
        <f>'COST - NEW'!D227</f>
        <v>0</v>
      </c>
      <c r="F35" s="184"/>
      <c r="H35" s="24"/>
      <c r="J35" s="1"/>
    </row>
    <row r="36" spans="1:10" ht="15.75" thickBot="1">
      <c r="F36" s="184"/>
      <c r="H36" s="24"/>
    </row>
    <row r="37" spans="1:10" ht="15.75" thickBot="1">
      <c r="A37" s="155" t="s">
        <v>849</v>
      </c>
      <c r="B37" s="156"/>
      <c r="C37" s="157"/>
      <c r="D37" s="360">
        <f>MISC!D18</f>
        <v>0</v>
      </c>
      <c r="F37" s="184"/>
      <c r="H37" s="24"/>
    </row>
    <row r="38" spans="1:10" ht="15.75" thickBot="1">
      <c r="F38" s="184"/>
      <c r="H38" s="24"/>
    </row>
    <row r="39" spans="1:10" ht="15.75" thickBot="1">
      <c r="A39" s="155" t="s">
        <v>634</v>
      </c>
      <c r="B39" s="156"/>
      <c r="C39" s="157"/>
      <c r="D39" s="360">
        <f>'COST - NEW'!D261</f>
        <v>8132.2669999999998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523</v>
      </c>
      <c r="B41" s="156"/>
      <c r="C41" s="157"/>
      <c r="D41" s="360">
        <f>'COST - NEW'!D272</f>
        <v>875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577</v>
      </c>
      <c r="B43" s="156"/>
      <c r="C43" s="157"/>
      <c r="D43" s="360">
        <f>'COST - NEW'!D282</f>
        <v>1438</v>
      </c>
      <c r="F43" s="184"/>
      <c r="H43" s="24"/>
      <c r="J43" s="1"/>
    </row>
    <row r="44" spans="1:10" ht="15.75" thickBot="1">
      <c r="F44" s="184"/>
      <c r="H44" s="24"/>
    </row>
    <row r="45" spans="1:10" ht="15.75" thickBot="1">
      <c r="A45" s="155" t="s">
        <v>620</v>
      </c>
      <c r="B45" s="156"/>
      <c r="C45" s="157"/>
      <c r="D45" s="360">
        <f>OTHER!D43</f>
        <v>8577.5499999999993</v>
      </c>
      <c r="F45" s="184"/>
      <c r="H45" s="24"/>
      <c r="J45" s="1"/>
    </row>
    <row r="46" spans="1:10" ht="15.75" thickBot="1">
      <c r="A46" s="116"/>
      <c r="B46" s="116"/>
      <c r="C46" s="152"/>
      <c r="D46" s="335"/>
      <c r="F46" s="184"/>
      <c r="H46" s="24"/>
      <c r="J46" s="1"/>
    </row>
    <row r="47" spans="1:10" ht="15.75" thickBot="1">
      <c r="A47" s="155" t="s">
        <v>837</v>
      </c>
      <c r="B47" s="156"/>
      <c r="C47" s="157"/>
      <c r="D47" s="360">
        <f>INT!D28</f>
        <v>1715</v>
      </c>
      <c r="F47" s="184"/>
      <c r="H47" s="24"/>
    </row>
    <row r="48" spans="1:10" ht="15.75" thickBot="1">
      <c r="F48" s="184"/>
      <c r="H48" s="24"/>
    </row>
    <row r="49" spans="1:10" ht="15.7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.75" thickBot="1">
      <c r="F50" s="184"/>
      <c r="H50" s="24"/>
    </row>
    <row r="51" spans="1:10" ht="15.7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.75" thickBot="1">
      <c r="F52" s="184"/>
      <c r="H52" s="24"/>
    </row>
    <row r="53" spans="1:10" ht="15.7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.75" thickBot="1"/>
    <row r="55" spans="1:10" ht="15.75" thickBot="1">
      <c r="A55" s="155" t="str">
        <f>CUSTOM!A3</f>
        <v>Parged Concrete</v>
      </c>
      <c r="B55" s="156"/>
      <c r="C55" s="157"/>
      <c r="D55" s="360">
        <f>'COST - NEW'!D333</f>
        <v>0</v>
      </c>
    </row>
    <row r="56" spans="1:10" ht="15.75" thickBot="1"/>
    <row r="57" spans="1:10" ht="15.75" thickBot="1">
      <c r="A57" s="155" t="str">
        <f>CUSTOM!A5</f>
        <v>Oversized coping</v>
      </c>
      <c r="B57" s="156"/>
      <c r="C57" s="157"/>
      <c r="D57" s="360">
        <f>'COST - NEW'!D334</f>
        <v>824</v>
      </c>
    </row>
    <row r="58" spans="1:10" ht="15.75" thickBot="1"/>
    <row r="59" spans="1:10" ht="15.75" thickBot="1">
      <c r="A59" s="155" t="str">
        <f>CUSTOM!A7</f>
        <v>handrail</v>
      </c>
      <c r="B59" s="156"/>
      <c r="C59" s="157"/>
      <c r="D59" s="360">
        <f>'COST - NEW'!D335</f>
        <v>1028</v>
      </c>
    </row>
    <row r="60" spans="1:10" ht="15.75" thickBot="1"/>
    <row r="61" spans="1:10" ht="15.7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.75" thickBot="1">
      <c r="A62" s="116"/>
      <c r="B62" s="116"/>
      <c r="C62" s="152"/>
      <c r="D62" s="335"/>
    </row>
    <row r="63" spans="1:10" ht="15.7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.75" thickBot="1"/>
    <row r="65" spans="1:10" ht="15.7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.75" thickBot="1"/>
    <row r="67" spans="1:10" ht="15.7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.75" thickBot="1"/>
    <row r="69" spans="1:10" ht="15.7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.75" thickBot="1">
      <c r="A70" s="116"/>
      <c r="B70" s="116"/>
      <c r="C70" s="152"/>
      <c r="D70" s="335"/>
    </row>
    <row r="71" spans="1:10" ht="19.5" thickBot="1">
      <c r="A71" s="361" t="s">
        <v>2</v>
      </c>
      <c r="B71" s="362"/>
      <c r="C71" s="363"/>
      <c r="D71" s="364">
        <f>SUM(D5:D70)</f>
        <v>73164.386312500006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7" width="13.42578125" style="4" customWidth="1"/>
    <col min="9" max="9" width="13.42578125" style="4" customWidth="1"/>
    <col min="11" max="11" width="13.42578125" customWidth="1"/>
    <col min="13" max="13" width="15.140625" customWidth="1"/>
  </cols>
  <sheetData>
    <row r="1" spans="1:13" ht="19.5" thickBot="1">
      <c r="A1" s="620" t="s">
        <v>638</v>
      </c>
      <c r="B1" s="621"/>
      <c r="C1" s="621"/>
      <c r="D1" s="622"/>
    </row>
    <row r="2" spans="1:13" ht="15.75" thickBot="1"/>
    <row r="3" spans="1:13" ht="19.5" thickBot="1">
      <c r="A3" s="116" t="s">
        <v>0</v>
      </c>
      <c r="B3" s="620" t="str">
        <f>'NEW POOL'!B3</f>
        <v>Bishop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.7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.75" thickBot="1">
      <c r="A5" s="155" t="s">
        <v>628</v>
      </c>
      <c r="B5" s="156"/>
      <c r="C5" s="157"/>
      <c r="D5" s="158">
        <f>'COST - NEW'!D9</f>
        <v>1160</v>
      </c>
      <c r="F5" s="108">
        <v>275</v>
      </c>
      <c r="G5" s="108">
        <v>315</v>
      </c>
      <c r="I5" s="24">
        <f>D5</f>
        <v>1160</v>
      </c>
      <c r="K5" s="1">
        <f>IF(EXC!$C$27=0,OTHER!I5-OTHER!F5,OTHER!I5-OTHER!G5)</f>
        <v>885</v>
      </c>
      <c r="M5" s="1">
        <f>K5/$M$3</f>
        <v>1264.2857142857144</v>
      </c>
    </row>
    <row r="6" spans="1:13" ht="15.75" thickBot="1">
      <c r="F6" s="21"/>
      <c r="G6" s="21"/>
      <c r="I6" s="24"/>
    </row>
    <row r="7" spans="1:13" ht="15.75" thickBot="1">
      <c r="A7" s="155" t="s">
        <v>631</v>
      </c>
      <c r="B7" s="156"/>
      <c r="C7" s="157"/>
      <c r="D7" s="158">
        <f>'COST - NEW'!D16</f>
        <v>550</v>
      </c>
      <c r="F7" s="108">
        <v>65</v>
      </c>
      <c r="G7" s="108">
        <v>65</v>
      </c>
      <c r="I7" s="24">
        <f>D7</f>
        <v>550</v>
      </c>
      <c r="K7" s="1">
        <f>IF(EXC!$C$27=0,OTHER!I7-OTHER!F7,OTHER!I7-OTHER!G7)</f>
        <v>485</v>
      </c>
      <c r="M7" s="1">
        <f>K7/$M$3</f>
        <v>692.85714285714289</v>
      </c>
    </row>
    <row r="8" spans="1:13" ht="15.75" thickBot="1">
      <c r="F8" s="21"/>
      <c r="G8" s="21"/>
      <c r="I8" s="24"/>
    </row>
    <row r="9" spans="1:13" ht="15.75" thickBot="1">
      <c r="A9" s="155" t="s">
        <v>1</v>
      </c>
      <c r="B9" s="156"/>
      <c r="C9" s="157"/>
      <c r="D9" s="158">
        <f>'COST - NEW'!D23</f>
        <v>925</v>
      </c>
      <c r="F9" s="108">
        <v>925</v>
      </c>
      <c r="G9" s="108">
        <v>1075</v>
      </c>
      <c r="I9" s="24">
        <f>D9</f>
        <v>925</v>
      </c>
      <c r="K9" s="1">
        <f>IF(EXC!$C$27=0,OTHER!I9-OTHER!F9,OTHER!I9-OTHER!G9)</f>
        <v>0</v>
      </c>
      <c r="M9" s="1">
        <f>K9/$M$3</f>
        <v>0</v>
      </c>
    </row>
    <row r="10" spans="1:13" ht="15.75" thickBot="1">
      <c r="F10" s="21"/>
      <c r="G10" s="21"/>
      <c r="I10" s="24"/>
    </row>
    <row r="11" spans="1:13" ht="15.75" thickBot="1">
      <c r="A11" s="155" t="s">
        <v>521</v>
      </c>
      <c r="B11" s="156"/>
      <c r="C11" s="157"/>
      <c r="D11" s="158">
        <f>'COST - NEW'!D45</f>
        <v>7370.1</v>
      </c>
      <c r="F11" s="108">
        <v>3650</v>
      </c>
      <c r="G11" s="108">
        <v>4000</v>
      </c>
      <c r="I11" s="24">
        <f>D11</f>
        <v>7370.1</v>
      </c>
      <c r="K11" s="1">
        <f>IF(EXC!$C$27=0,OTHER!I11-OTHER!F11,OTHER!I11-OTHER!G11)</f>
        <v>3720.1000000000004</v>
      </c>
      <c r="M11" s="1">
        <f>K11/$M$3</f>
        <v>5314.4285714285725</v>
      </c>
    </row>
    <row r="12" spans="1:13" ht="15.75" thickBot="1">
      <c r="F12" s="21"/>
      <c r="G12" s="21"/>
      <c r="I12" s="24"/>
    </row>
    <row r="13" spans="1:13" ht="15.75" thickBot="1">
      <c r="A13" s="155" t="s">
        <v>520</v>
      </c>
      <c r="B13" s="156"/>
      <c r="C13" s="157"/>
      <c r="D13" s="158">
        <f>'COST - NEW'!D71</f>
        <v>4347.25</v>
      </c>
      <c r="F13" s="108">
        <v>1833.5</v>
      </c>
      <c r="G13" s="108">
        <v>3058</v>
      </c>
      <c r="I13" s="24">
        <f>D13</f>
        <v>4347.25</v>
      </c>
      <c r="K13" s="1">
        <f>IF(EXC!$C$27=0,OTHER!I13-OTHER!F13,OTHER!I13-OTHER!G13)</f>
        <v>2513.75</v>
      </c>
      <c r="M13" s="1">
        <f>CEILING(K13/$M$3,10)</f>
        <v>3600</v>
      </c>
    </row>
    <row r="14" spans="1:13" ht="15.75" thickBot="1">
      <c r="A14" s="116"/>
      <c r="B14" s="116"/>
      <c r="C14" s="152"/>
      <c r="D14" s="154"/>
      <c r="F14" s="21"/>
      <c r="G14" s="21"/>
      <c r="I14" s="24"/>
    </row>
    <row r="15" spans="1:13" ht="15.75" thickBot="1">
      <c r="A15" s="155" t="s">
        <v>669</v>
      </c>
      <c r="B15" s="156"/>
      <c r="C15" s="157"/>
      <c r="D15" s="158">
        <f>'COST - NEW'!D77</f>
        <v>0</v>
      </c>
      <c r="F15" s="108">
        <v>0</v>
      </c>
      <c r="G15" s="108">
        <v>0</v>
      </c>
      <c r="I15" s="24">
        <f>D15</f>
        <v>0</v>
      </c>
      <c r="K15" s="1">
        <f>IF(EXC!$C$27=0,OTHER!I15-OTHER!F15,OTHER!I15-OTHER!G15)</f>
        <v>0</v>
      </c>
      <c r="M15" s="1">
        <f>CEILING(K15/$M$3,10)</f>
        <v>0</v>
      </c>
    </row>
    <row r="16" spans="1:13" ht="15.75" thickBot="1">
      <c r="F16" s="21"/>
      <c r="G16" s="21"/>
      <c r="I16" s="24"/>
    </row>
    <row r="17" spans="1:13" ht="15.75" thickBot="1">
      <c r="A17" s="155" t="s">
        <v>536</v>
      </c>
      <c r="B17" s="156"/>
      <c r="C17" s="157"/>
      <c r="D17" s="158">
        <f>IF('NEW POOL'!$B$21+'NEW POOL'!$B$22+'NEW POOL'!$B$23&gt;0,0,'COST - NEW'!D104)</f>
        <v>3564</v>
      </c>
      <c r="F17" s="108">
        <v>2950</v>
      </c>
      <c r="G17" s="108">
        <v>3450</v>
      </c>
      <c r="I17" s="24">
        <f>D17</f>
        <v>3564</v>
      </c>
      <c r="K17" s="1">
        <f>IF(EXC!$C$27=0,OTHER!I17-OTHER!F17,OTHER!I17-OTHER!G17)</f>
        <v>614</v>
      </c>
      <c r="M17" s="1">
        <f>K17/$M$3</f>
        <v>877.14285714285722</v>
      </c>
    </row>
    <row r="18" spans="1:13" ht="15.75" thickBot="1">
      <c r="F18" s="21"/>
      <c r="G18" s="21"/>
      <c r="I18" s="24"/>
    </row>
    <row r="19" spans="1:13" ht="15.75" thickBot="1">
      <c r="A19" s="155" t="s">
        <v>559</v>
      </c>
      <c r="B19" s="156"/>
      <c r="C19" s="157"/>
      <c r="D19" s="158">
        <f>'COST - NEW'!D121</f>
        <v>2385</v>
      </c>
      <c r="F19" s="108">
        <v>2010</v>
      </c>
      <c r="G19" s="108">
        <v>2135</v>
      </c>
      <c r="I19" s="24">
        <f>D19</f>
        <v>2385</v>
      </c>
      <c r="K19" s="1">
        <f>IF(EXC!$C$27=0,OTHER!I19-OTHER!F19,OTHER!I19-OTHER!G19)</f>
        <v>375</v>
      </c>
      <c r="M19" s="1">
        <f>K19/$M$3</f>
        <v>535.71428571428578</v>
      </c>
    </row>
    <row r="20" spans="1:13" ht="15.75" thickBot="1">
      <c r="F20" s="21"/>
      <c r="G20" s="21"/>
      <c r="I20" s="24"/>
    </row>
    <row r="21" spans="1:13" ht="15.75" thickBot="1">
      <c r="A21" s="155" t="s">
        <v>599</v>
      </c>
      <c r="B21" s="156"/>
      <c r="C21" s="157"/>
      <c r="D21" s="158">
        <f>IF('NEW POOL'!$B$21+'NEW POOL'!$B$22+'NEW POOL'!$B$23&gt;0,0,'COST - NEW'!D145)</f>
        <v>3690</v>
      </c>
      <c r="F21" s="108">
        <v>2880</v>
      </c>
      <c r="G21" s="108">
        <v>3400</v>
      </c>
      <c r="I21" s="24">
        <f>D21</f>
        <v>3690</v>
      </c>
      <c r="K21" s="1">
        <f>IF(EXC!$C$27=0,OTHER!I21-OTHER!F21,OTHER!I21-OTHER!G21)</f>
        <v>810</v>
      </c>
      <c r="M21" s="1">
        <f>K21/$M$3</f>
        <v>1157.1428571428571</v>
      </c>
    </row>
    <row r="22" spans="1:13" ht="15.75" thickBot="1">
      <c r="F22" s="21"/>
      <c r="G22" s="21"/>
      <c r="I22" s="24"/>
    </row>
    <row r="23" spans="1:13" ht="15.75" thickBot="1">
      <c r="A23" s="155" t="s">
        <v>600</v>
      </c>
      <c r="B23" s="156"/>
      <c r="C23" s="157"/>
      <c r="D23" s="158">
        <f>IF('NEW POOL'!$B$21+'NEW POOL'!$B$22+'NEW POOL'!$B$23&gt;0,0,'COST - NEW'!D147)</f>
        <v>11393.167500000001</v>
      </c>
      <c r="F23" s="108">
        <v>6992.7</v>
      </c>
      <c r="G23" s="108">
        <v>8113.46</v>
      </c>
      <c r="I23" s="24">
        <f>D23</f>
        <v>11393.167500000001</v>
      </c>
      <c r="K23" s="1">
        <f>IF(EXC!$C$27=0,OTHER!I23-OTHER!F23,OTHER!I23-OTHER!G23)</f>
        <v>4400.4675000000016</v>
      </c>
      <c r="M23" s="1">
        <f>K23/$M$3</f>
        <v>6286.3821428571455</v>
      </c>
    </row>
    <row r="24" spans="1:13" ht="15.75" thickBot="1">
      <c r="D24" s="1"/>
      <c r="F24" s="21"/>
      <c r="G24" s="21"/>
      <c r="I24" s="24"/>
    </row>
    <row r="25" spans="1:13" ht="15.75" thickBot="1">
      <c r="A25" s="155" t="s">
        <v>596</v>
      </c>
      <c r="B25" s="156"/>
      <c r="C25" s="157"/>
      <c r="D25" s="158">
        <f>IF('NEW POOL'!$B$21+'NEW POOL'!$B$22+'NEW POOL'!$B$23&gt;0,0,'COST - NEW'!D173)</f>
        <v>1040</v>
      </c>
      <c r="F25" s="108">
        <v>830</v>
      </c>
      <c r="G25" s="108">
        <v>1180</v>
      </c>
      <c r="I25" s="24">
        <f>D25</f>
        <v>1040</v>
      </c>
      <c r="K25" s="1">
        <f>IF(EXC!$C$27=0,OTHER!I25-OTHER!F25,OTHER!I25-OTHER!G25)</f>
        <v>210</v>
      </c>
      <c r="M25" s="1">
        <f>K25/$M$3</f>
        <v>300</v>
      </c>
    </row>
    <row r="26" spans="1:13" ht="15.75" thickBot="1">
      <c r="F26" s="21"/>
      <c r="G26" s="21"/>
      <c r="I26" s="24"/>
    </row>
    <row r="27" spans="1:13" ht="15.75" thickBot="1">
      <c r="A27" s="155" t="s">
        <v>597</v>
      </c>
      <c r="B27" s="156"/>
      <c r="C27" s="157"/>
      <c r="D27" s="158">
        <f>IF('NEW POOL'!$B$21+'NEW POOL'!$B$22+'NEW POOL'!$B$23&gt;0,0,'COST - NEW'!D175)</f>
        <v>782.6</v>
      </c>
      <c r="F27" s="108">
        <v>540</v>
      </c>
      <c r="G27" s="108">
        <v>752.8</v>
      </c>
      <c r="I27" s="24">
        <f>D27</f>
        <v>782.6</v>
      </c>
      <c r="K27" s="1">
        <f>IF(EXC!$C$27=0,OTHER!I27-OTHER!F27,OTHER!I27-OTHER!G27)</f>
        <v>242.60000000000002</v>
      </c>
      <c r="M27" s="1">
        <f>K27/$M$3</f>
        <v>346.57142857142861</v>
      </c>
    </row>
    <row r="28" spans="1:13" ht="15.75" thickBot="1">
      <c r="F28" s="21"/>
      <c r="G28" s="21"/>
      <c r="I28" s="24"/>
    </row>
    <row r="29" spans="1:13" ht="15.75" thickBot="1">
      <c r="A29" s="155" t="s">
        <v>605</v>
      </c>
      <c r="B29" s="156"/>
      <c r="C29" s="157"/>
      <c r="D29" s="158">
        <f>'COST - NEW'!D204</f>
        <v>7685.04</v>
      </c>
      <c r="F29" s="108">
        <v>0</v>
      </c>
      <c r="G29" s="108">
        <v>0</v>
      </c>
      <c r="I29" s="24">
        <f>D29</f>
        <v>7685.04</v>
      </c>
      <c r="K29" s="1">
        <f>IF(EXC!$C$27=0,OTHER!I29-OTHER!F29,OTHER!I29-OTHER!G29)</f>
        <v>7685.04</v>
      </c>
      <c r="L29" s="10">
        <v>0.745</v>
      </c>
      <c r="M29" s="1">
        <f>CEILING(K29/L29,10)</f>
        <v>10320</v>
      </c>
    </row>
    <row r="30" spans="1:13" ht="15.75" thickBot="1">
      <c r="F30" s="21"/>
      <c r="G30" s="21"/>
      <c r="I30" s="24"/>
    </row>
    <row r="31" spans="1:13" ht="15.75" thickBot="1">
      <c r="A31" s="155" t="s">
        <v>606</v>
      </c>
      <c r="B31" s="156"/>
      <c r="C31" s="157"/>
      <c r="D31" s="158">
        <f>'COST - NEW'!D206</f>
        <v>4532.4118124999995</v>
      </c>
      <c r="F31" s="108">
        <v>0</v>
      </c>
      <c r="G31" s="108">
        <v>0</v>
      </c>
      <c r="I31" s="24">
        <f>D31</f>
        <v>4532.4118124999995</v>
      </c>
      <c r="K31" s="1">
        <f>IF(EXC!$C$27=0,OTHER!I31-OTHER!F31,OTHER!I31-OTHER!G31)</f>
        <v>4532.4118124999995</v>
      </c>
      <c r="L31" s="10">
        <v>0.745</v>
      </c>
      <c r="M31" s="1">
        <f>CEILING(K31/L31,10)</f>
        <v>6090</v>
      </c>
    </row>
    <row r="32" spans="1:13" ht="15.75" thickBot="1">
      <c r="F32" s="21"/>
      <c r="G32" s="21"/>
      <c r="I32" s="24"/>
    </row>
    <row r="33" spans="1:13" ht="15.75" thickBot="1">
      <c r="A33" s="155" t="s">
        <v>617</v>
      </c>
      <c r="B33" s="156"/>
      <c r="C33" s="157"/>
      <c r="D33" s="158">
        <f>'COST - NEW'!D225</f>
        <v>0</v>
      </c>
      <c r="F33" s="108">
        <v>0</v>
      </c>
      <c r="G33" s="108">
        <v>0</v>
      </c>
      <c r="I33" s="24">
        <f>D33</f>
        <v>0</v>
      </c>
      <c r="K33" s="1">
        <f>IF(EXC!$C$27=0,OTHER!I33-OTHER!F33,OTHER!I33-OTHER!G33)</f>
        <v>0</v>
      </c>
      <c r="M33" s="1">
        <f>CEILING(K33/$M$3,40)</f>
        <v>0</v>
      </c>
    </row>
    <row r="34" spans="1:13" ht="15.75" thickBot="1">
      <c r="F34" s="21"/>
      <c r="G34" s="21"/>
      <c r="I34" s="24"/>
    </row>
    <row r="35" spans="1:13" ht="15.75" thickBot="1">
      <c r="A35" s="155" t="s">
        <v>618</v>
      </c>
      <c r="B35" s="156"/>
      <c r="C35" s="157"/>
      <c r="D35" s="158">
        <f>'COST - NEW'!D227</f>
        <v>0</v>
      </c>
      <c r="F35" s="108">
        <v>0</v>
      </c>
      <c r="G35" s="108">
        <v>0</v>
      </c>
      <c r="I35" s="24">
        <f>D35</f>
        <v>0</v>
      </c>
      <c r="K35" s="1">
        <f>IF(EXC!$C$27=0,OTHER!I35-OTHER!F35,OTHER!I35-OTHER!G35)</f>
        <v>0</v>
      </c>
      <c r="M35" s="1">
        <f>CEILING(K35/$M$3,40)</f>
        <v>0</v>
      </c>
    </row>
    <row r="36" spans="1:13" ht="15.75" thickBot="1">
      <c r="F36" s="21"/>
      <c r="G36" s="21"/>
      <c r="I36" s="24"/>
    </row>
    <row r="37" spans="1:13" ht="15.75" thickBot="1">
      <c r="A37" s="155" t="s">
        <v>634</v>
      </c>
      <c r="B37" s="156"/>
      <c r="C37" s="157"/>
      <c r="D37" s="158">
        <f>'COST - NEW'!D261</f>
        <v>8132.2669999999998</v>
      </c>
      <c r="F37" s="108">
        <v>3504.25</v>
      </c>
      <c r="G37" s="108">
        <v>3504.25</v>
      </c>
      <c r="I37" s="24">
        <f>D37</f>
        <v>8132.2669999999998</v>
      </c>
      <c r="K37" s="1">
        <f>IF(EXC!$C$27=0,OTHER!I37-OTHER!F37,OTHER!I37-OTHER!G37)</f>
        <v>4628.0169999999998</v>
      </c>
      <c r="M37" s="1">
        <f>K37/$M$3</f>
        <v>6611.4528571428573</v>
      </c>
    </row>
    <row r="38" spans="1:13" ht="15.75" thickBot="1">
      <c r="F38" s="21"/>
      <c r="G38" s="21"/>
      <c r="I38" s="24"/>
    </row>
    <row r="39" spans="1:13" ht="15.75" thickBot="1">
      <c r="A39" s="155" t="s">
        <v>523</v>
      </c>
      <c r="B39" s="156"/>
      <c r="C39" s="157"/>
      <c r="D39" s="158">
        <f>'COST - NEW'!D272</f>
        <v>875</v>
      </c>
      <c r="F39" s="108">
        <v>550</v>
      </c>
      <c r="G39" s="108">
        <v>550</v>
      </c>
      <c r="I39" s="24">
        <f>D39</f>
        <v>875</v>
      </c>
      <c r="K39" s="1">
        <f>IF(EXC!$C$27=0,OTHER!I39-OTHER!F39,OTHER!I39-OTHER!G39)</f>
        <v>325</v>
      </c>
      <c r="M39" s="1">
        <f>K39/$M$3</f>
        <v>464.28571428571433</v>
      </c>
    </row>
    <row r="40" spans="1:13" ht="15.75" thickBot="1">
      <c r="F40" s="21"/>
      <c r="G40" s="21"/>
      <c r="I40" s="24"/>
    </row>
    <row r="41" spans="1:13" ht="15.75" thickBot="1">
      <c r="A41" s="155" t="s">
        <v>577</v>
      </c>
      <c r="B41" s="156"/>
      <c r="C41" s="157"/>
      <c r="D41" s="158">
        <f>'COST - NEW'!D282</f>
        <v>1438</v>
      </c>
      <c r="F41" s="108">
        <v>700</v>
      </c>
      <c r="G41" s="108">
        <v>800</v>
      </c>
      <c r="I41" s="24">
        <f>D41</f>
        <v>1438</v>
      </c>
      <c r="K41" s="1">
        <f>IF(EXC!$C$27=0,OTHER!I41-OTHER!F41,OTHER!I41-OTHER!G41)</f>
        <v>738</v>
      </c>
      <c r="M41" s="1">
        <f>K41/$M$3</f>
        <v>1054.2857142857144</v>
      </c>
    </row>
    <row r="42" spans="1:13" ht="15.75" thickBot="1">
      <c r="F42" s="21"/>
      <c r="G42" s="21"/>
      <c r="I42" s="24"/>
    </row>
    <row r="43" spans="1:13" ht="15.75" thickBot="1">
      <c r="A43" s="155" t="s">
        <v>620</v>
      </c>
      <c r="B43" s="156"/>
      <c r="C43" s="157"/>
      <c r="D43" s="158">
        <f>IF('NEW POOL'!$B$21+'NEW POOL'!$B$22+'NEW POOL'!$B$23&gt;0,0,'COST - NEW'!D295)</f>
        <v>8577.5499999999993</v>
      </c>
      <c r="F43" s="108">
        <v>4278</v>
      </c>
      <c r="G43" s="108">
        <v>5340.96</v>
      </c>
      <c r="I43" s="24">
        <f>D43</f>
        <v>8577.5499999999993</v>
      </c>
      <c r="K43" s="1">
        <f>IF(EXC!$C$27=0,OTHER!I43-OTHER!F43,OTHER!I43-OTHER!G43)</f>
        <v>4299.5499999999993</v>
      </c>
      <c r="M43" s="1">
        <f>IF(D43=0,0,CEILING(K43/$M$3,320))</f>
        <v>6400</v>
      </c>
    </row>
    <row r="44" spans="1:13" ht="15.75" thickBot="1">
      <c r="F44" s="21"/>
      <c r="G44" s="21"/>
      <c r="I44" s="24"/>
    </row>
    <row r="45" spans="1:13" ht="15.7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.75" thickBot="1">
      <c r="A46" s="116"/>
      <c r="B46" s="116"/>
      <c r="C46" s="152"/>
      <c r="D46" s="154"/>
      <c r="F46" s="21"/>
      <c r="G46" s="21"/>
      <c r="I46" s="24"/>
    </row>
    <row r="47" spans="1:13" ht="15.7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.75" thickBot="1">
      <c r="F48" s="21"/>
      <c r="G48" s="21"/>
      <c r="I48" s="24"/>
    </row>
    <row r="49" spans="1:13" ht="15.7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.75" thickBot="1"/>
    <row r="51" spans="1:13" ht="15.75" thickBot="1">
      <c r="A51" s="155" t="str">
        <f>'SUMMARY - NEW'!A55</f>
        <v>Parged Concrete</v>
      </c>
      <c r="B51" s="156"/>
      <c r="C51" s="157"/>
      <c r="D51" s="158">
        <f>'SUMMARY - NEW'!D55</f>
        <v>0</v>
      </c>
    </row>
    <row r="52" spans="1:13" ht="15.75" thickBot="1"/>
    <row r="53" spans="1:13" ht="15.75" thickBot="1">
      <c r="A53" s="155" t="str">
        <f>'SUMMARY - NEW'!A57</f>
        <v>Oversized coping</v>
      </c>
      <c r="B53" s="156"/>
      <c r="C53" s="157"/>
      <c r="D53" s="158">
        <f>'SUMMARY - NEW'!D57</f>
        <v>824</v>
      </c>
    </row>
    <row r="54" spans="1:13" ht="15.75" thickBot="1"/>
    <row r="55" spans="1:13" ht="15.75" thickBot="1">
      <c r="A55" s="155" t="str">
        <f>'SUMMARY - NEW'!A59</f>
        <v>handrail</v>
      </c>
      <c r="B55" s="156"/>
      <c r="C55" s="157"/>
      <c r="D55" s="158">
        <f>'SUMMARY - NEW'!D59</f>
        <v>1028</v>
      </c>
    </row>
    <row r="56" spans="1:13" ht="15.75" thickBot="1"/>
    <row r="57" spans="1:13" ht="15.7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.75" thickBot="1"/>
    <row r="59" spans="1:13" ht="15.75" thickBot="1">
      <c r="A59" s="159" t="s">
        <v>2</v>
      </c>
      <c r="B59" s="160"/>
      <c r="C59" s="161"/>
      <c r="D59" s="162">
        <f>SUM(D5:D58)</f>
        <v>71449.386312500006</v>
      </c>
      <c r="E59" s="9"/>
      <c r="F59" s="24">
        <f>SUM(F5:F50)</f>
        <v>32483.45</v>
      </c>
      <c r="G59" s="24">
        <f>SUM(G5:G50)</f>
        <v>38239.47</v>
      </c>
      <c r="I59" s="24">
        <f>SUM(I5:I50)</f>
        <v>69447.386312500006</v>
      </c>
      <c r="K59" s="1">
        <f>I59-F59</f>
        <v>36963.936312500009</v>
      </c>
      <c r="M59" s="1">
        <f>K59/$M$3</f>
        <v>52805.623303571447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24</v>
      </c>
      <c r="D67" s="1">
        <f>B67*C67</f>
        <v>3000</v>
      </c>
      <c r="F67" s="4">
        <v>6</v>
      </c>
      <c r="G67" s="108">
        <v>1050</v>
      </c>
      <c r="H67" s="4">
        <f>IF('NEW POOL'!$B$10=6,1,0)</f>
        <v>0</v>
      </c>
      <c r="I67" s="24">
        <f>G67*H67</f>
        <v>0</v>
      </c>
    </row>
    <row r="68" spans="1:9">
      <c r="A68" t="s">
        <v>463</v>
      </c>
      <c r="B68" s="187">
        <v>12</v>
      </c>
      <c r="C68" s="5">
        <f>IF('NEW POOL'!B8&gt;400,'NEW POOL'!B8-400,0)</f>
        <v>176</v>
      </c>
      <c r="D68" s="1">
        <f>B68*C68</f>
        <v>2112</v>
      </c>
      <c r="F68" s="4">
        <v>7</v>
      </c>
      <c r="G68" s="108">
        <v>1390</v>
      </c>
      <c r="H68" s="4">
        <f>IF('NEW POOL'!$B$10=7,1,0)</f>
        <v>1</v>
      </c>
      <c r="I68" s="24">
        <f>G68*H68</f>
        <v>1390</v>
      </c>
    </row>
    <row r="69" spans="1:9">
      <c r="A69" t="s">
        <v>685</v>
      </c>
      <c r="C69" s="5">
        <f>SUM(H67:H70)</f>
        <v>1</v>
      </c>
      <c r="D69" s="1">
        <f>I72</f>
        <v>1390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1390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5"/>
  <cols>
    <col min="5" max="5" width="9.140625" customWidth="1"/>
    <col min="6" max="6" width="11.5703125" customWidth="1"/>
    <col min="7" max="7" width="27.42578125" customWidth="1"/>
  </cols>
  <sheetData>
    <row r="2" spans="1:9" ht="15.75" thickBot="1"/>
    <row r="3" spans="1:9" ht="15.75" thickBot="1">
      <c r="F3" s="8" t="s">
        <v>854</v>
      </c>
      <c r="G3" s="403" t="str">
        <f>'NEW POOL'!B3</f>
        <v>Bishop</v>
      </c>
    </row>
    <row r="4" spans="1:9" ht="15.75" thickBot="1">
      <c r="F4" s="8"/>
    </row>
    <row r="5" spans="1:9" ht="15.75" thickBot="1">
      <c r="F5" s="8" t="s">
        <v>670</v>
      </c>
      <c r="G5" s="403" t="str">
        <f>'NEW POOL'!B4</f>
        <v>Indian Land</v>
      </c>
    </row>
    <row r="8" spans="1:9" ht="15.75" thickBot="1"/>
    <row r="9" spans="1:9" ht="27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.75" thickBot="1"/>
    <row r="12" spans="1:9" ht="24" thickBot="1">
      <c r="A12" s="393" t="s">
        <v>857</v>
      </c>
      <c r="G12" s="395">
        <f>'COST - NEW'!D21</f>
        <v>75</v>
      </c>
    </row>
    <row r="14" spans="1:9" ht="15.75" thickBot="1"/>
    <row r="15" spans="1:9" ht="24" thickBot="1">
      <c r="A15" s="393" t="s">
        <v>865</v>
      </c>
      <c r="G15" s="395">
        <v>65</v>
      </c>
    </row>
    <row r="17" spans="1:7" ht="15.75" thickBot="1"/>
    <row r="18" spans="1:7" ht="24" thickBot="1">
      <c r="A18" s="393" t="s">
        <v>858</v>
      </c>
      <c r="G18" s="395">
        <f>CEILING('COST - NEW'!D293,1)</f>
        <v>0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5"/>
  <cols>
    <col min="1" max="1" width="22.57031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0</v>
      </c>
      <c r="D5" s="30">
        <f>B5*C5</f>
        <v>0</v>
      </c>
    </row>
    <row r="6" spans="1:10">
      <c r="A6" s="110" t="s">
        <v>624</v>
      </c>
      <c r="B6" s="67">
        <v>15</v>
      </c>
      <c r="C6" s="35">
        <f>IF('NEW POOL'!B167&gt;0,1,0)</f>
        <v>0</v>
      </c>
      <c r="D6" s="137">
        <f>B6*C6</f>
        <v>0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1</v>
      </c>
      <c r="D8" s="30">
        <f>B8*C8</f>
        <v>750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 t="s">
        <v>627</v>
      </c>
      <c r="B10" s="3"/>
      <c r="D10" s="107">
        <f>SUM(D4:D9)</f>
        <v>1160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zoomScale="145" zoomScaleNormal="145" workbookViewId="0">
      <selection activeCell="B18" sqref="B18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6" max="6" width="10.140625" customWidth="1"/>
    <col min="7" max="7" width="11" style="4" customWidth="1"/>
    <col min="8" max="8" width="12.5703125" style="4" customWidth="1"/>
    <col min="12" max="12" width="10.5703125" bestFit="1" customWidth="1"/>
  </cols>
  <sheetData>
    <row r="1" spans="1:10" ht="19.5" thickBot="1">
      <c r="A1" s="631" t="s">
        <v>936</v>
      </c>
      <c r="B1" s="632"/>
      <c r="C1" s="632"/>
      <c r="D1" s="633"/>
    </row>
    <row r="2" spans="1:10" ht="15.75" thickBot="1">
      <c r="J2" s="4" t="s">
        <v>492</v>
      </c>
    </row>
    <row r="3" spans="1:10">
      <c r="A3" s="630" t="s">
        <v>3</v>
      </c>
      <c r="B3" s="538"/>
      <c r="C3" s="538"/>
      <c r="D3" s="539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104</v>
      </c>
      <c r="H4" s="125">
        <f>G4*1.12</f>
        <v>116.48000000000002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576</v>
      </c>
      <c r="H5" s="125">
        <f>G5*1.15</f>
        <v>662.4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0</v>
      </c>
      <c r="D7" s="111">
        <f t="shared" si="0"/>
        <v>0</v>
      </c>
      <c r="F7" s="124" t="s">
        <v>444</v>
      </c>
      <c r="G7" s="135">
        <f>'NEW POOL'!B10</f>
        <v>7</v>
      </c>
      <c r="H7" s="125">
        <f>G7+1.25</f>
        <v>8.25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1</v>
      </c>
      <c r="D8" s="111">
        <f t="shared" si="0"/>
        <v>2700</v>
      </c>
      <c r="F8" s="124" t="s">
        <v>446</v>
      </c>
      <c r="G8" s="135">
        <f>(G6+G7)/2</f>
        <v>5.25</v>
      </c>
      <c r="H8" s="125">
        <f>(H6+H7)/2</f>
        <v>6.5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0</v>
      </c>
      <c r="H9" s="125">
        <f>IF(G9&gt;0,75,0)</f>
        <v>0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.7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179.39999999999998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.75" thickBot="1">
      <c r="A17" s="110" t="s">
        <v>461</v>
      </c>
      <c r="B17" s="112">
        <v>4</v>
      </c>
      <c r="C17" s="35">
        <f>J3</f>
        <v>0</v>
      </c>
      <c r="D17" s="120">
        <f t="shared" si="0"/>
        <v>0</v>
      </c>
    </row>
    <row r="18" spans="1:12" ht="15.7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0</v>
      </c>
      <c r="D27" s="111">
        <f t="shared" si="1"/>
        <v>0</v>
      </c>
    </row>
    <row r="28" spans="1:12">
      <c r="A28" s="28" t="s">
        <v>490</v>
      </c>
      <c r="B28" s="67">
        <v>350</v>
      </c>
      <c r="C28" s="35">
        <f>'NEW POOL'!B18</f>
        <v>0</v>
      </c>
      <c r="D28" s="111">
        <f t="shared" si="1"/>
        <v>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1584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179.39999999999998</v>
      </c>
      <c r="D32" s="112">
        <f>B32*C32</f>
        <v>3229.2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.7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.75" thickBot="1">
      <c r="B36" s="129"/>
      <c r="D36" s="436">
        <f>SUM(D20:D35)</f>
        <v>5488.2</v>
      </c>
      <c r="L36" s="1">
        <f>SUM(L32:L35)</f>
        <v>3020</v>
      </c>
    </row>
    <row r="37" spans="1:12" ht="15.75" thickBot="1">
      <c r="B37" s="129"/>
      <c r="D37" s="1"/>
    </row>
    <row r="38" spans="1:12" ht="15.75" thickBot="1">
      <c r="D38" s="134">
        <f>D18+D36</f>
        <v>8188.2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C22" sqref="C22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5" max="6" width="10.140625" style="4" customWidth="1"/>
    <col min="7" max="8" width="8.5703125" style="4"/>
    <col min="11" max="11" width="9.140625" style="4"/>
  </cols>
  <sheetData>
    <row r="1" spans="1:11" ht="19.5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.75" thickBot="1">
      <c r="A5" s="110" t="s">
        <v>682</v>
      </c>
      <c r="B5" s="101">
        <v>750</v>
      </c>
      <c r="C5" s="35">
        <f>EXC!C27</f>
        <v>0</v>
      </c>
      <c r="D5" s="111">
        <f>B5*C5</f>
        <v>0</v>
      </c>
    </row>
    <row r="6" spans="1:11" ht="15.75" thickBot="1">
      <c r="A6" s="106"/>
      <c r="B6" s="3"/>
      <c r="D6" s="107">
        <f>SUM(D4:D5)</f>
        <v>550</v>
      </c>
    </row>
    <row r="8" spans="1:11">
      <c r="A8" s="28" t="s">
        <v>872</v>
      </c>
      <c r="B8" s="101">
        <v>25</v>
      </c>
      <c r="C8" s="35">
        <f>IF('NEW POOL'!B58&gt;33,'NEW POOL'!B58-33,0)</f>
        <v>27</v>
      </c>
      <c r="D8" s="111">
        <f>B8*C8</f>
        <v>675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205</v>
      </c>
      <c r="D14" s="111">
        <f t="shared" si="1"/>
        <v>1127.5</v>
      </c>
      <c r="E14" s="4">
        <f>'NEW POOL'!B7</f>
        <v>104</v>
      </c>
      <c r="F14" s="5">
        <f>'NEW POOL'!B58</f>
        <v>60</v>
      </c>
      <c r="G14" s="5">
        <f>'NEW POOL'!B60</f>
        <v>0</v>
      </c>
      <c r="H14" s="5">
        <f>'NEW POOL'!B66+('NEW POOL'!B67*6*1.15)</f>
        <v>0</v>
      </c>
      <c r="K14" s="4">
        <f>(SUM(E14:J14)*1.25)</f>
        <v>205</v>
      </c>
    </row>
    <row r="15" spans="1:11">
      <c r="A15" s="110" t="s">
        <v>8</v>
      </c>
      <c r="B15" s="109">
        <v>7</v>
      </c>
      <c r="C15" s="35">
        <f t="shared" si="0"/>
        <v>70</v>
      </c>
      <c r="D15" s="111">
        <f t="shared" si="1"/>
        <v>490</v>
      </c>
      <c r="E15" s="5">
        <f>'NEW POOL'!B59</f>
        <v>70</v>
      </c>
      <c r="F15" s="5">
        <v>0</v>
      </c>
      <c r="G15" s="4">
        <f>'NEW POOL'!B17</f>
        <v>0</v>
      </c>
      <c r="K15" s="5">
        <f>SUM(E15:J15)</f>
        <v>70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1058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0</v>
      </c>
      <c r="D24" s="30"/>
      <c r="E24" s="4">
        <f>C5</f>
        <v>0</v>
      </c>
      <c r="F24" s="5">
        <f>'NEW POOL'!B121</f>
        <v>0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229</v>
      </c>
      <c r="D26" s="30">
        <f>B26*C26</f>
        <v>629.75</v>
      </c>
    </row>
    <row r="27" spans="1:11">
      <c r="A27" s="28" t="s">
        <v>989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.75" thickBot="1">
      <c r="B29" s="129"/>
      <c r="D29" s="1"/>
    </row>
    <row r="30" spans="1:11" ht="15.75" thickBot="1">
      <c r="D30" s="134">
        <f>SUM(D10:D29)+D6</f>
        <v>4707.25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0</v>
      </c>
      <c r="D33" s="30">
        <f>B33*C33</f>
        <v>0</v>
      </c>
    </row>
    <row r="34" spans="1:10">
      <c r="A34" s="110" t="s">
        <v>667</v>
      </c>
      <c r="B34" s="67">
        <v>11</v>
      </c>
      <c r="C34" s="35">
        <f>IF('NEW POOL'!B68&gt;25,'NEW POOL'!B68-25,0)</f>
        <v>0</v>
      </c>
      <c r="D34" s="30">
        <f>B34*C34</f>
        <v>0</v>
      </c>
    </row>
    <row r="35" spans="1:10" ht="15.75" thickBot="1"/>
    <row r="36" spans="1:10" ht="15.75" thickBot="1">
      <c r="D36" s="143">
        <f>SUM(D33:D35)</f>
        <v>0</v>
      </c>
    </row>
    <row r="38" spans="1:10">
      <c r="A38" s="637" t="s">
        <v>516</v>
      </c>
      <c r="B38" s="637"/>
      <c r="C38" s="637"/>
      <c r="D38" s="637"/>
      <c r="E38" s="4" t="s">
        <v>999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0</v>
      </c>
      <c r="D43" s="30">
        <f t="shared" si="6"/>
        <v>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.75" thickBot="1"/>
    <row r="47" spans="1:10" ht="15.75" thickBot="1">
      <c r="D47" s="134">
        <f>SUM(D39:D46)</f>
        <v>875</v>
      </c>
    </row>
    <row r="49" spans="1:5">
      <c r="A49" t="s">
        <v>1032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A18" sqref="A18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104</v>
      </c>
      <c r="D4" s="30">
        <f t="shared" ref="D4:D26" si="0">B4*C4</f>
        <v>2600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104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0</v>
      </c>
      <c r="D8" s="30">
        <f t="shared" si="0"/>
        <v>0</v>
      </c>
    </row>
    <row r="9" spans="1:10">
      <c r="A9" s="110" t="s">
        <v>490</v>
      </c>
      <c r="B9" s="67">
        <v>150</v>
      </c>
      <c r="C9" s="35">
        <f>'NEW POOL'!B18</f>
        <v>0</v>
      </c>
      <c r="D9" s="30">
        <f t="shared" si="0"/>
        <v>0</v>
      </c>
    </row>
    <row r="10" spans="1:10">
      <c r="A10" s="110" t="s">
        <v>527</v>
      </c>
      <c r="B10" s="67">
        <v>8</v>
      </c>
      <c r="C10" s="119">
        <f>'NEW POOL'!B11</f>
        <v>70</v>
      </c>
      <c r="D10" s="30">
        <f t="shared" si="0"/>
        <v>560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2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1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0</v>
      </c>
      <c r="D22" s="30">
        <f t="shared" si="0"/>
        <v>0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0</v>
      </c>
      <c r="D24" s="30">
        <f t="shared" si="0"/>
        <v>0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.75" thickBot="1"/>
    <row r="28" spans="1:4" ht="15.75" thickBot="1">
      <c r="A28" s="106"/>
      <c r="B28" s="3"/>
      <c r="D28" s="107">
        <f>SUM(D4:D27)</f>
        <v>3960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I15" sqref="I15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0</v>
      </c>
      <c r="D5" s="30">
        <f t="shared" si="0"/>
        <v>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1</v>
      </c>
      <c r="D6" s="137">
        <f t="shared" si="0"/>
        <v>100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0</v>
      </c>
      <c r="D7" s="30">
        <f t="shared" si="0"/>
        <v>0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.75" thickBot="1">
      <c r="A16"/>
      <c r="B16"/>
      <c r="D16"/>
      <c r="I16"/>
      <c r="J16"/>
    </row>
    <row r="17" spans="1:10" s="4" customFormat="1" ht="15.75" thickBot="1">
      <c r="A17" s="106"/>
      <c r="B17" s="3"/>
      <c r="D17" s="107">
        <f>SUM(D4:D16)</f>
        <v>2385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5"/>
  <cols>
    <col min="1" max="1" width="18.140625" customWidth="1"/>
    <col min="2" max="2" width="11.42578125" customWidth="1"/>
    <col min="3" max="3" width="9.42578125" style="4" bestFit="1" customWidth="1"/>
    <col min="4" max="4" width="14.140625" customWidth="1"/>
    <col min="5" max="5" width="8.5703125" style="4"/>
    <col min="6" max="6" width="11.85546875" style="4" customWidth="1"/>
    <col min="7" max="8" width="8.5703125" style="4"/>
    <col min="12" max="12" width="10.140625" bestFit="1" customWidth="1"/>
  </cols>
  <sheetData>
    <row r="1" spans="1:12" ht="18.75">
      <c r="A1" s="626" t="s">
        <v>984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1122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41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9</v>
      </c>
      <c r="D5" s="30">
        <f t="shared" si="0"/>
        <v>810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0</v>
      </c>
      <c r="D6" s="137">
        <f t="shared" si="0"/>
        <v>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0</v>
      </c>
    </row>
    <row r="11" spans="1:12" ht="15.75" thickBot="1">
      <c r="A11" s="106"/>
      <c r="B11" s="129"/>
      <c r="D11" s="1"/>
    </row>
    <row r="12" spans="1:12" s="4" customFormat="1" ht="15.75" thickBot="1">
      <c r="A12" t="s">
        <v>549</v>
      </c>
      <c r="B12"/>
      <c r="D12" s="143">
        <f>SUM(D4:D11)</f>
        <v>3690</v>
      </c>
      <c r="I12"/>
      <c r="J12" s="630" t="s">
        <v>706</v>
      </c>
      <c r="K12" s="538"/>
      <c r="L12" s="539"/>
    </row>
    <row r="13" spans="1:12" s="4" customFormat="1">
      <c r="A13" s="106"/>
      <c r="B13" s="3"/>
      <c r="I13"/>
      <c r="J13" s="4">
        <f>'NEW POOL'!E7+2</f>
        <v>18</v>
      </c>
      <c r="K13" s="4">
        <f>ROUNDUP((J13*7/22),0)</f>
        <v>6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41</v>
      </c>
      <c r="D15" s="30">
        <f>B15*C15</f>
        <v>9348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41</v>
      </c>
      <c r="D18" s="30">
        <f>B18*C18</f>
        <v>1025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10623</v>
      </c>
    </row>
    <row r="22" spans="1:4">
      <c r="A22" s="298" t="s">
        <v>767</v>
      </c>
      <c r="B22" s="299">
        <v>2.5000000000000001E-2</v>
      </c>
      <c r="D22" s="30">
        <f>D21*B22</f>
        <v>265.57499999999999</v>
      </c>
    </row>
    <row r="23" spans="1:4">
      <c r="A23" s="298" t="s">
        <v>768</v>
      </c>
      <c r="B23" s="299">
        <v>4.7500000000000001E-2</v>
      </c>
      <c r="D23" s="30">
        <f>D21*B23</f>
        <v>504.59250000000003</v>
      </c>
    </row>
    <row r="24" spans="1:4" ht="15.75" thickBot="1">
      <c r="A24" s="106"/>
      <c r="B24" s="129"/>
      <c r="D24" s="1"/>
    </row>
    <row r="25" spans="1:4" ht="15.75" thickBot="1">
      <c r="A25" t="s">
        <v>562</v>
      </c>
      <c r="D25" s="143">
        <f>D21+D22+D23</f>
        <v>11393.167500000001</v>
      </c>
    </row>
    <row r="26" spans="1:4" ht="15.75" thickBot="1"/>
    <row r="27" spans="1:4" ht="15.75" thickBot="1">
      <c r="A27" t="s">
        <v>558</v>
      </c>
      <c r="D27" s="143">
        <f>D12+D25</f>
        <v>15083.167500000001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C65" sqref="C65"/>
    </sheetView>
  </sheetViews>
  <sheetFormatPr defaultRowHeight="15"/>
  <cols>
    <col min="1" max="1" width="28.42578125" customWidth="1"/>
    <col min="2" max="2" width="11.42578125" customWidth="1"/>
    <col min="3" max="3" width="10.140625" style="4" bestFit="1" customWidth="1"/>
    <col min="4" max="4" width="11.42578125" customWidth="1"/>
    <col min="5" max="5" width="8.5703125" style="4"/>
    <col min="6" max="6" width="10.140625" style="4" customWidth="1"/>
    <col min="7" max="7" width="8.5703125" style="4"/>
  </cols>
  <sheetData>
    <row r="1" spans="1:13" ht="19.5" thickBot="1">
      <c r="A1" s="631" t="s">
        <v>972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104</v>
      </c>
      <c r="D4" s="30">
        <f t="shared" ref="D4:D18" si="0">B4*C4</f>
        <v>1040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104</v>
      </c>
      <c r="D5" s="30">
        <f t="shared" si="0"/>
        <v>728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0</v>
      </c>
      <c r="D8" s="137">
        <f t="shared" si="0"/>
        <v>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0</v>
      </c>
      <c r="D9" s="30">
        <f t="shared" si="0"/>
        <v>0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0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0</v>
      </c>
      <c r="I15" s="35">
        <f>IF('NEW POOL'!B19=2,1,0)</f>
        <v>0</v>
      </c>
      <c r="J15" s="35">
        <f>ROUNDUP(((H15*I15*'NEW POOL'!$B$17*1.5)*1.1),0)</f>
        <v>0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0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1012</v>
      </c>
      <c r="J18" s="8" t="s">
        <v>1015</v>
      </c>
      <c r="K18" s="4">
        <f>REMODEL!B7</f>
        <v>80</v>
      </c>
    </row>
    <row r="19" spans="1:11" ht="15.75" thickBot="1">
      <c r="F19" s="638" t="s">
        <v>1013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.75" thickBot="1">
      <c r="A20" s="106" t="s">
        <v>583</v>
      </c>
      <c r="B20" s="3"/>
      <c r="D20" s="107">
        <f>SUM(D4:D19)</f>
        <v>1768</v>
      </c>
      <c r="F20" s="638" t="s">
        <v>1014</v>
      </c>
      <c r="G20" s="638"/>
      <c r="H20" s="638"/>
      <c r="I20" s="465">
        <v>50</v>
      </c>
      <c r="J20" s="8" t="s">
        <v>1014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875.7</v>
      </c>
      <c r="D24" s="30">
        <f t="shared" si="3"/>
        <v>7005.6</v>
      </c>
      <c r="E24" s="4" t="s">
        <v>435</v>
      </c>
      <c r="F24" s="466" t="s">
        <v>1021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115</v>
      </c>
      <c r="D25" s="30">
        <f t="shared" si="3"/>
        <v>1380</v>
      </c>
      <c r="E25" s="4" t="s">
        <v>468</v>
      </c>
      <c r="F25" s="466" t="s">
        <v>1023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0</v>
      </c>
      <c r="D26" s="30">
        <f t="shared" si="3"/>
        <v>0</v>
      </c>
      <c r="E26" s="4" t="s">
        <v>435</v>
      </c>
      <c r="F26" s="4" t="s">
        <v>1018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0</v>
      </c>
      <c r="D29" s="30">
        <f t="shared" si="3"/>
        <v>0</v>
      </c>
    </row>
    <row r="30" spans="1:11" ht="15.75" thickBot="1">
      <c r="A30" s="110" t="s">
        <v>1059</v>
      </c>
      <c r="B30" s="67">
        <v>27</v>
      </c>
      <c r="C30" s="119">
        <f>'NEW POOL'!B98</f>
        <v>0</v>
      </c>
      <c r="D30" s="137">
        <f>B30*C30</f>
        <v>0</v>
      </c>
      <c r="F30" s="51" t="s">
        <v>1129</v>
      </c>
    </row>
    <row r="31" spans="1:11" ht="15.75" thickBot="1">
      <c r="A31" s="106" t="s">
        <v>560</v>
      </c>
      <c r="B31" s="129"/>
      <c r="C31" s="5"/>
      <c r="D31" s="143">
        <f>SUM(D23:D30)</f>
        <v>8385.6</v>
      </c>
      <c r="F31" s="51" t="s">
        <v>1129</v>
      </c>
    </row>
    <row r="32" spans="1:11">
      <c r="A32" s="106"/>
      <c r="B32" s="129"/>
      <c r="C32" s="5"/>
      <c r="D32" s="1"/>
      <c r="F32" s="51" t="s">
        <v>1130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1130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3.25</v>
      </c>
      <c r="C35" s="119">
        <f>C24</f>
        <v>875.7</v>
      </c>
      <c r="D35" s="30">
        <f t="shared" si="4"/>
        <v>2846.0250000000001</v>
      </c>
      <c r="E35" s="4" t="s">
        <v>435</v>
      </c>
      <c r="G35" s="8" t="s">
        <v>814</v>
      </c>
      <c r="H35" s="5">
        <f>'NEW POOL'!B97</f>
        <v>0</v>
      </c>
      <c r="I35" s="4">
        <f>(H35*'NEW POOL'!B7*4)*1.1</f>
        <v>0</v>
      </c>
      <c r="J35" s="4">
        <f>'NEW POOL'!E9-'TILE COPING'!I35</f>
        <v>834</v>
      </c>
    </row>
    <row r="36" spans="1:15">
      <c r="A36" s="110" t="s">
        <v>822</v>
      </c>
      <c r="B36" s="67">
        <v>11</v>
      </c>
      <c r="C36" s="119">
        <f>IF('NEW POOL'!B90=1,C25,0)</f>
        <v>0</v>
      </c>
      <c r="D36" s="30">
        <f t="shared" si="4"/>
        <v>0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0</v>
      </c>
      <c r="D37" s="30">
        <f t="shared" si="4"/>
        <v>0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115</v>
      </c>
      <c r="D38" s="30">
        <f>B38*C38</f>
        <v>1380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0</v>
      </c>
      <c r="D41" s="30">
        <f t="shared" si="4"/>
        <v>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0</v>
      </c>
      <c r="D42" s="30">
        <f t="shared" si="4"/>
        <v>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.7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.75" thickBot="1">
      <c r="A45" s="106" t="s">
        <v>615</v>
      </c>
      <c r="B45" s="129"/>
      <c r="C45" s="5"/>
      <c r="D45" s="143">
        <f>SUM(D34:D44)</f>
        <v>4226.0249999999996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0</v>
      </c>
      <c r="D48" s="30">
        <f>B48*C48</f>
        <v>0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1087</v>
      </c>
      <c r="B50" s="141">
        <v>8</v>
      </c>
      <c r="C50" s="119">
        <f>'NEW POOL'!B167</f>
        <v>0</v>
      </c>
      <c r="D50" s="30">
        <f>B50*C50</f>
        <v>0</v>
      </c>
      <c r="E50" s="51" t="s">
        <v>1071</v>
      </c>
    </row>
    <row r="51" spans="1:15" ht="15.75" thickBot="1">
      <c r="A51" s="110" t="s">
        <v>808</v>
      </c>
      <c r="B51" s="67">
        <v>150</v>
      </c>
      <c r="C51" s="35">
        <f>'NEW POOL'!B18</f>
        <v>0</v>
      </c>
      <c r="D51" s="30">
        <f>B51*C51</f>
        <v>0</v>
      </c>
      <c r="E51" s="51"/>
    </row>
    <row r="52" spans="1:15" ht="15.75" thickBot="1">
      <c r="A52" s="106" t="s">
        <v>560</v>
      </c>
      <c r="B52" s="129"/>
      <c r="C52" s="5"/>
      <c r="D52" s="143">
        <f>SUM(D46:D51)</f>
        <v>0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0</v>
      </c>
      <c r="D54" s="30">
        <f>B54*C54</f>
        <v>0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0</v>
      </c>
      <c r="D56" s="30">
        <f>B56*C56</f>
        <v>0</v>
      </c>
      <c r="E56" s="51" t="s">
        <v>1071</v>
      </c>
    </row>
    <row r="57" spans="1:15" ht="15.75" thickBot="1">
      <c r="A57" s="110" t="s">
        <v>809</v>
      </c>
      <c r="B57" s="67">
        <v>150</v>
      </c>
      <c r="C57" s="119">
        <f>C51</f>
        <v>0</v>
      </c>
      <c r="D57" s="30">
        <f>B57*C57</f>
        <v>0</v>
      </c>
    </row>
    <row r="58" spans="1:15" ht="15.75" thickBot="1">
      <c r="A58" s="106" t="s">
        <v>615</v>
      </c>
      <c r="B58" s="129"/>
      <c r="C58" s="5"/>
      <c r="D58" s="143">
        <f>SUM(D54:D57)</f>
        <v>0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5"/>
  <cols>
    <col min="1" max="1" width="37.5703125" customWidth="1"/>
    <col min="2" max="2" width="10.5703125" style="4" customWidth="1"/>
    <col min="4" max="4" width="10.85546875" customWidth="1"/>
    <col min="5" max="5" width="8.85546875" style="4"/>
  </cols>
  <sheetData>
    <row r="1" spans="1:6" ht="19.5" thickBot="1">
      <c r="A1" s="631" t="s">
        <v>1042</v>
      </c>
      <c r="B1" s="632"/>
      <c r="C1" s="632"/>
      <c r="D1" s="633"/>
    </row>
    <row r="2" spans="1:6" ht="15.75" thickBot="1"/>
    <row r="3" spans="1:6" ht="15.75" thickBot="1">
      <c r="A3" s="639" t="s">
        <v>1037</v>
      </c>
      <c r="B3" s="640"/>
      <c r="C3" s="640"/>
      <c r="D3" s="641"/>
    </row>
    <row r="4" spans="1:6">
      <c r="A4" s="117"/>
      <c r="B4" s="117" t="s">
        <v>1053</v>
      </c>
      <c r="C4" s="117" t="s">
        <v>1054</v>
      </c>
      <c r="D4" s="117" t="s">
        <v>1055</v>
      </c>
      <c r="E4" s="117" t="s">
        <v>468</v>
      </c>
      <c r="F4" s="117" t="s">
        <v>337</v>
      </c>
    </row>
    <row r="5" spans="1:6">
      <c r="A5" t="s">
        <v>1051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1038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1039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1040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1041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1043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1044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1045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1046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1047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1048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1049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1050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1052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5"/>
  <cols>
    <col min="1" max="1" width="18.140625" customWidth="1"/>
    <col min="2" max="2" width="11.42578125" customWidth="1"/>
    <col min="3" max="3" width="9.5703125" customWidth="1"/>
    <col min="4" max="4" width="8.85546875" style="4"/>
    <col min="5" max="5" width="11.42578125" customWidth="1"/>
    <col min="6" max="6" width="8.85546875" style="4"/>
    <col min="7" max="7" width="10.140625" style="4" customWidth="1"/>
    <col min="8" max="9" width="8.85546875" style="4"/>
  </cols>
  <sheetData>
    <row r="1" spans="1:11" ht="18.75">
      <c r="A1" s="626" t="s">
        <v>1006</v>
      </c>
      <c r="B1" s="626"/>
      <c r="C1" s="626"/>
      <c r="D1" s="626"/>
      <c r="E1" s="626"/>
    </row>
    <row r="2" spans="1:11">
      <c r="K2" s="4"/>
    </row>
    <row r="3" spans="1:11">
      <c r="A3" s="627" t="s">
        <v>1005</v>
      </c>
      <c r="B3" s="628"/>
      <c r="C3" s="628"/>
      <c r="D3" s="628"/>
      <c r="E3" s="629"/>
      <c r="K3" s="4"/>
    </row>
    <row r="4" spans="1:11">
      <c r="A4" s="110" t="s">
        <v>1008</v>
      </c>
      <c r="B4" s="142">
        <v>2.8</v>
      </c>
      <c r="C4" s="463">
        <f>IF(C5=1,0,1)</f>
        <v>0</v>
      </c>
      <c r="D4" s="119">
        <f>INT!E23</f>
        <v>1122</v>
      </c>
      <c r="E4" s="30">
        <f>B4*D4*C4</f>
        <v>0</v>
      </c>
    </row>
    <row r="5" spans="1:11">
      <c r="A5" s="110" t="s">
        <v>1007</v>
      </c>
      <c r="B5" s="142">
        <v>3.5</v>
      </c>
      <c r="C5" s="463">
        <f>REMODEL!B24</f>
        <v>1</v>
      </c>
      <c r="D5" s="119">
        <f>D4</f>
        <v>1122</v>
      </c>
      <c r="E5" s="111">
        <f>B5*D5*C5</f>
        <v>3927</v>
      </c>
    </row>
    <row r="6" spans="1:11">
      <c r="A6" s="110" t="s">
        <v>1011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1010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.75" thickBot="1">
      <c r="A10"/>
      <c r="B10"/>
      <c r="C10"/>
      <c r="E10"/>
      <c r="J10"/>
      <c r="K10"/>
    </row>
    <row r="11" spans="1:11" s="4" customFormat="1" ht="15.75" thickBot="1">
      <c r="A11" s="106"/>
      <c r="B11" s="3"/>
      <c r="C11" s="3"/>
      <c r="E11" s="107">
        <f>SUM(E4:E10)</f>
        <v>3927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zoomScaleNormal="100" workbookViewId="0">
      <selection activeCell="B32" sqref="B32"/>
    </sheetView>
  </sheetViews>
  <sheetFormatPr defaultRowHeight="15"/>
  <cols>
    <col min="1" max="1" width="30.140625" customWidth="1"/>
    <col min="2" max="2" width="11.42578125" customWidth="1"/>
    <col min="3" max="3" width="8.5703125" style="4"/>
    <col min="4" max="4" width="11.42578125" customWidth="1"/>
    <col min="5" max="5" width="12.5703125" style="4" bestFit="1" customWidth="1"/>
    <col min="6" max="6" width="7" style="4" customWidth="1"/>
    <col min="7" max="7" width="10.140625" style="4" customWidth="1"/>
    <col min="8" max="8" width="13" style="4" customWidth="1"/>
    <col min="9" max="13" width="8.5703125" customWidth="1"/>
    <col min="14" max="14" width="11.5703125" bestFit="1" customWidth="1"/>
    <col min="15" max="15" width="11.85546875" customWidth="1"/>
    <col min="16" max="17" width="11.5703125" bestFit="1" customWidth="1"/>
  </cols>
  <sheetData>
    <row r="1" spans="1:18" ht="19.5" thickBot="1">
      <c r="A1" s="631" t="s">
        <v>991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1122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.7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1122</v>
      </c>
      <c r="D6" s="372">
        <f t="shared" ref="D6:D18" si="0">B6*C6</f>
        <v>6171</v>
      </c>
      <c r="E6" s="373">
        <v>850</v>
      </c>
      <c r="F6" s="276">
        <f>EXC!C27</f>
        <v>0</v>
      </c>
      <c r="G6" s="374">
        <f t="shared" ref="G6:G18" si="1">E6*F6</f>
        <v>0</v>
      </c>
      <c r="H6" s="375">
        <v>850</v>
      </c>
      <c r="I6" s="376">
        <f>D25</f>
        <v>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7131</v>
      </c>
      <c r="O6" s="60">
        <f t="shared" ref="O6:O18" si="3">N6/$O$5</f>
        <v>10187.142857142857</v>
      </c>
      <c r="P6" s="60"/>
      <c r="Q6" s="60"/>
      <c r="R6" t="s">
        <v>1108</v>
      </c>
    </row>
    <row r="7" spans="1:18">
      <c r="A7" s="110" t="s">
        <v>975</v>
      </c>
      <c r="B7" s="67">
        <v>6.3</v>
      </c>
      <c r="C7" s="453">
        <f>IF(E3&lt;851,850,E3)</f>
        <v>1122</v>
      </c>
      <c r="D7" s="372">
        <f t="shared" si="0"/>
        <v>7068.5999999999995</v>
      </c>
      <c r="E7" s="373">
        <v>1150</v>
      </c>
      <c r="F7" s="276">
        <f>F6</f>
        <v>0</v>
      </c>
      <c r="G7" s="374">
        <f t="shared" si="1"/>
        <v>0</v>
      </c>
      <c r="H7" s="375">
        <f>H6</f>
        <v>850</v>
      </c>
      <c r="I7" s="376">
        <f>I6</f>
        <v>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8028.5999999999995</v>
      </c>
      <c r="O7" s="60">
        <f t="shared" si="3"/>
        <v>11469.428571428571</v>
      </c>
      <c r="P7" s="60">
        <f>O7-O6</f>
        <v>1282.2857142857138</v>
      </c>
      <c r="Q7" s="3">
        <f t="shared" ref="Q7:Q18" si="4">CEILING(P7,10)</f>
        <v>1290</v>
      </c>
      <c r="R7" t="s">
        <v>977</v>
      </c>
    </row>
    <row r="8" spans="1:18">
      <c r="A8" s="110" t="s">
        <v>1101</v>
      </c>
      <c r="B8" s="67">
        <v>7.9</v>
      </c>
      <c r="C8" s="119">
        <f>IF(E3&lt;851,850,E3)</f>
        <v>1122</v>
      </c>
      <c r="D8" s="377">
        <f t="shared" si="0"/>
        <v>8863.8000000000011</v>
      </c>
      <c r="E8" s="425">
        <f>E7</f>
        <v>1150</v>
      </c>
      <c r="F8" s="276">
        <f>F6</f>
        <v>0</v>
      </c>
      <c r="G8" s="374">
        <f t="shared" si="1"/>
        <v>0</v>
      </c>
      <c r="H8" s="375">
        <f t="shared" ref="H8:I12" si="5">H7</f>
        <v>850</v>
      </c>
      <c r="I8" s="376">
        <f t="shared" si="5"/>
        <v>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9823.8000000000011</v>
      </c>
      <c r="O8" s="60">
        <f t="shared" si="3"/>
        <v>14034.000000000002</v>
      </c>
      <c r="P8" s="60">
        <f t="shared" ref="P8:P18" si="7">O8-$O$6</f>
        <v>3846.8571428571449</v>
      </c>
      <c r="Q8" s="3">
        <f t="shared" si="4"/>
        <v>3850</v>
      </c>
      <c r="R8" t="s">
        <v>1107</v>
      </c>
    </row>
    <row r="9" spans="1:18">
      <c r="A9" s="110" t="s">
        <v>976</v>
      </c>
      <c r="B9" s="67">
        <v>8.85</v>
      </c>
      <c r="C9" s="119">
        <f>IF(E3&lt;851,850,E3)</f>
        <v>1122</v>
      </c>
      <c r="D9" s="372">
        <f t="shared" si="0"/>
        <v>9929.6999999999989</v>
      </c>
      <c r="E9" s="425">
        <f>E8</f>
        <v>1150</v>
      </c>
      <c r="F9" s="276">
        <f t="shared" ref="F9:F15" si="8">F8</f>
        <v>0</v>
      </c>
      <c r="G9" s="374">
        <f t="shared" si="1"/>
        <v>0</v>
      </c>
      <c r="H9" s="375">
        <f t="shared" si="5"/>
        <v>850</v>
      </c>
      <c r="I9" s="376">
        <f t="shared" si="5"/>
        <v>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10889.699999999999</v>
      </c>
      <c r="O9" s="60">
        <f t="shared" si="3"/>
        <v>15556.714285714284</v>
      </c>
      <c r="P9" s="60">
        <f t="shared" si="7"/>
        <v>5369.5714285714275</v>
      </c>
      <c r="Q9" s="3">
        <f t="shared" si="4"/>
        <v>5370</v>
      </c>
      <c r="R9" t="s">
        <v>978</v>
      </c>
    </row>
    <row r="10" spans="1:18">
      <c r="A10" s="110" t="s">
        <v>911</v>
      </c>
      <c r="B10" s="67">
        <v>6.75</v>
      </c>
      <c r="C10" s="119">
        <f>IF(E3&lt;851,850,E3)</f>
        <v>1122</v>
      </c>
      <c r="D10" s="372">
        <f t="shared" si="0"/>
        <v>7573.5</v>
      </c>
      <c r="E10" s="373">
        <v>1250</v>
      </c>
      <c r="F10" s="276">
        <f t="shared" si="8"/>
        <v>0</v>
      </c>
      <c r="G10" s="374">
        <f t="shared" si="1"/>
        <v>0</v>
      </c>
      <c r="H10" s="375">
        <f t="shared" si="5"/>
        <v>850</v>
      </c>
      <c r="I10" s="376">
        <f t="shared" si="5"/>
        <v>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8533.5</v>
      </c>
      <c r="O10" s="60">
        <f t="shared" si="3"/>
        <v>12190.714285714286</v>
      </c>
      <c r="P10" s="60">
        <f t="shared" si="7"/>
        <v>2003.5714285714294</v>
      </c>
      <c r="Q10" s="3">
        <f t="shared" si="4"/>
        <v>2010</v>
      </c>
      <c r="R10" t="s">
        <v>979</v>
      </c>
    </row>
    <row r="11" spans="1:18">
      <c r="A11" s="110" t="s">
        <v>973</v>
      </c>
      <c r="B11" s="67">
        <v>7.85</v>
      </c>
      <c r="C11" s="119">
        <f>IF(E3&lt;851,850,E3)</f>
        <v>1122</v>
      </c>
      <c r="D11" s="372">
        <f t="shared" si="0"/>
        <v>8807.6999999999989</v>
      </c>
      <c r="E11" s="425">
        <f>E10</f>
        <v>1250</v>
      </c>
      <c r="F11" s="276">
        <f t="shared" si="8"/>
        <v>0</v>
      </c>
      <c r="G11" s="374">
        <f t="shared" si="1"/>
        <v>0</v>
      </c>
      <c r="H11" s="375">
        <f t="shared" si="5"/>
        <v>850</v>
      </c>
      <c r="I11" s="376">
        <f t="shared" si="5"/>
        <v>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9767.6999999999989</v>
      </c>
      <c r="O11" s="60">
        <f t="shared" si="3"/>
        <v>13953.857142857141</v>
      </c>
      <c r="P11" s="60">
        <f t="shared" si="7"/>
        <v>3766.7142857142844</v>
      </c>
      <c r="Q11" s="3">
        <f t="shared" si="4"/>
        <v>3770</v>
      </c>
      <c r="R11" t="s">
        <v>1109</v>
      </c>
    </row>
    <row r="12" spans="1:18">
      <c r="A12" s="110" t="s">
        <v>974</v>
      </c>
      <c r="B12" s="67">
        <v>9.25</v>
      </c>
      <c r="C12" s="119">
        <f>IF(E3&lt;851,850,E3)</f>
        <v>1122</v>
      </c>
      <c r="D12" s="372">
        <f t="shared" si="0"/>
        <v>10378.5</v>
      </c>
      <c r="E12" s="425">
        <f>E11</f>
        <v>1250</v>
      </c>
      <c r="F12" s="276">
        <f t="shared" si="8"/>
        <v>0</v>
      </c>
      <c r="G12" s="374">
        <f t="shared" si="1"/>
        <v>0</v>
      </c>
      <c r="H12" s="375">
        <f t="shared" si="5"/>
        <v>850</v>
      </c>
      <c r="I12" s="376">
        <f t="shared" si="5"/>
        <v>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11338.5</v>
      </c>
      <c r="O12" s="60">
        <f t="shared" si="3"/>
        <v>16197.857142857143</v>
      </c>
      <c r="P12" s="60">
        <f t="shared" si="7"/>
        <v>6010.7142857142862</v>
      </c>
      <c r="Q12" s="3">
        <f t="shared" si="4"/>
        <v>6020</v>
      </c>
      <c r="R12" t="s">
        <v>1110</v>
      </c>
    </row>
    <row r="13" spans="1:18">
      <c r="A13" s="110" t="s">
        <v>1102</v>
      </c>
      <c r="B13" s="67">
        <v>7.75</v>
      </c>
      <c r="C13" s="453">
        <f>IF(E3&lt;851,850,E3)</f>
        <v>1122</v>
      </c>
      <c r="D13" s="372">
        <f t="shared" si="0"/>
        <v>8695.5</v>
      </c>
      <c r="E13" s="373">
        <v>1050</v>
      </c>
      <c r="F13" s="276">
        <f t="shared" si="8"/>
        <v>0</v>
      </c>
      <c r="G13" s="374">
        <f t="shared" si="1"/>
        <v>0</v>
      </c>
      <c r="H13" s="375">
        <f>H9</f>
        <v>850</v>
      </c>
      <c r="I13" s="376">
        <f>I9</f>
        <v>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9655.5</v>
      </c>
      <c r="O13" s="60">
        <f t="shared" si="3"/>
        <v>13793.571428571429</v>
      </c>
      <c r="P13" s="60">
        <f t="shared" si="7"/>
        <v>3606.4285714285725</v>
      </c>
      <c r="Q13" s="3">
        <f t="shared" si="4"/>
        <v>3610</v>
      </c>
      <c r="R13" t="s">
        <v>1111</v>
      </c>
    </row>
    <row r="14" spans="1:18">
      <c r="A14" s="110" t="s">
        <v>1103</v>
      </c>
      <c r="B14" s="67">
        <v>10</v>
      </c>
      <c r="C14" s="119">
        <f>IF(E3&lt;851,850,E3)</f>
        <v>1122</v>
      </c>
      <c r="D14" s="372">
        <f t="shared" si="0"/>
        <v>11220</v>
      </c>
      <c r="E14" s="373">
        <v>1675</v>
      </c>
      <c r="F14" s="276">
        <f t="shared" si="8"/>
        <v>0</v>
      </c>
      <c r="G14" s="374">
        <f t="shared" si="1"/>
        <v>0</v>
      </c>
      <c r="H14" s="375">
        <f t="shared" ref="H14:J15" si="9">H13</f>
        <v>850</v>
      </c>
      <c r="I14" s="376">
        <f t="shared" si="9"/>
        <v>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12180</v>
      </c>
      <c r="O14" s="60">
        <f t="shared" si="3"/>
        <v>17400</v>
      </c>
      <c r="P14" s="60">
        <f t="shared" si="7"/>
        <v>7212.8571428571431</v>
      </c>
      <c r="Q14" s="3">
        <f t="shared" si="4"/>
        <v>7220</v>
      </c>
      <c r="R14" t="s">
        <v>1112</v>
      </c>
    </row>
    <row r="15" spans="1:18">
      <c r="A15" s="110" t="s">
        <v>1104</v>
      </c>
      <c r="B15" s="67">
        <v>17</v>
      </c>
      <c r="C15" s="119">
        <f>IF(E3&lt;851,850,E3)</f>
        <v>1122</v>
      </c>
      <c r="D15" s="372">
        <f t="shared" si="0"/>
        <v>19074</v>
      </c>
      <c r="E15" s="373">
        <v>1050</v>
      </c>
      <c r="F15" s="276">
        <f t="shared" si="8"/>
        <v>0</v>
      </c>
      <c r="G15" s="374">
        <f t="shared" si="1"/>
        <v>0</v>
      </c>
      <c r="H15" s="375">
        <f t="shared" si="9"/>
        <v>850</v>
      </c>
      <c r="I15" s="376">
        <f t="shared" si="9"/>
        <v>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20034</v>
      </c>
      <c r="O15" s="60">
        <f t="shared" si="3"/>
        <v>28620</v>
      </c>
      <c r="P15" s="60">
        <f t="shared" si="7"/>
        <v>18432.857142857145</v>
      </c>
      <c r="Q15" s="3">
        <f t="shared" si="4"/>
        <v>18440</v>
      </c>
      <c r="R15" t="s">
        <v>1113</v>
      </c>
    </row>
    <row r="16" spans="1:18">
      <c r="A16" s="110" t="s">
        <v>1105</v>
      </c>
      <c r="B16" s="67">
        <v>23</v>
      </c>
      <c r="C16" s="119">
        <f>IF(E3&lt;851,850,E3)</f>
        <v>1122</v>
      </c>
      <c r="D16" s="372">
        <f t="shared" si="0"/>
        <v>25806</v>
      </c>
      <c r="E16" s="373">
        <v>1150</v>
      </c>
      <c r="F16" s="276">
        <f>F12</f>
        <v>0</v>
      </c>
      <c r="G16" s="374">
        <f t="shared" si="1"/>
        <v>0</v>
      </c>
      <c r="H16" s="375">
        <f>H12</f>
        <v>850</v>
      </c>
      <c r="I16" s="376">
        <f>I12</f>
        <v>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26766</v>
      </c>
      <c r="O16" s="60">
        <f t="shared" si="3"/>
        <v>38237.142857142862</v>
      </c>
      <c r="P16" s="60">
        <f t="shared" si="7"/>
        <v>28050.000000000007</v>
      </c>
      <c r="Q16" s="3">
        <f t="shared" si="4"/>
        <v>28050</v>
      </c>
      <c r="R16" t="s">
        <v>1113</v>
      </c>
    </row>
    <row r="17" spans="1:18">
      <c r="A17" s="110" t="s">
        <v>1106</v>
      </c>
      <c r="B17" s="67">
        <v>17.5</v>
      </c>
      <c r="C17" s="119">
        <f>IF(E3&lt;851,850,E3)</f>
        <v>1122</v>
      </c>
      <c r="D17" s="372">
        <f t="shared" si="0"/>
        <v>19635</v>
      </c>
      <c r="E17" s="373">
        <v>1150</v>
      </c>
      <c r="F17" s="276">
        <f>F16</f>
        <v>0</v>
      </c>
      <c r="G17" s="374">
        <f t="shared" si="1"/>
        <v>0</v>
      </c>
      <c r="H17" s="375">
        <f t="shared" ref="H17:J18" si="10">H16</f>
        <v>850</v>
      </c>
      <c r="I17" s="376">
        <f t="shared" si="10"/>
        <v>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20595</v>
      </c>
      <c r="O17" s="60">
        <f t="shared" si="3"/>
        <v>29421.428571428572</v>
      </c>
      <c r="P17" s="60">
        <f t="shared" si="7"/>
        <v>19234.285714285717</v>
      </c>
      <c r="Q17" s="3">
        <f t="shared" si="4"/>
        <v>19240</v>
      </c>
      <c r="R17" t="s">
        <v>1113</v>
      </c>
    </row>
    <row r="18" spans="1:18">
      <c r="A18" s="110"/>
      <c r="B18" s="67">
        <v>0</v>
      </c>
      <c r="C18" s="119">
        <f t="shared" ref="C18" si="11">C17</f>
        <v>1122</v>
      </c>
      <c r="D18" s="372">
        <f t="shared" si="0"/>
        <v>0</v>
      </c>
      <c r="E18" s="373">
        <v>1150</v>
      </c>
      <c r="F18" s="276">
        <f>F17</f>
        <v>0</v>
      </c>
      <c r="G18" s="374">
        <f t="shared" si="1"/>
        <v>0</v>
      </c>
      <c r="H18" s="375">
        <f t="shared" si="10"/>
        <v>850</v>
      </c>
      <c r="I18" s="376">
        <f t="shared" si="10"/>
        <v>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960</v>
      </c>
      <c r="O18" s="60">
        <f t="shared" si="3"/>
        <v>1371.4285714285716</v>
      </c>
      <c r="P18" s="60">
        <f t="shared" si="7"/>
        <v>-8815.7142857142862</v>
      </c>
      <c r="Q18" s="3">
        <f t="shared" si="4"/>
        <v>-8810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50</v>
      </c>
      <c r="D22" s="30">
        <f t="shared" si="12"/>
        <v>1000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1122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0</v>
      </c>
      <c r="D25" s="30">
        <f t="shared" si="12"/>
        <v>0</v>
      </c>
    </row>
    <row r="26" spans="1:18" ht="15.75" thickBot="1"/>
    <row r="27" spans="1:18">
      <c r="A27" s="379" t="s">
        <v>840</v>
      </c>
      <c r="B27" s="380"/>
      <c r="C27" s="381">
        <f>_xlfn.CEILING.MATH(E27/7000,0.5)</f>
        <v>3.5</v>
      </c>
      <c r="D27" s="380"/>
      <c r="E27" s="386">
        <f>'NEW POOL'!E13</f>
        <v>22990</v>
      </c>
      <c r="F27" s="4" t="s">
        <v>838</v>
      </c>
    </row>
    <row r="28" spans="1:18" ht="15.75" thickBot="1">
      <c r="A28" s="126" t="s">
        <v>834</v>
      </c>
      <c r="B28" s="382">
        <v>490</v>
      </c>
      <c r="C28" s="383">
        <f>C27</f>
        <v>3.5</v>
      </c>
      <c r="D28" s="384">
        <f>B28*C28</f>
        <v>1715</v>
      </c>
      <c r="E28" s="385" t="s">
        <v>835</v>
      </c>
    </row>
    <row r="29" spans="1:18" ht="15.75" thickBot="1"/>
    <row r="30" spans="1:18">
      <c r="A30" s="379" t="s">
        <v>1075</v>
      </c>
      <c r="B30" s="380"/>
      <c r="C30" s="381"/>
      <c r="D30" s="399"/>
    </row>
    <row r="31" spans="1:18">
      <c r="A31" s="124" t="s">
        <v>859</v>
      </c>
      <c r="B31" s="67">
        <v>0</v>
      </c>
      <c r="C31" s="398">
        <f>E31</f>
        <v>1122</v>
      </c>
      <c r="D31" s="400">
        <f>B31*C31</f>
        <v>0</v>
      </c>
      <c r="E31" s="396">
        <f>(('NEW POOL'!B7*(('NEW POOL'!B9+'NEW POOL'!B10)/2)))+'NEW POOL'!B8</f>
        <v>1122</v>
      </c>
      <c r="F31" s="51" t="s">
        <v>852</v>
      </c>
    </row>
    <row r="32" spans="1:18">
      <c r="A32" s="124" t="s">
        <v>860</v>
      </c>
      <c r="B32" s="30">
        <f>B31</f>
        <v>0</v>
      </c>
      <c r="C32" s="119">
        <f>E32</f>
        <v>0</v>
      </c>
      <c r="D32" s="400">
        <f>B32*C32</f>
        <v>0</v>
      </c>
      <c r="E32" s="397">
        <f>(('NEW POOL'!B14*'NEW POOL'!B15)+((('NEW POOL'!B14*2)+('NEW POOL'!B15*2))*1.7))</f>
        <v>0</v>
      </c>
      <c r="F32" s="51" t="s">
        <v>852</v>
      </c>
      <c r="H32" s="51"/>
    </row>
    <row r="33" spans="1:4" ht="15.75" thickBot="1">
      <c r="A33" s="124" t="s">
        <v>861</v>
      </c>
      <c r="B33" s="29">
        <v>300</v>
      </c>
      <c r="C33" s="35">
        <f>'NEW POOL'!B18</f>
        <v>0</v>
      </c>
      <c r="D33" s="402">
        <f>B33*C33</f>
        <v>0</v>
      </c>
    </row>
    <row r="34" spans="1:4" ht="15.75" thickBot="1">
      <c r="A34" s="126"/>
      <c r="B34" s="353"/>
      <c r="C34" s="401"/>
      <c r="D34" s="143">
        <f>SUM(D31:D33)</f>
        <v>0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7" max="17" width="8.5703125" customWidth="1"/>
  </cols>
  <sheetData>
    <row r="1" spans="1:11" ht="24" thickBot="1">
      <c r="A1" s="645" t="s">
        <v>1004</v>
      </c>
      <c r="B1" s="646"/>
      <c r="C1" s="646"/>
      <c r="D1" s="646"/>
      <c r="E1" s="646"/>
      <c r="F1" s="646"/>
      <c r="G1" s="646"/>
      <c r="H1" s="647"/>
    </row>
    <row r="2" spans="1:11" ht="15.75" thickBot="1"/>
    <row r="3" spans="1:11" ht="15.75" thickBot="1">
      <c r="A3" s="165" t="s">
        <v>0</v>
      </c>
      <c r="B3" s="511"/>
      <c r="C3" s="512"/>
      <c r="D3" s="512"/>
      <c r="E3" s="513"/>
    </row>
    <row r="4" spans="1:11" ht="15.75" thickBot="1">
      <c r="A4" s="165" t="s">
        <v>670</v>
      </c>
      <c r="B4" s="511"/>
      <c r="C4" s="512"/>
      <c r="D4" s="512"/>
      <c r="E4" s="513"/>
    </row>
    <row r="5" spans="1:11" ht="15.75" thickBot="1">
      <c r="A5" s="8" t="s">
        <v>988</v>
      </c>
      <c r="B5" s="403">
        <v>0</v>
      </c>
    </row>
    <row r="6" spans="1:11" ht="15.75" thickBot="1"/>
    <row r="7" spans="1:11" ht="15.7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.7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.75" thickBot="1">
      <c r="A9" s="165" t="s">
        <v>464</v>
      </c>
      <c r="B9" s="331">
        <v>3.5</v>
      </c>
      <c r="C9" t="s">
        <v>590</v>
      </c>
      <c r="D9" s="165" t="s">
        <v>996</v>
      </c>
      <c r="E9" s="113">
        <v>0</v>
      </c>
      <c r="F9" t="s">
        <v>435</v>
      </c>
    </row>
    <row r="10" spans="1:11" ht="15.7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.7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.7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.7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.75" thickBot="1">
      <c r="A14" s="165" t="s">
        <v>663</v>
      </c>
      <c r="B14" s="113">
        <v>0</v>
      </c>
    </row>
    <row r="15" spans="1:11" ht="15.75" thickBot="1">
      <c r="A15" s="165" t="s">
        <v>664</v>
      </c>
      <c r="B15" s="113">
        <v>0</v>
      </c>
      <c r="C15" s="117"/>
      <c r="D15" s="117"/>
      <c r="E15" s="106"/>
    </row>
    <row r="16" spans="1:11" ht="15.7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.75" thickBot="1">
      <c r="A17" s="165" t="s">
        <v>479</v>
      </c>
      <c r="B17" s="114">
        <f>ROUNDUP(IF(B16=1,(B14*3.14),(B14*2+B15*2)),0)</f>
        <v>0</v>
      </c>
    </row>
    <row r="18" spans="1:5" ht="15.7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.75" thickBot="1">
      <c r="A19" s="8" t="s">
        <v>653</v>
      </c>
      <c r="B19" s="113">
        <v>0</v>
      </c>
      <c r="C19" t="s">
        <v>651</v>
      </c>
    </row>
    <row r="20" spans="1:5" ht="14.45" customHeight="1">
      <c r="A20" s="8"/>
      <c r="B20" s="460"/>
    </row>
    <row r="21" spans="1:5" ht="14.45" customHeight="1" thickBot="1">
      <c r="A21" s="8"/>
      <c r="B21" s="117"/>
    </row>
    <row r="22" spans="1:5" ht="18" customHeight="1" thickBot="1">
      <c r="A22" s="497" t="s">
        <v>990</v>
      </c>
      <c r="B22" s="498"/>
      <c r="C22" s="498"/>
      <c r="D22" s="499"/>
    </row>
    <row r="23" spans="1:5" ht="14.45" customHeight="1" thickBot="1">
      <c r="A23" s="8"/>
      <c r="B23" s="117"/>
    </row>
    <row r="24" spans="1:5" ht="14.45" customHeight="1" thickBot="1">
      <c r="A24" s="51" t="s">
        <v>993</v>
      </c>
      <c r="B24" s="113">
        <v>1</v>
      </c>
    </row>
    <row r="25" spans="1:5" ht="14.45" customHeight="1" thickBot="1">
      <c r="A25" s="51" t="s">
        <v>994</v>
      </c>
      <c r="B25" s="113">
        <v>0</v>
      </c>
    </row>
    <row r="26" spans="1:5" ht="14.45" customHeight="1" thickBot="1">
      <c r="A26" s="51" t="s">
        <v>995</v>
      </c>
      <c r="B26" s="113">
        <v>0</v>
      </c>
      <c r="C26" t="s">
        <v>435</v>
      </c>
    </row>
    <row r="27" spans="1:5" ht="14.45" customHeight="1" thickBot="1">
      <c r="A27" s="8"/>
      <c r="B27" s="117"/>
    </row>
    <row r="28" spans="1:5" ht="18" thickBot="1">
      <c r="A28" s="497" t="s">
        <v>785</v>
      </c>
      <c r="B28" s="498"/>
      <c r="C28" s="498"/>
      <c r="D28" s="499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992</v>
      </c>
      <c r="B30" s="118">
        <v>1</v>
      </c>
      <c r="D30" s="163"/>
    </row>
    <row r="31" spans="1:5" ht="15" customHeight="1" thickBot="1">
      <c r="A31" s="99" t="s">
        <v>1017</v>
      </c>
      <c r="B31" s="118">
        <v>0</v>
      </c>
      <c r="C31" t="s">
        <v>435</v>
      </c>
      <c r="D31" s="163"/>
    </row>
    <row r="32" spans="1:5" ht="15" customHeight="1" thickBot="1">
      <c r="A32" s="99" t="s">
        <v>1020</v>
      </c>
      <c r="B32" s="118">
        <v>0</v>
      </c>
      <c r="D32" s="163"/>
    </row>
    <row r="33" spans="1:8" ht="15" customHeight="1" thickBot="1">
      <c r="A33" s="99" t="s">
        <v>1023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1016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.75" thickBot="1">
      <c r="A45" s="170" t="s">
        <v>584</v>
      </c>
      <c r="B45" s="118">
        <v>0</v>
      </c>
      <c r="C45" t="s">
        <v>592</v>
      </c>
    </row>
    <row r="46" spans="1:8" ht="15.75" thickBot="1">
      <c r="A46" s="99" t="s">
        <v>588</v>
      </c>
      <c r="B46" s="118">
        <v>0</v>
      </c>
      <c r="C46" t="s">
        <v>592</v>
      </c>
    </row>
    <row r="47" spans="1:8" ht="15.75" thickBot="1">
      <c r="B47" s="152"/>
    </row>
    <row r="48" spans="1:8" ht="15.7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.7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.7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523" t="str">
        <f>'TILE COPING'!F32</f>
        <v>Silver, Silver Vogue, River Silver, Bianco Dolomite, Dianna Royal, Skyline, Alaska Silver, Turkish Carrea</v>
      </c>
      <c r="F51" s="523"/>
      <c r="G51" s="523"/>
      <c r="H51" s="523"/>
      <c r="I51" s="523"/>
    </row>
    <row r="52" spans="1:11" ht="15.6" customHeight="1" thickBot="1">
      <c r="A52" s="99" t="s">
        <v>825</v>
      </c>
      <c r="B52" s="118">
        <v>0</v>
      </c>
      <c r="C52" t="s">
        <v>592</v>
      </c>
      <c r="E52" s="523" t="str">
        <f>'TILE COPING'!F33</f>
        <v>Silver, Silver Vogue, River Silver, Bianco Dolomite, Dianna Royal, Skyline, Alaska Silver, Turkish Carrea</v>
      </c>
      <c r="F52" s="523"/>
      <c r="G52" s="523"/>
      <c r="H52" s="523"/>
      <c r="I52" s="523"/>
      <c r="J52" s="523"/>
      <c r="K52" s="523"/>
    </row>
    <row r="53" spans="1:11" ht="15.75" thickBot="1">
      <c r="B53" s="152"/>
    </row>
    <row r="54" spans="1:11" ht="15.75" thickBot="1">
      <c r="A54" s="99" t="s">
        <v>810</v>
      </c>
      <c r="B54" s="118">
        <v>0</v>
      </c>
      <c r="C54" t="s">
        <v>592</v>
      </c>
    </row>
    <row r="55" spans="1:11" ht="15.75" thickBot="1">
      <c r="A55" s="99" t="s">
        <v>587</v>
      </c>
      <c r="B55" s="118">
        <v>0</v>
      </c>
      <c r="C55" t="s">
        <v>592</v>
      </c>
    </row>
    <row r="56" spans="1:11" ht="15.75" thickBot="1">
      <c r="B56" s="152"/>
    </row>
    <row r="57" spans="1:11" ht="15.75" thickBot="1">
      <c r="A57" s="405" t="s">
        <v>850</v>
      </c>
      <c r="B57" s="406">
        <v>0</v>
      </c>
      <c r="C57" s="153"/>
      <c r="D57" s="153"/>
    </row>
    <row r="58" spans="1:11" ht="15.75" thickBot="1">
      <c r="B58" s="152"/>
    </row>
    <row r="59" spans="1:11" ht="18" thickBot="1">
      <c r="A59" s="497" t="s">
        <v>841</v>
      </c>
      <c r="B59" s="498"/>
      <c r="C59" s="498"/>
      <c r="D59" s="499"/>
    </row>
    <row r="60" spans="1:11" ht="15.75" thickBot="1">
      <c r="B60" s="152"/>
    </row>
    <row r="61" spans="1:11" ht="15.75" thickBot="1">
      <c r="A61" s="99" t="s">
        <v>848</v>
      </c>
      <c r="B61" s="118">
        <v>0</v>
      </c>
      <c r="C61" t="s">
        <v>844</v>
      </c>
    </row>
    <row r="62" spans="1:11" ht="15.75" thickBot="1">
      <c r="A62" s="99" t="s">
        <v>845</v>
      </c>
      <c r="B62" s="118">
        <v>0</v>
      </c>
      <c r="C62" t="s">
        <v>844</v>
      </c>
    </row>
    <row r="63" spans="1:11" ht="15.75" thickBot="1">
      <c r="A63" s="99" t="s">
        <v>846</v>
      </c>
      <c r="B63" s="118">
        <v>0</v>
      </c>
      <c r="C63" t="s">
        <v>844</v>
      </c>
    </row>
    <row r="64" spans="1:11" ht="15.75" thickBot="1">
      <c r="A64" s="99" t="s">
        <v>847</v>
      </c>
      <c r="B64" s="118">
        <v>0</v>
      </c>
      <c r="C64" t="s">
        <v>844</v>
      </c>
    </row>
    <row r="65" spans="1:8" ht="15.75" thickBot="1">
      <c r="B65" s="152"/>
    </row>
    <row r="66" spans="1:8" ht="18" thickBot="1">
      <c r="A66" s="497" t="s">
        <v>686</v>
      </c>
      <c r="B66" s="498"/>
      <c r="C66" s="498"/>
      <c r="D66" s="499"/>
    </row>
    <row r="67" spans="1:8" ht="15.75" thickBot="1">
      <c r="B67" s="152"/>
    </row>
    <row r="68" spans="1:8" ht="18" thickBot="1">
      <c r="A68" s="497" t="s">
        <v>689</v>
      </c>
      <c r="B68" s="498"/>
      <c r="C68" s="498"/>
      <c r="D68" s="499"/>
    </row>
    <row r="69" spans="1:8" ht="15.75" thickBot="1">
      <c r="B69" s="152"/>
    </row>
    <row r="70" spans="1:8" ht="15.75" thickBot="1">
      <c r="A70" s="212" t="s">
        <v>50</v>
      </c>
      <c r="B70" s="194">
        <f>IF(A70="No Auxiliary Pump",0,1)</f>
        <v>0</v>
      </c>
      <c r="C70" s="493">
        <f>(VLOOKUP(A70,EQUIP!$M$14:$S$20,6,FALSE))</f>
        <v>0</v>
      </c>
      <c r="D70" s="500"/>
    </row>
    <row r="71" spans="1:8" ht="15.75" thickBot="1">
      <c r="A71" s="212" t="s">
        <v>50</v>
      </c>
      <c r="B71" s="194">
        <f>IF(C71&gt;0,1,0)</f>
        <v>0</v>
      </c>
      <c r="C71" s="493">
        <f>(VLOOKUP(A71,EQUIP!$M$14:$S$20,6,FALSE))</f>
        <v>0</v>
      </c>
      <c r="D71" s="500"/>
    </row>
    <row r="72" spans="1:8" ht="15.75" thickBot="1">
      <c r="A72" s="212" t="s">
        <v>50</v>
      </c>
      <c r="B72" s="225">
        <f>IF(C72&gt;0,1,0)</f>
        <v>0</v>
      </c>
      <c r="C72" s="493">
        <f>(VLOOKUP(A72,EQUIP!$M$14:$S$20,6,FALSE))</f>
        <v>0</v>
      </c>
      <c r="D72" s="500"/>
    </row>
    <row r="73" spans="1:8" ht="15.75" thickBot="1">
      <c r="A73" s="117"/>
      <c r="B73" s="152"/>
    </row>
    <row r="74" spans="1:8" ht="15.75" thickBot="1">
      <c r="A74" s="212" t="s">
        <v>998</v>
      </c>
      <c r="B74" s="194">
        <f>IF(A74="No Filter",0,1)</f>
        <v>0</v>
      </c>
      <c r="C74" s="493">
        <f>(VLOOKUP(A74,EQUIP!M22:S28,6,FALSE))</f>
        <v>0</v>
      </c>
      <c r="D74" s="500"/>
    </row>
    <row r="75" spans="1:8" ht="15.75" thickBot="1">
      <c r="A75" s="117"/>
      <c r="B75" s="152"/>
    </row>
    <row r="76" spans="1:8" ht="15.75" thickBot="1">
      <c r="A76" s="212" t="s">
        <v>699</v>
      </c>
      <c r="B76" s="194">
        <f>IF(C76&gt;0,1,0)</f>
        <v>0</v>
      </c>
      <c r="C76" s="492">
        <f>VLOOKUP(A76,EQUIP!M31:S33,7,FALSE)</f>
        <v>0</v>
      </c>
      <c r="D76" s="493"/>
    </row>
    <row r="77" spans="1:8" ht="15.75" thickBot="1">
      <c r="A77" s="117"/>
      <c r="B77" s="152"/>
    </row>
    <row r="78" spans="1:8" ht="15.75" thickBot="1">
      <c r="A78" s="212" t="s">
        <v>698</v>
      </c>
      <c r="B78" s="118">
        <f>IF(A78="No Heater",0,1)</f>
        <v>0</v>
      </c>
      <c r="C78" s="492">
        <f>VLOOKUP(A78,EQUIP!M36:S39,6,FALSE)</f>
        <v>0</v>
      </c>
      <c r="D78" s="493"/>
      <c r="E78" s="526" t="str">
        <f>IF(A78="Jandy 260K BTU - JXI Heater", "CANNOT BE USED TO HEAT A SPA","")</f>
        <v/>
      </c>
      <c r="F78" s="527"/>
      <c r="G78" s="527"/>
      <c r="H78" s="527"/>
    </row>
    <row r="79" spans="1:8" ht="15.75" thickBot="1">
      <c r="A79" s="432" t="s">
        <v>933</v>
      </c>
      <c r="B79" s="194">
        <v>0</v>
      </c>
      <c r="C79" s="492">
        <f>B79*EQUIP!R39</f>
        <v>0</v>
      </c>
      <c r="D79" s="493"/>
    </row>
    <row r="80" spans="1:8" ht="15.75" thickBot="1">
      <c r="A80" s="117"/>
      <c r="B80" s="152"/>
    </row>
    <row r="81" spans="1:8" ht="15.75" hidden="1" thickBot="1">
      <c r="A81" s="212" t="s">
        <v>696</v>
      </c>
      <c r="B81" s="118">
        <v>0</v>
      </c>
      <c r="C81" s="493" t="e">
        <f>(VLOOKUP(A81,EQUIP!M42:R46,6,FALSE))*B81</f>
        <v>#N/A</v>
      </c>
      <c r="D81" s="500"/>
    </row>
    <row r="82" spans="1:8" ht="15.75" hidden="1" thickBot="1">
      <c r="B82" s="152"/>
    </row>
    <row r="83" spans="1:8" ht="15.75" thickBot="1">
      <c r="A83" s="217" t="s">
        <v>126</v>
      </c>
      <c r="B83" s="194">
        <f>IF(C83&gt;0,1,0)</f>
        <v>0</v>
      </c>
      <c r="C83" s="493">
        <f>VLOOKUP(A83,EQUIP!M49:S57,6,FALSE)</f>
        <v>0</v>
      </c>
      <c r="D83" s="500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.75" thickBot="1">
      <c r="A84" s="217" t="s">
        <v>126</v>
      </c>
      <c r="B84" s="194">
        <f>IF(C84&gt;0,1,0)</f>
        <v>0</v>
      </c>
      <c r="C84" s="493">
        <f>VLOOKUP(A84,EQUIP!M49:S57,6,FALSE)</f>
        <v>0</v>
      </c>
      <c r="D84" s="500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.75" thickBot="1">
      <c r="A85" s="217" t="s">
        <v>126</v>
      </c>
      <c r="B85" s="194">
        <f>IF(C85&gt;0,1,0)</f>
        <v>0</v>
      </c>
      <c r="C85" s="493">
        <f>VLOOKUP(A85,EQUIP!M49:S57,6,FALSE)</f>
        <v>0</v>
      </c>
      <c r="D85" s="500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.75" hidden="1" thickBot="1">
      <c r="A87" s="212" t="s">
        <v>356</v>
      </c>
      <c r="B87" s="194">
        <f>IF(C87&gt;0,1,0)</f>
        <v>0</v>
      </c>
      <c r="C87" s="494">
        <f>VLOOKUP(A87,EQUIP!M63:S72,7,FALSE)*1.2</f>
        <v>0</v>
      </c>
      <c r="D87" s="493"/>
    </row>
    <row r="88" spans="1:8" ht="15.75" hidden="1" thickBot="1">
      <c r="B88" s="152"/>
    </row>
    <row r="89" spans="1:8" ht="15.75" hidden="1" thickBot="1">
      <c r="A89" s="212" t="s">
        <v>885</v>
      </c>
      <c r="B89" s="194">
        <f>IF(A89=EQUIP!M105,0,1)</f>
        <v>0</v>
      </c>
      <c r="C89" s="492">
        <f>VLOOKUP(A89,EQUIP!M105:S107,7,FALSE)+(ELEC!E15)</f>
        <v>0</v>
      </c>
      <c r="D89" s="493"/>
    </row>
    <row r="90" spans="1:8" ht="15.75" hidden="1" thickBot="1">
      <c r="A90" s="117" t="s">
        <v>867</v>
      </c>
      <c r="B90" s="194">
        <v>0</v>
      </c>
      <c r="C90" s="524" t="s">
        <v>468</v>
      </c>
      <c r="D90" s="525"/>
    </row>
    <row r="91" spans="1:8" ht="15.75" thickBot="1">
      <c r="B91" s="152"/>
    </row>
    <row r="92" spans="1:8" ht="18" thickBot="1">
      <c r="A92" s="497" t="s">
        <v>713</v>
      </c>
      <c r="B92" s="498"/>
      <c r="C92" s="498"/>
      <c r="D92" s="499"/>
    </row>
    <row r="93" spans="1:8" ht="15.75" thickBot="1">
      <c r="B93" s="152"/>
    </row>
    <row r="94" spans="1:8" ht="15.75" thickBot="1">
      <c r="A94" s="212" t="str">
        <f>CUSTOM!A3</f>
        <v>Parged Concrete</v>
      </c>
      <c r="B94" s="194">
        <f>IF(C94&gt;0,1,0)</f>
        <v>0</v>
      </c>
      <c r="C94" s="493">
        <f>CUSTOM!G3</f>
        <v>0</v>
      </c>
      <c r="D94" s="500"/>
      <c r="E94" t="s">
        <v>783</v>
      </c>
    </row>
    <row r="95" spans="1:8" ht="9.75" customHeight="1" thickBot="1">
      <c r="B95" s="152"/>
    </row>
    <row r="96" spans="1:8" ht="15.75" thickBot="1">
      <c r="A96" s="212" t="str">
        <f>CUSTOM!A5</f>
        <v>Oversized coping</v>
      </c>
      <c r="B96" s="194">
        <f>IF(C96&gt;0,1,0)</f>
        <v>1</v>
      </c>
      <c r="C96" s="493">
        <f>CUSTOM!G5</f>
        <v>1177.1428571428571</v>
      </c>
      <c r="D96" s="500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.75" thickBot="1">
      <c r="A98" s="212" t="str">
        <f>CUSTOM!A7</f>
        <v>handrail</v>
      </c>
      <c r="B98" s="194">
        <f>IF(C98&gt;0,1,0)</f>
        <v>1</v>
      </c>
      <c r="C98" s="493">
        <f>CUSTOM!G7</f>
        <v>1468.5714285714287</v>
      </c>
      <c r="D98" s="500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.75" thickBot="1">
      <c r="A100" s="212" t="str">
        <f>CUSTOM!A9</f>
        <v>No Custom Feature</v>
      </c>
      <c r="B100" s="194">
        <f>IF(C100&gt;0,1,0)</f>
        <v>0</v>
      </c>
      <c r="C100" s="493">
        <f>CUSTOM!G9</f>
        <v>0</v>
      </c>
      <c r="D100" s="500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.75" thickBot="1">
      <c r="A102" s="212" t="str">
        <f>CUSTOM!A11</f>
        <v>No Custom Feature</v>
      </c>
      <c r="B102" s="194">
        <f>IF(C102&gt;0,1,0)</f>
        <v>0</v>
      </c>
      <c r="C102" s="493">
        <f>CUSTOM!G11</f>
        <v>0</v>
      </c>
      <c r="D102" s="500"/>
      <c r="E102" t="s">
        <v>783</v>
      </c>
    </row>
    <row r="103" spans="1:5" ht="9.75" customHeight="1" thickBot="1">
      <c r="B103" s="152"/>
    </row>
    <row r="104" spans="1:5" ht="15.75" thickBot="1">
      <c r="A104" s="212" t="str">
        <f>CUSTOM!A13</f>
        <v>No Custom Feature</v>
      </c>
      <c r="B104" s="194">
        <f>IF(C104&gt;0,1,0)</f>
        <v>0</v>
      </c>
      <c r="C104" s="493">
        <f>CUSTOM!G13</f>
        <v>0</v>
      </c>
      <c r="D104" s="500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.75" thickBot="1">
      <c r="A106" s="212" t="str">
        <f>CUSTOM!A15</f>
        <v>No Custom Feature</v>
      </c>
      <c r="B106" s="194">
        <f>IF(C106&gt;0,1,0)</f>
        <v>0</v>
      </c>
      <c r="C106" s="493">
        <f>CUSTOM!G15</f>
        <v>0</v>
      </c>
      <c r="D106" s="500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.75" thickBot="1">
      <c r="A108" s="212" t="str">
        <f>CUSTOM!A17</f>
        <v>No Custom Feature</v>
      </c>
      <c r="B108" s="194">
        <f>IF(C108&gt;0,1,0)</f>
        <v>0</v>
      </c>
      <c r="C108" s="493">
        <f>CUSTOM!G17</f>
        <v>0</v>
      </c>
      <c r="D108" s="500"/>
      <c r="E108" t="s">
        <v>783</v>
      </c>
    </row>
    <row r="109" spans="1:5" ht="15.75" thickBot="1">
      <c r="B109" s="152"/>
    </row>
    <row r="110" spans="1:5" ht="18" thickBot="1">
      <c r="A110" s="497" t="s">
        <v>658</v>
      </c>
      <c r="B110" s="498"/>
      <c r="C110" s="498"/>
      <c r="D110" s="499"/>
    </row>
    <row r="111" spans="1:5" ht="15" customHeight="1" thickBot="1">
      <c r="A111" s="163"/>
      <c r="B111" s="175"/>
      <c r="C111" s="163"/>
      <c r="D111" s="163"/>
    </row>
    <row r="112" spans="1:5" ht="15.75" thickBot="1">
      <c r="A112" s="99" t="s">
        <v>440</v>
      </c>
      <c r="B112" s="118">
        <v>0</v>
      </c>
      <c r="C112" t="s">
        <v>611</v>
      </c>
    </row>
    <row r="113" spans="1:15" ht="15.75" thickBot="1"/>
    <row r="114" spans="1:15" ht="18" thickBot="1">
      <c r="A114" s="497" t="s">
        <v>572</v>
      </c>
      <c r="B114" s="498"/>
      <c r="C114" s="498"/>
      <c r="D114" s="499"/>
    </row>
    <row r="115" spans="1:15" ht="15.75" thickBot="1"/>
    <row r="116" spans="1:15" ht="15.75" customHeight="1" thickBot="1">
      <c r="A116" s="347" t="s">
        <v>912</v>
      </c>
      <c r="B116" s="194">
        <v>1</v>
      </c>
      <c r="E116" s="529" t="str">
        <f>VLOOKUP(A116,INT!A6:R18,18,FALSE)</f>
        <v>Ivory / Blue / French Grey / Super Blue / Mariner Blue / Tropical Blue / Sky Blue</v>
      </c>
      <c r="F116" s="529"/>
      <c r="G116" s="529"/>
      <c r="H116" s="529"/>
      <c r="I116" s="529"/>
      <c r="J116" s="529"/>
      <c r="K116" s="529"/>
      <c r="L116" s="529"/>
      <c r="M116" s="529"/>
      <c r="N116" s="529"/>
      <c r="O116" s="437"/>
    </row>
    <row r="117" spans="1:15" ht="15.7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3">
        <f>'COST - NEW'!E299</f>
        <v>580</v>
      </c>
      <c r="D118" s="500"/>
      <c r="E118" s="503" t="s">
        <v>914</v>
      </c>
      <c r="F118" s="503"/>
      <c r="G118" s="503"/>
      <c r="H118" s="503"/>
      <c r="I118" s="503"/>
      <c r="J118" s="503"/>
      <c r="K118" s="503"/>
      <c r="L118" s="503"/>
      <c r="M118" s="503"/>
      <c r="N118" s="503"/>
      <c r="O118" s="503"/>
    </row>
    <row r="119" spans="1:15" ht="15.7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.7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.7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95" customHeight="1" thickBot="1">
      <c r="A122" s="501" t="s">
        <v>637</v>
      </c>
      <c r="B122" s="502"/>
      <c r="C122" s="495">
        <f>'COST - REMODEL'!D337</f>
        <v>26694.061062857145</v>
      </c>
      <c r="D122" s="496"/>
    </row>
    <row r="123" spans="1:15" ht="15.75" thickBot="1"/>
    <row r="124" spans="1:15" ht="18.95" customHeight="1" thickBot="1">
      <c r="A124" s="509"/>
      <c r="B124" s="510"/>
      <c r="C124" s="490">
        <v>0</v>
      </c>
      <c r="D124" s="491"/>
    </row>
    <row r="125" spans="1:15" ht="15.75" thickBot="1"/>
    <row r="126" spans="1:15" ht="18.95" customHeight="1" thickBot="1">
      <c r="A126" s="509"/>
      <c r="B126" s="510"/>
      <c r="C126" s="490">
        <v>0</v>
      </c>
      <c r="D126" s="491"/>
    </row>
    <row r="127" spans="1:15" ht="15.75" thickBot="1"/>
    <row r="128" spans="1:15" ht="18.95" customHeight="1" thickBot="1">
      <c r="A128" s="509"/>
      <c r="B128" s="510"/>
      <c r="C128" s="490">
        <v>0</v>
      </c>
      <c r="D128" s="491"/>
    </row>
    <row r="129" spans="1:4" ht="15.75" thickBot="1"/>
    <row r="130" spans="1:4" ht="19.5" thickBot="1">
      <c r="A130" s="182" t="s">
        <v>676</v>
      </c>
      <c r="B130" s="349">
        <f>'COST - REMODEL'!E344*10</f>
        <v>2.1749999999999998</v>
      </c>
      <c r="C130" s="507">
        <f>SUM(C122:D129)</f>
        <v>26694.061062857145</v>
      </c>
      <c r="D130" s="508"/>
    </row>
  </sheetData>
  <mergeCells count="48"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A1:H1"/>
    <mergeCell ref="B3:E3"/>
    <mergeCell ref="B4:E4"/>
    <mergeCell ref="A28:D28"/>
    <mergeCell ref="E51:I51"/>
    <mergeCell ref="A22:D22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8" max="9" width="10.140625" bestFit="1" customWidth="1"/>
  </cols>
  <sheetData>
    <row r="1" spans="1:4" ht="15.75" thickBot="1"/>
    <row r="2" spans="1:4" ht="15.7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1</v>
      </c>
      <c r="D7" s="2">
        <f>PLANS!D8</f>
        <v>750</v>
      </c>
    </row>
    <row r="8" spans="1:4" ht="15.75" thickBot="1"/>
    <row r="9" spans="1:4" ht="15.75" thickBot="1">
      <c r="A9" s="155" t="s">
        <v>628</v>
      </c>
      <c r="B9" s="156"/>
      <c r="C9" s="157"/>
      <c r="D9" s="158">
        <v>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987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631</v>
      </c>
      <c r="B16" s="156"/>
      <c r="C16" s="157"/>
      <c r="D16" s="158">
        <f>SUM(D12:D15)</f>
        <v>550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0</v>
      </c>
    </row>
    <row r="24" spans="1:4" ht="15.75" thickBot="1">
      <c r="A24" s="116"/>
      <c r="B24" s="116"/>
      <c r="C24" s="152"/>
      <c r="D24" s="154"/>
    </row>
    <row r="25" spans="1:4" ht="15.75" thickBot="1">
      <c r="A25" s="611" t="s">
        <v>1005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1122</v>
      </c>
      <c r="D27" s="2">
        <f>DEMO!E5</f>
        <v>3927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1022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.75" thickBot="1">
      <c r="B31" s="2"/>
      <c r="C31" s="4"/>
      <c r="D31" s="2"/>
    </row>
    <row r="32" spans="1:4" ht="15.75" thickBot="1">
      <c r="A32" s="155" t="s">
        <v>1009</v>
      </c>
      <c r="B32" s="156"/>
      <c r="C32" s="157"/>
      <c r="D32" s="158">
        <f>SUM(D26:D31)</f>
        <v>3927</v>
      </c>
    </row>
    <row r="33" spans="1:4" ht="15.75" thickBot="1">
      <c r="A33" s="116"/>
      <c r="B33" s="116"/>
      <c r="C33" s="152"/>
      <c r="D33" s="154"/>
    </row>
    <row r="34" spans="1:4" ht="15.7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576</v>
      </c>
      <c r="D35" s="2">
        <f>EXC!D18</f>
        <v>2700</v>
      </c>
    </row>
    <row r="36" spans="1:4">
      <c r="A36" t="s">
        <v>900</v>
      </c>
      <c r="B36" s="21">
        <f>EXC!B17</f>
        <v>4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0</v>
      </c>
      <c r="D44" s="1">
        <f>EXC!D27</f>
        <v>0</v>
      </c>
    </row>
    <row r="45" spans="1:4">
      <c r="A45" t="str">
        <f>EXC!A28</f>
        <v>Raise Spa:</v>
      </c>
      <c r="B45" s="1">
        <f>EXC!B28</f>
        <v>350</v>
      </c>
      <c r="C45" s="5">
        <f>EXC!C28</f>
        <v>0</v>
      </c>
      <c r="D45" s="1">
        <f>EXC!D28</f>
        <v>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1584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180</v>
      </c>
      <c r="D49" s="1">
        <f>ROUNDUP(EXC!D32,0)</f>
        <v>3230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.75" thickBot="1">
      <c r="A53" t="s">
        <v>983</v>
      </c>
      <c r="D53" s="1">
        <v>0</v>
      </c>
      <c r="E53" s="455">
        <v>0</v>
      </c>
    </row>
    <row r="54" spans="1:5" ht="15.75" thickBot="1">
      <c r="A54" s="155" t="s">
        <v>521</v>
      </c>
      <c r="B54" s="156"/>
      <c r="C54" s="157"/>
      <c r="D54" s="454">
        <v>0</v>
      </c>
    </row>
    <row r="55" spans="1:5" ht="15.75" thickBot="1"/>
    <row r="56" spans="1:5" ht="15.7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0</v>
      </c>
      <c r="D58" s="2">
        <f>PLUM!D5</f>
        <v>0</v>
      </c>
    </row>
    <row r="59" spans="1:5">
      <c r="A59" t="s">
        <v>872</v>
      </c>
      <c r="B59" s="2">
        <f>PLUM!B8</f>
        <v>25</v>
      </c>
      <c r="C59" s="4">
        <f>PLUM!C8</f>
        <v>27</v>
      </c>
      <c r="D59" s="24">
        <f>PLUM!D8</f>
        <v>675</v>
      </c>
    </row>
    <row r="60" spans="1:5">
      <c r="A60" t="s">
        <v>871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205</v>
      </c>
      <c r="D65" s="2">
        <f>PLUM!D14</f>
        <v>1127.5</v>
      </c>
    </row>
    <row r="66" spans="1:4">
      <c r="A66" t="str">
        <f>PLUM!A15</f>
        <v>2.5"</v>
      </c>
      <c r="B66" s="2">
        <f>PLUM!B15</f>
        <v>7</v>
      </c>
      <c r="C66" s="4">
        <f>PLUM!C15</f>
        <v>70</v>
      </c>
      <c r="D66" s="2">
        <f>PLUM!D15</f>
        <v>490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229</v>
      </c>
      <c r="D72" s="2">
        <f>PLUM!D26</f>
        <v>629.75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.75" thickBot="1"/>
    <row r="75" spans="1:4" ht="15.75" thickBot="1">
      <c r="A75" s="155" t="s">
        <v>520</v>
      </c>
      <c r="B75" s="156"/>
      <c r="C75" s="157"/>
      <c r="D75" s="158">
        <v>0</v>
      </c>
    </row>
    <row r="76" spans="1:4" ht="15.75" thickBot="1">
      <c r="A76" s="116"/>
      <c r="B76" s="116"/>
      <c r="C76" s="152"/>
      <c r="D76" s="154"/>
    </row>
    <row r="77" spans="1:4" ht="15.7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0</v>
      </c>
      <c r="D78" s="129">
        <f>B78*C78</f>
        <v>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0</v>
      </c>
      <c r="D79" s="129">
        <f>PLUM!D34</f>
        <v>0</v>
      </c>
    </row>
    <row r="80" spans="1:4" ht="15.75" thickBot="1">
      <c r="B80" s="129"/>
      <c r="C80" s="4"/>
      <c r="D80" s="129"/>
    </row>
    <row r="81" spans="1:4" ht="15.75" thickBot="1">
      <c r="A81" s="155" t="s">
        <v>669</v>
      </c>
      <c r="B81" s="156"/>
      <c r="C81" s="157"/>
      <c r="D81" s="158">
        <f>SUM(D78:D80)</f>
        <v>0</v>
      </c>
    </row>
    <row r="82" spans="1:4" ht="15.75" thickBot="1">
      <c r="A82" s="116"/>
      <c r="B82" s="116"/>
      <c r="C82" s="116"/>
      <c r="D82" s="116"/>
    </row>
    <row r="83" spans="1:4" ht="15.7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104</v>
      </c>
      <c r="D84" s="2">
        <f>STEEL!D4</f>
        <v>2600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104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0</v>
      </c>
      <c r="D88" s="2">
        <f>STEEL!D8</f>
        <v>0</v>
      </c>
    </row>
    <row r="89" spans="1:4">
      <c r="A89" t="s">
        <v>490</v>
      </c>
      <c r="B89" s="2">
        <f>STEEL!B9</f>
        <v>150</v>
      </c>
      <c r="C89" s="423">
        <f>STEEL!C9</f>
        <v>0</v>
      </c>
      <c r="D89" s="2">
        <f>STEEL!D9</f>
        <v>0</v>
      </c>
    </row>
    <row r="90" spans="1:4">
      <c r="A90" t="str">
        <f>STEEL!A10</f>
        <v>Bench:</v>
      </c>
      <c r="B90" s="2">
        <f>STEEL!B10</f>
        <v>8</v>
      </c>
      <c r="C90" s="4">
        <f>STEEL!C10</f>
        <v>70</v>
      </c>
      <c r="D90" s="2">
        <f>STEEL!D10</f>
        <v>560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2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1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0</v>
      </c>
      <c r="D102" s="2">
        <f>STEEL!D22</f>
        <v>0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0</v>
      </c>
      <c r="D103" s="2">
        <f>STEEL!D24</f>
        <v>0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.75" thickBot="1"/>
    <row r="108" spans="1:4" ht="15.75" thickBot="1">
      <c r="A108" s="155" t="s">
        <v>536</v>
      </c>
      <c r="B108" s="156"/>
      <c r="C108" s="157"/>
      <c r="D108" s="158">
        <v>0</v>
      </c>
    </row>
    <row r="109" spans="1:4" ht="15.75" thickBot="1"/>
    <row r="110" spans="1:4" ht="15.7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0</v>
      </c>
      <c r="D112" s="2">
        <f>ELEC!D5</f>
        <v>0</v>
      </c>
    </row>
    <row r="113" spans="1:5">
      <c r="A113" t="str">
        <f>ELEC!A6</f>
        <v>Lights:</v>
      </c>
      <c r="B113" s="2">
        <f>ELEC!B6</f>
        <v>100</v>
      </c>
      <c r="C113" s="4">
        <f>ELEC!C6</f>
        <v>1</v>
      </c>
      <c r="D113" s="2">
        <f>ELEC!D6</f>
        <v>100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0</v>
      </c>
      <c r="D114" s="2">
        <f>ELEC!D7</f>
        <v>0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.75" thickBot="1"/>
    <row r="124" spans="1:5" ht="15.75" thickBot="1">
      <c r="A124" s="155" t="s">
        <v>559</v>
      </c>
      <c r="B124" s="156"/>
      <c r="C124" s="157"/>
      <c r="D124" s="158">
        <v>0</v>
      </c>
    </row>
    <row r="125" spans="1:5" ht="15.75" thickBot="1"/>
    <row r="126" spans="1:5" ht="15.7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9</v>
      </c>
      <c r="D128" s="2">
        <f>SHOT!D5</f>
        <v>810</v>
      </c>
    </row>
    <row r="129" spans="1:4">
      <c r="A129" t="str">
        <f>SHOT!A6</f>
        <v>Spa:</v>
      </c>
      <c r="B129" s="2">
        <f>SHOT!B6</f>
        <v>250</v>
      </c>
      <c r="C129" s="4">
        <f>SHOT!C6</f>
        <v>0</v>
      </c>
      <c r="D129" s="2">
        <f>SHOT!D6</f>
        <v>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3690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41</v>
      </c>
      <c r="D137" s="2">
        <f>SHOT!D15</f>
        <v>9348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41</v>
      </c>
      <c r="D140" s="2">
        <f>SHOT!D18</f>
        <v>1025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265.57499999999999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504.59250000000003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11393.167500000001</v>
      </c>
    </row>
    <row r="147" spans="1:4" ht="15.75" thickBot="1"/>
    <row r="148" spans="1:4" ht="15.75" thickBot="1">
      <c r="A148" s="130" t="s">
        <v>599</v>
      </c>
      <c r="B148" s="131"/>
      <c r="C148" s="132"/>
      <c r="D148" s="133">
        <f>D135</f>
        <v>3690</v>
      </c>
    </row>
    <row r="149" spans="1:4" ht="15.75" thickBot="1"/>
    <row r="150" spans="1:4" ht="15.75" thickBot="1">
      <c r="A150" s="130" t="s">
        <v>600</v>
      </c>
      <c r="B150" s="131"/>
      <c r="C150" s="132"/>
      <c r="D150" s="133">
        <f>D146</f>
        <v>11393.167500000001</v>
      </c>
    </row>
    <row r="151" spans="1:4" ht="15.75" thickBot="1"/>
    <row r="152" spans="1:4" ht="15.75" thickBot="1">
      <c r="A152" s="155" t="s">
        <v>563</v>
      </c>
      <c r="B152" s="156"/>
      <c r="C152" s="157"/>
      <c r="D152" s="158">
        <v>0</v>
      </c>
    </row>
    <row r="153" spans="1:4" ht="15.75" thickBot="1">
      <c r="A153" s="116"/>
      <c r="B153" s="116"/>
      <c r="C153" s="152"/>
      <c r="D153" s="154"/>
    </row>
    <row r="154" spans="1:4" ht="15.7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.75" thickBot="1">
      <c r="D174" s="1"/>
    </row>
    <row r="175" spans="1:4" ht="15.75" thickBot="1">
      <c r="A175" s="130" t="s">
        <v>596</v>
      </c>
      <c r="B175" s="131"/>
      <c r="C175" s="132"/>
      <c r="D175" s="133">
        <f>D160</f>
        <v>1560</v>
      </c>
    </row>
    <row r="176" spans="1:4" ht="15.75" thickBot="1"/>
    <row r="177" spans="1:4" ht="15.75" thickBot="1">
      <c r="A177" s="130" t="s">
        <v>597</v>
      </c>
      <c r="B177" s="131"/>
      <c r="C177" s="132"/>
      <c r="D177" s="133">
        <f>D173</f>
        <v>560</v>
      </c>
    </row>
    <row r="178" spans="1:4" ht="15.75" thickBot="1"/>
    <row r="179" spans="1:4" ht="15.7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.75" thickBot="1">
      <c r="D180" s="1"/>
    </row>
    <row r="181" spans="1:4" ht="15.7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1024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3.25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1019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.75" thickBot="1"/>
    <row r="206" spans="1:6" ht="15.75" thickBot="1">
      <c r="A206" s="130" t="s">
        <v>605</v>
      </c>
      <c r="B206" s="131"/>
      <c r="C206" s="132"/>
      <c r="D206" s="133">
        <f>D191</f>
        <v>0</v>
      </c>
    </row>
    <row r="207" spans="1:6" ht="15.75" thickBot="1"/>
    <row r="208" spans="1:6" ht="15.75" thickBot="1">
      <c r="A208" s="130" t="s">
        <v>606</v>
      </c>
      <c r="B208" s="131"/>
      <c r="C208" s="132"/>
      <c r="D208" s="133">
        <f>D204</f>
        <v>0</v>
      </c>
    </row>
    <row r="209" spans="1:4" ht="15.75" thickBot="1">
      <c r="A209" s="116"/>
      <c r="B209" s="116"/>
      <c r="C209" s="152"/>
      <c r="D209" s="154"/>
    </row>
    <row r="210" spans="1:4" ht="15.75" thickBot="1">
      <c r="A210" s="130" t="s">
        <v>849</v>
      </c>
      <c r="B210" s="131"/>
      <c r="C210" s="132"/>
      <c r="D210" s="133">
        <f>MISC!D18</f>
        <v>0</v>
      </c>
    </row>
    <row r="211" spans="1:4" ht="15.75" thickBot="1"/>
    <row r="212" spans="1:4" ht="15.75" thickBot="1">
      <c r="A212" s="155" t="s">
        <v>607</v>
      </c>
      <c r="B212" s="156"/>
      <c r="C212" s="157"/>
      <c r="D212" s="158">
        <f>D206+D208+D210</f>
        <v>0</v>
      </c>
    </row>
    <row r="213" spans="1:4" ht="15.75" thickBot="1"/>
    <row r="214" spans="1:4" ht="15.7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0</v>
      </c>
      <c r="D215" s="2">
        <f>'TILE COPING'!D48</f>
        <v>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0</v>
      </c>
      <c r="D217" s="2">
        <f>'TILE COPING'!D50</f>
        <v>0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0</v>
      </c>
      <c r="D218" s="2">
        <f>'TILE COPING'!D51</f>
        <v>0</v>
      </c>
    </row>
    <row r="219" spans="1:4">
      <c r="A219" t="s">
        <v>549</v>
      </c>
      <c r="C219"/>
      <c r="D219" s="30">
        <f>SUM(D215:D218)</f>
        <v>0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0</v>
      </c>
      <c r="D221" s="2">
        <f>'TILE COPING'!D54</f>
        <v>0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0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0</v>
      </c>
      <c r="D224" s="2">
        <f>'TILE COPING'!D57</f>
        <v>0</v>
      </c>
    </row>
    <row r="225" spans="1:4">
      <c r="A225" t="s">
        <v>549</v>
      </c>
      <c r="C225"/>
      <c r="D225" s="30">
        <f>SUM(D221:D224)</f>
        <v>0</v>
      </c>
    </row>
    <row r="226" spans="1:4" ht="15.75" thickBot="1">
      <c r="C226"/>
      <c r="D226" s="1"/>
    </row>
    <row r="227" spans="1:4" ht="15.75" thickBot="1">
      <c r="A227" s="130" t="s">
        <v>617</v>
      </c>
      <c r="B227" s="131"/>
      <c r="C227" s="132"/>
      <c r="D227" s="133">
        <f>D219</f>
        <v>0</v>
      </c>
    </row>
    <row r="228" spans="1:4" ht="15.75" thickBot="1"/>
    <row r="229" spans="1:4" ht="15.75" thickBot="1">
      <c r="A229" s="130" t="s">
        <v>618</v>
      </c>
      <c r="B229" s="131"/>
      <c r="C229" s="132"/>
      <c r="D229" s="133">
        <f>D225</f>
        <v>0</v>
      </c>
    </row>
    <row r="230" spans="1:4" ht="15.75" thickBot="1"/>
    <row r="231" spans="1:4" ht="15.75" thickBot="1">
      <c r="A231" s="155" t="s">
        <v>619</v>
      </c>
      <c r="B231" s="156"/>
      <c r="C231" s="157"/>
      <c r="D231" s="158">
        <f>D227+D229</f>
        <v>0</v>
      </c>
    </row>
    <row r="232" spans="1:4" ht="15.75" thickBot="1">
      <c r="A232" s="116"/>
      <c r="B232" s="116"/>
      <c r="C232" s="152"/>
      <c r="D232" s="154"/>
    </row>
    <row r="233" spans="1:4" ht="15.7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No Additional Lights</v>
      </c>
      <c r="B244" s="220">
        <f>EQUIP!N122</f>
        <v>0</v>
      </c>
      <c r="C244" s="4">
        <f>EQUIP!O122</f>
        <v>0</v>
      </c>
      <c r="D244" s="220">
        <f t="shared" si="3"/>
        <v>0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Jandy TCX Controler (1 JVA, Lights and Heater Control)</v>
      </c>
      <c r="B248" s="220">
        <f>EQUIP!N127</f>
        <v>913.33333333333337</v>
      </c>
      <c r="C248" s="4">
        <f>EQUIP!O127</f>
        <v>1</v>
      </c>
      <c r="D248" s="220">
        <f>EQUIP!P127</f>
        <v>913.33333333333337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.75" thickBot="1">
      <c r="A256" s="117"/>
      <c r="B256" s="117"/>
      <c r="C256" s="117"/>
      <c r="D256" s="117"/>
    </row>
    <row r="257" spans="1:5" ht="15.75" thickBot="1">
      <c r="A257" s="155" t="s">
        <v>634</v>
      </c>
      <c r="B257" s="156"/>
      <c r="C257" s="243">
        <v>7.0000000000000007E-2</v>
      </c>
      <c r="D257" s="158">
        <f>(SUM(D234:D256)*(1+C257))*1.2</f>
        <v>1450.8344000000002</v>
      </c>
    </row>
    <row r="258" spans="1:5" ht="15.75" thickBot="1"/>
    <row r="259" spans="1:5" ht="15.75" thickBot="1">
      <c r="A259" s="611" t="s">
        <v>522</v>
      </c>
      <c r="B259" s="612"/>
      <c r="C259" s="612"/>
      <c r="D259" s="613"/>
    </row>
    <row r="260" spans="1:5">
      <c r="A260" t="s">
        <v>1030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1032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1031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.75" thickBot="1"/>
    <row r="266" spans="1:5" ht="15.75" thickBot="1">
      <c r="A266" s="155" t="s">
        <v>523</v>
      </c>
      <c r="B266" s="156"/>
      <c r="C266" s="157"/>
      <c r="D266" s="158">
        <f>SUM(D260:D265)</f>
        <v>0</v>
      </c>
    </row>
    <row r="267" spans="1:5" ht="15.75" thickBot="1"/>
    <row r="268" spans="1:5" ht="15.75" thickBot="1">
      <c r="A268" s="611" t="s">
        <v>575</v>
      </c>
      <c r="B268" s="612"/>
      <c r="C268" s="612"/>
      <c r="D268" s="613"/>
    </row>
    <row r="269" spans="1:5">
      <c r="A269" t="s">
        <v>1035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1036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.75" thickBot="1"/>
    <row r="273" spans="1:4" ht="15.75" thickBot="1">
      <c r="A273" s="155" t="s">
        <v>577</v>
      </c>
      <c r="B273" s="156"/>
      <c r="C273" s="157"/>
      <c r="D273" s="158">
        <f>SUM(D269:D272)</f>
        <v>350</v>
      </c>
    </row>
    <row r="274" spans="1:4" ht="15.75" thickBot="1"/>
    <row r="275" spans="1:4" ht="15.7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6171</v>
      </c>
    </row>
    <row r="277" spans="1:4">
      <c r="A277" t="s">
        <v>476</v>
      </c>
      <c r="B277" s="2">
        <f>VLOOKUP(A276,INT!A6:G19,7,FALSE)</f>
        <v>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0</v>
      </c>
      <c r="C284" s="424">
        <f>C276</f>
        <v>819</v>
      </c>
      <c r="D284" s="2">
        <f>INT!D34</f>
        <v>0</v>
      </c>
    </row>
    <row r="285" spans="1:4" ht="15.75" thickBot="1"/>
    <row r="286" spans="1:4" ht="15.75" thickBot="1">
      <c r="A286" s="155" t="s">
        <v>620</v>
      </c>
      <c r="B286" s="156"/>
      <c r="C286" s="157"/>
      <c r="D286" s="158">
        <f>IF('NEW POOL'!$B$21+'NEW POOL'!$B$22+'NEW POOL'!$B$23&gt;0,0,SUM(D276:D285))</f>
        <v>6271</v>
      </c>
    </row>
    <row r="287" spans="1:4" ht="15.75" thickBot="1">
      <c r="A287" s="116"/>
      <c r="B287" s="116"/>
      <c r="C287" s="152"/>
      <c r="D287" s="154"/>
    </row>
    <row r="288" spans="1:4" ht="15.7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1</v>
      </c>
      <c r="D290" s="1">
        <f>B290*C290</f>
        <v>490</v>
      </c>
      <c r="E290" s="1">
        <f>CEILING(D290/0.85,5)</f>
        <v>580</v>
      </c>
    </row>
    <row r="291" spans="1:6" ht="15.75" thickBot="1">
      <c r="A291" s="116"/>
      <c r="B291" s="116"/>
      <c r="C291" s="152"/>
      <c r="D291" s="154"/>
    </row>
    <row r="292" spans="1:6" ht="15.75" thickBot="1">
      <c r="A292" s="155" t="s">
        <v>837</v>
      </c>
      <c r="B292" s="156"/>
      <c r="C292" s="157"/>
      <c r="D292" s="158">
        <f>D289+D290</f>
        <v>980</v>
      </c>
    </row>
    <row r="293" spans="1:6" ht="15.75" thickBot="1">
      <c r="A293" s="116"/>
      <c r="B293" s="116"/>
      <c r="C293" s="152"/>
      <c r="D293" s="154"/>
    </row>
    <row r="294" spans="1:6" ht="15.7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Standard Finish</v>
      </c>
      <c r="B300" s="283">
        <f>FIBER!G33+FIBER!G34+FIBER!G46+FIBER!G47+FIBER!G59+FIBER!G60</f>
        <v>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982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.7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.75" thickBot="1">
      <c r="A306" s="155" t="s">
        <v>759</v>
      </c>
      <c r="B306" s="156"/>
      <c r="C306" s="157"/>
      <c r="D306" s="158">
        <f>SUM(D295:D305)</f>
        <v>0</v>
      </c>
    </row>
    <row r="307" spans="1:5" ht="15.75" thickBot="1">
      <c r="B307" s="129"/>
      <c r="D307" s="283"/>
    </row>
    <row r="308" spans="1:5" ht="15.7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.75" thickBot="1">
      <c r="B313" s="129"/>
      <c r="D313" s="283"/>
    </row>
    <row r="314" spans="1:5" ht="15.75" thickBot="1">
      <c r="A314" s="155" t="s">
        <v>761</v>
      </c>
      <c r="B314" s="156"/>
      <c r="C314" s="157"/>
      <c r="D314" s="158">
        <f>SUM(D309:D313)</f>
        <v>0</v>
      </c>
    </row>
    <row r="315" spans="1:5" ht="15.75" thickBot="1">
      <c r="B315" s="2"/>
      <c r="D315" s="283"/>
    </row>
    <row r="316" spans="1:5" ht="15.7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0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.75" thickBot="1"/>
    <row r="321" spans="1:9" ht="15.75" thickBot="1">
      <c r="A321" s="155" t="s">
        <v>635</v>
      </c>
      <c r="B321" s="156"/>
      <c r="C321" s="157"/>
      <c r="D321" s="158">
        <f>SUM(D317:D320)</f>
        <v>1000</v>
      </c>
    </row>
    <row r="322" spans="1:9" ht="15.75" thickBot="1">
      <c r="A322" s="116"/>
      <c r="B322" s="116"/>
      <c r="C322" s="152"/>
      <c r="D322" s="154"/>
    </row>
    <row r="323" spans="1:9" ht="15.75" thickBot="1">
      <c r="A323" s="611" t="s">
        <v>796</v>
      </c>
      <c r="B323" s="612"/>
      <c r="C323" s="612"/>
      <c r="D323" s="613"/>
    </row>
    <row r="324" spans="1:9">
      <c r="A324" t="str">
        <f>CUSTOM!A3</f>
        <v>Parged Concrete</v>
      </c>
      <c r="B324" s="2">
        <f>CUSTOM!E3</f>
        <v>0</v>
      </c>
      <c r="C324" s="5">
        <f t="shared" ref="C324:C331" si="7">IF(B324&gt;0,1,0)</f>
        <v>0</v>
      </c>
      <c r="D324" s="2">
        <f t="shared" ref="D324:D331" si="8">B324*C324</f>
        <v>0</v>
      </c>
    </row>
    <row r="325" spans="1:9">
      <c r="A325" t="str">
        <f>CUSTOM!A5</f>
        <v>Oversized coping</v>
      </c>
      <c r="B325" s="2">
        <f>CUSTOM!E5</f>
        <v>824</v>
      </c>
      <c r="C325" s="5">
        <f t="shared" si="7"/>
        <v>1</v>
      </c>
      <c r="D325" s="2">
        <f t="shared" si="8"/>
        <v>824</v>
      </c>
    </row>
    <row r="326" spans="1:9">
      <c r="A326" t="str">
        <f>CUSTOM!A7</f>
        <v>handrail</v>
      </c>
      <c r="B326" s="2">
        <f>CUSTOM!E7</f>
        <v>1028</v>
      </c>
      <c r="C326" s="5">
        <f t="shared" si="7"/>
        <v>1</v>
      </c>
      <c r="D326" s="2">
        <f t="shared" si="8"/>
        <v>1028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.75" thickBot="1">
      <c r="B332" s="2"/>
      <c r="D332" s="2"/>
    </row>
    <row r="333" spans="1:9" ht="15.75" thickBot="1">
      <c r="A333" s="155" t="s">
        <v>797</v>
      </c>
      <c r="B333" s="156"/>
      <c r="C333" s="157"/>
      <c r="D333" s="158">
        <f>SUM(D324:D332)</f>
        <v>1852</v>
      </c>
    </row>
    <row r="334" spans="1:9" ht="15.75" thickBot="1"/>
    <row r="335" spans="1:9" ht="15.7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18685.842744000001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26694.061062857145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.75" thickBot="1">
      <c r="A339" t="s">
        <v>674</v>
      </c>
      <c r="D339" s="1">
        <f>-D335+D53</f>
        <v>-18685.842744000001</v>
      </c>
      <c r="E339" s="4"/>
    </row>
    <row r="340" spans="1:9" ht="15.75" thickBot="1">
      <c r="A340" t="s">
        <v>671</v>
      </c>
      <c r="D340" s="1">
        <f>-D337*0.0275</f>
        <v>-734.08667922857148</v>
      </c>
      <c r="E340" s="179">
        <v>2.75E-2</v>
      </c>
    </row>
    <row r="341" spans="1:9" ht="15.75" thickBot="1">
      <c r="A341" t="s">
        <v>672</v>
      </c>
      <c r="D341" s="1">
        <f>-D337*0.0275</f>
        <v>-734.08667922857148</v>
      </c>
      <c r="E341" s="4"/>
    </row>
    <row r="342" spans="1:9" ht="15.75" thickBot="1">
      <c r="A342" t="s">
        <v>673</v>
      </c>
      <c r="D342" s="2">
        <f>-D337*E342</f>
        <v>-734.08667922857148</v>
      </c>
      <c r="E342" s="180">
        <f>E340</f>
        <v>2.75E-2</v>
      </c>
    </row>
    <row r="343" spans="1:9" ht="15.75" thickBot="1">
      <c r="D343" s="181"/>
    </row>
    <row r="344" spans="1:9" ht="19.5" thickBot="1">
      <c r="A344" s="189" t="s">
        <v>675</v>
      </c>
      <c r="B344" s="189"/>
      <c r="C344" s="190"/>
      <c r="D344" s="191">
        <f>SUM(D337:D343)</f>
        <v>5805.958281171429</v>
      </c>
      <c r="E344" s="192">
        <f>D344/D337</f>
        <v>0.2175</v>
      </c>
    </row>
  </sheetData>
  <mergeCells count="22"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5"/>
  <cols>
    <col min="1" max="1" width="24.42578125" customWidth="1"/>
    <col min="2" max="2" width="14.85546875" customWidth="1"/>
    <col min="3" max="3" width="9.1406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>Bishop</v>
      </c>
      <c r="C3" s="621"/>
      <c r="D3" s="622"/>
    </row>
    <row r="4" spans="1:10" ht="15.75" thickBot="1">
      <c r="J4" s="4"/>
    </row>
    <row r="5" spans="1:10" ht="15.7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631</v>
      </c>
      <c r="B7" s="156"/>
      <c r="C7" s="157"/>
      <c r="D7" s="360">
        <f>'COST - REMODEL'!D16</f>
        <v>550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REMODEL'!D23</f>
        <v>0</v>
      </c>
      <c r="F9" s="184"/>
      <c r="H9" s="24"/>
      <c r="J9" s="1"/>
    </row>
    <row r="10" spans="1:10" ht="15.75" thickBot="1">
      <c r="A10" s="116"/>
      <c r="B10" s="116"/>
      <c r="C10" s="152"/>
      <c r="D10" s="335"/>
      <c r="F10" s="184"/>
      <c r="H10" s="24"/>
      <c r="J10" s="1"/>
    </row>
    <row r="11" spans="1:10" ht="15.75" thickBot="1">
      <c r="A11" s="155" t="s">
        <v>1009</v>
      </c>
      <c r="B11" s="156"/>
      <c r="C11" s="157"/>
      <c r="D11" s="360">
        <f>'COST - REMODEL'!D32</f>
        <v>3927</v>
      </c>
      <c r="F11" s="184"/>
      <c r="H11" s="24"/>
    </row>
    <row r="12" spans="1:10" ht="15.75" thickBot="1">
      <c r="F12" s="184"/>
      <c r="H12" s="24"/>
    </row>
    <row r="13" spans="1:10" ht="15.7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.75" thickBot="1">
      <c r="F14" s="184"/>
      <c r="H14" s="24"/>
    </row>
    <row r="15" spans="1:10" ht="15.7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.75" thickBot="1">
      <c r="A16" s="116"/>
      <c r="B16" s="116"/>
      <c r="C16" s="152"/>
      <c r="D16" s="154"/>
      <c r="F16" s="184"/>
      <c r="H16" s="24"/>
    </row>
    <row r="17" spans="1:10" ht="15.75" thickBot="1">
      <c r="A17" s="155" t="s">
        <v>669</v>
      </c>
      <c r="B17" s="156"/>
      <c r="C17" s="157"/>
      <c r="D17" s="360">
        <f>'COST - REMODEL'!D81</f>
        <v>0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.75" thickBot="1">
      <c r="F24" s="184"/>
      <c r="H24" s="24"/>
    </row>
    <row r="25" spans="1:10" ht="15.7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617</v>
      </c>
      <c r="B31" s="156"/>
      <c r="C31" s="157"/>
      <c r="D31" s="360">
        <f>'COST - REMODEL'!D227</f>
        <v>0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618</v>
      </c>
      <c r="B33" s="156"/>
      <c r="C33" s="157"/>
      <c r="D33" s="360">
        <f>'COST - REMODEL'!D229</f>
        <v>0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849</v>
      </c>
      <c r="B35" s="156"/>
      <c r="C35" s="157"/>
      <c r="D35" s="360">
        <f>'COST - REMODEL'!D210</f>
        <v>0</v>
      </c>
      <c r="F35" s="184"/>
      <c r="H35" s="24"/>
    </row>
    <row r="36" spans="1:10" ht="15.75" thickBot="1">
      <c r="F36" s="184"/>
      <c r="H36" s="24"/>
    </row>
    <row r="37" spans="1:10" ht="15.75" thickBot="1">
      <c r="A37" s="155" t="s">
        <v>634</v>
      </c>
      <c r="B37" s="156"/>
      <c r="C37" s="157"/>
      <c r="D37" s="360">
        <f>'COST - REMODEL'!D257</f>
        <v>1450.8344000000002</v>
      </c>
      <c r="F37" s="184"/>
      <c r="H37" s="24"/>
      <c r="J37" s="1"/>
    </row>
    <row r="38" spans="1:10" ht="15.75" thickBot="1">
      <c r="F38" s="184"/>
      <c r="H38" s="24"/>
    </row>
    <row r="39" spans="1:10" ht="15.7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620</v>
      </c>
      <c r="B43" s="156"/>
      <c r="C43" s="157"/>
      <c r="D43" s="360">
        <f>'COST - REMODEL'!D286</f>
        <v>6271</v>
      </c>
      <c r="F43" s="184"/>
      <c r="H43" s="24"/>
      <c r="J43" s="1"/>
    </row>
    <row r="44" spans="1:10" ht="15.75" thickBot="1">
      <c r="A44" s="116"/>
      <c r="B44" s="116"/>
      <c r="C44" s="152"/>
      <c r="D44" s="335"/>
      <c r="F44" s="184"/>
      <c r="H44" s="24"/>
      <c r="J44" s="1"/>
    </row>
    <row r="45" spans="1:10" ht="15.75" thickBot="1">
      <c r="A45" s="155" t="s">
        <v>837</v>
      </c>
      <c r="B45" s="156"/>
      <c r="C45" s="157"/>
      <c r="D45" s="360">
        <f>'COST - REMODEL'!D292</f>
        <v>980</v>
      </c>
      <c r="F45" s="184"/>
      <c r="H45" s="24"/>
    </row>
    <row r="46" spans="1:10" ht="15.75" thickBot="1">
      <c r="F46" s="184"/>
      <c r="H46" s="24"/>
    </row>
    <row r="47" spans="1:10" ht="15.7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.75" thickBot="1"/>
    <row r="49" spans="1:4" ht="15.75" thickBot="1">
      <c r="A49" s="155" t="str">
        <f>CUSTOM!A3</f>
        <v>Parged Concrete</v>
      </c>
      <c r="B49" s="156"/>
      <c r="C49" s="157"/>
      <c r="D49" s="360">
        <f>'COST - NEW'!D333</f>
        <v>0</v>
      </c>
    </row>
    <row r="50" spans="1:4" ht="15.75" thickBot="1"/>
    <row r="51" spans="1:4" ht="15.75" thickBot="1">
      <c r="A51" s="155" t="str">
        <f>CUSTOM!A5</f>
        <v>Oversized coping</v>
      </c>
      <c r="B51" s="156"/>
      <c r="C51" s="157"/>
      <c r="D51" s="360">
        <f>'COST - NEW'!D334</f>
        <v>824</v>
      </c>
    </row>
    <row r="52" spans="1:4" ht="15.75" thickBot="1"/>
    <row r="53" spans="1:4" ht="15.75" thickBot="1">
      <c r="A53" s="155" t="str">
        <f>CUSTOM!A7</f>
        <v>handrail</v>
      </c>
      <c r="B53" s="156"/>
      <c r="C53" s="157"/>
      <c r="D53" s="360">
        <f>'COST - NEW'!D335</f>
        <v>1028</v>
      </c>
    </row>
    <row r="54" spans="1:4" ht="15.75" thickBot="1"/>
    <row r="55" spans="1:4" ht="15.7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.75" thickBot="1">
      <c r="A56" s="116"/>
      <c r="B56" s="116"/>
      <c r="C56" s="152"/>
      <c r="D56" s="335"/>
    </row>
    <row r="57" spans="1:4" ht="15.7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.75" thickBot="1"/>
    <row r="59" spans="1:4" ht="15.7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.75" thickBot="1"/>
    <row r="61" spans="1:4" ht="15.7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.75" thickBot="1"/>
    <row r="63" spans="1:4" ht="15.7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.75" thickBot="1">
      <c r="A64" s="116"/>
      <c r="B64" s="116"/>
      <c r="C64" s="152"/>
      <c r="D64" s="335"/>
    </row>
    <row r="65" spans="1:10" ht="19.5" thickBot="1">
      <c r="A65" s="361" t="s">
        <v>2</v>
      </c>
      <c r="B65" s="362"/>
      <c r="C65" s="363"/>
      <c r="D65" s="364">
        <f>SUM(D5:D64)</f>
        <v>18500.8344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12" zoomScaleNormal="100" workbookViewId="0">
      <selection activeCell="M31" sqref="M31"/>
    </sheetView>
  </sheetViews>
  <sheetFormatPr defaultRowHeight="15"/>
  <cols>
    <col min="1" max="1" width="18.85546875" hidden="1" customWidth="1"/>
    <col min="2" max="2" width="35.85546875" hidden="1" customWidth="1"/>
    <col min="3" max="3" width="36.42578125" hidden="1" customWidth="1"/>
    <col min="4" max="4" width="11" hidden="1" customWidth="1"/>
    <col min="5" max="5" width="15.140625" hidden="1" customWidth="1"/>
    <col min="6" max="7" width="15.42578125" style="12" hidden="1" customWidth="1"/>
    <col min="8" max="8" width="15.42578125" hidden="1" customWidth="1"/>
    <col min="9" max="9" width="17.85546875" hidden="1" customWidth="1"/>
    <col min="10" max="10" width="13.85546875" hidden="1" customWidth="1"/>
    <col min="11" max="11" width="0" hidden="1" customWidth="1"/>
    <col min="12" max="12" width="0.140625" hidden="1" customWidth="1"/>
    <col min="13" max="13" width="37.140625" bestFit="1" customWidth="1"/>
    <col min="14" max="20" width="13.140625" customWidth="1"/>
    <col min="21" max="21" width="78.5703125" customWidth="1"/>
    <col min="22" max="22" width="11.140625" bestFit="1" customWidth="1"/>
    <col min="23" max="23" width="64.5703125" bestFit="1" customWidth="1"/>
    <col min="265" max="265" width="18.85546875" customWidth="1"/>
    <col min="266" max="266" width="35.85546875" customWidth="1"/>
    <col min="267" max="267" width="36.42578125" customWidth="1"/>
    <col min="268" max="268" width="15.42578125" customWidth="1"/>
    <col min="269" max="269" width="17.85546875" customWidth="1"/>
    <col min="273" max="273" width="35" customWidth="1"/>
    <col min="274" max="274" width="10.140625" bestFit="1" customWidth="1"/>
    <col min="275" max="275" width="12.140625" bestFit="1" customWidth="1"/>
    <col min="276" max="276" width="12.140625" customWidth="1"/>
    <col min="277" max="277" width="52.42578125" bestFit="1" customWidth="1"/>
    <col min="521" max="521" width="18.85546875" customWidth="1"/>
    <col min="522" max="522" width="35.85546875" customWidth="1"/>
    <col min="523" max="523" width="36.42578125" customWidth="1"/>
    <col min="524" max="524" width="15.42578125" customWidth="1"/>
    <col min="525" max="525" width="17.85546875" customWidth="1"/>
    <col min="529" max="529" width="35" customWidth="1"/>
    <col min="530" max="530" width="10.140625" bestFit="1" customWidth="1"/>
    <col min="531" max="531" width="12.140625" bestFit="1" customWidth="1"/>
    <col min="532" max="532" width="12.140625" customWidth="1"/>
    <col min="533" max="533" width="52.42578125" bestFit="1" customWidth="1"/>
    <col min="777" max="777" width="18.85546875" customWidth="1"/>
    <col min="778" max="778" width="35.85546875" customWidth="1"/>
    <col min="779" max="779" width="36.42578125" customWidth="1"/>
    <col min="780" max="780" width="15.42578125" customWidth="1"/>
    <col min="781" max="781" width="17.85546875" customWidth="1"/>
    <col min="785" max="785" width="35" customWidth="1"/>
    <col min="786" max="786" width="10.140625" bestFit="1" customWidth="1"/>
    <col min="787" max="787" width="12.140625" bestFit="1" customWidth="1"/>
    <col min="788" max="788" width="12.140625" customWidth="1"/>
    <col min="789" max="789" width="52.42578125" bestFit="1" customWidth="1"/>
    <col min="1033" max="1033" width="18.85546875" customWidth="1"/>
    <col min="1034" max="1034" width="35.85546875" customWidth="1"/>
    <col min="1035" max="1035" width="36.42578125" customWidth="1"/>
    <col min="1036" max="1036" width="15.42578125" customWidth="1"/>
    <col min="1037" max="1037" width="17.85546875" customWidth="1"/>
    <col min="1041" max="1041" width="35" customWidth="1"/>
    <col min="1042" max="1042" width="10.140625" bestFit="1" customWidth="1"/>
    <col min="1043" max="1043" width="12.140625" bestFit="1" customWidth="1"/>
    <col min="1044" max="1044" width="12.140625" customWidth="1"/>
    <col min="1045" max="1045" width="52.42578125" bestFit="1" customWidth="1"/>
    <col min="1289" max="1289" width="18.85546875" customWidth="1"/>
    <col min="1290" max="1290" width="35.85546875" customWidth="1"/>
    <col min="1291" max="1291" width="36.42578125" customWidth="1"/>
    <col min="1292" max="1292" width="15.42578125" customWidth="1"/>
    <col min="1293" max="1293" width="17.85546875" customWidth="1"/>
    <col min="1297" max="1297" width="35" customWidth="1"/>
    <col min="1298" max="1298" width="10.140625" bestFit="1" customWidth="1"/>
    <col min="1299" max="1299" width="12.140625" bestFit="1" customWidth="1"/>
    <col min="1300" max="1300" width="12.140625" customWidth="1"/>
    <col min="1301" max="1301" width="52.42578125" bestFit="1" customWidth="1"/>
    <col min="1545" max="1545" width="18.85546875" customWidth="1"/>
    <col min="1546" max="1546" width="35.85546875" customWidth="1"/>
    <col min="1547" max="1547" width="36.42578125" customWidth="1"/>
    <col min="1548" max="1548" width="15.42578125" customWidth="1"/>
    <col min="1549" max="1549" width="17.85546875" customWidth="1"/>
    <col min="1553" max="1553" width="35" customWidth="1"/>
    <col min="1554" max="1554" width="10.140625" bestFit="1" customWidth="1"/>
    <col min="1555" max="1555" width="12.140625" bestFit="1" customWidth="1"/>
    <col min="1556" max="1556" width="12.140625" customWidth="1"/>
    <col min="1557" max="1557" width="52.42578125" bestFit="1" customWidth="1"/>
    <col min="1801" max="1801" width="18.85546875" customWidth="1"/>
    <col min="1802" max="1802" width="35.85546875" customWidth="1"/>
    <col min="1803" max="1803" width="36.42578125" customWidth="1"/>
    <col min="1804" max="1804" width="15.42578125" customWidth="1"/>
    <col min="1805" max="1805" width="17.85546875" customWidth="1"/>
    <col min="1809" max="1809" width="35" customWidth="1"/>
    <col min="1810" max="1810" width="10.140625" bestFit="1" customWidth="1"/>
    <col min="1811" max="1811" width="12.140625" bestFit="1" customWidth="1"/>
    <col min="1812" max="1812" width="12.140625" customWidth="1"/>
    <col min="1813" max="1813" width="52.42578125" bestFit="1" customWidth="1"/>
    <col min="2057" max="2057" width="18.85546875" customWidth="1"/>
    <col min="2058" max="2058" width="35.85546875" customWidth="1"/>
    <col min="2059" max="2059" width="36.42578125" customWidth="1"/>
    <col min="2060" max="2060" width="15.42578125" customWidth="1"/>
    <col min="2061" max="2061" width="17.85546875" customWidth="1"/>
    <col min="2065" max="2065" width="35" customWidth="1"/>
    <col min="2066" max="2066" width="10.140625" bestFit="1" customWidth="1"/>
    <col min="2067" max="2067" width="12.140625" bestFit="1" customWidth="1"/>
    <col min="2068" max="2068" width="12.140625" customWidth="1"/>
    <col min="2069" max="2069" width="52.42578125" bestFit="1" customWidth="1"/>
    <col min="2313" max="2313" width="18.85546875" customWidth="1"/>
    <col min="2314" max="2314" width="35.85546875" customWidth="1"/>
    <col min="2315" max="2315" width="36.42578125" customWidth="1"/>
    <col min="2316" max="2316" width="15.42578125" customWidth="1"/>
    <col min="2317" max="2317" width="17.85546875" customWidth="1"/>
    <col min="2321" max="2321" width="35" customWidth="1"/>
    <col min="2322" max="2322" width="10.140625" bestFit="1" customWidth="1"/>
    <col min="2323" max="2323" width="12.140625" bestFit="1" customWidth="1"/>
    <col min="2324" max="2324" width="12.140625" customWidth="1"/>
    <col min="2325" max="2325" width="52.42578125" bestFit="1" customWidth="1"/>
    <col min="2569" max="2569" width="18.85546875" customWidth="1"/>
    <col min="2570" max="2570" width="35.85546875" customWidth="1"/>
    <col min="2571" max="2571" width="36.42578125" customWidth="1"/>
    <col min="2572" max="2572" width="15.42578125" customWidth="1"/>
    <col min="2573" max="2573" width="17.85546875" customWidth="1"/>
    <col min="2577" max="2577" width="35" customWidth="1"/>
    <col min="2578" max="2578" width="10.140625" bestFit="1" customWidth="1"/>
    <col min="2579" max="2579" width="12.140625" bestFit="1" customWidth="1"/>
    <col min="2580" max="2580" width="12.140625" customWidth="1"/>
    <col min="2581" max="2581" width="52.42578125" bestFit="1" customWidth="1"/>
    <col min="2825" max="2825" width="18.85546875" customWidth="1"/>
    <col min="2826" max="2826" width="35.85546875" customWidth="1"/>
    <col min="2827" max="2827" width="36.42578125" customWidth="1"/>
    <col min="2828" max="2828" width="15.42578125" customWidth="1"/>
    <col min="2829" max="2829" width="17.85546875" customWidth="1"/>
    <col min="2833" max="2833" width="35" customWidth="1"/>
    <col min="2834" max="2834" width="10.140625" bestFit="1" customWidth="1"/>
    <col min="2835" max="2835" width="12.140625" bestFit="1" customWidth="1"/>
    <col min="2836" max="2836" width="12.140625" customWidth="1"/>
    <col min="2837" max="2837" width="52.42578125" bestFit="1" customWidth="1"/>
    <col min="3081" max="3081" width="18.85546875" customWidth="1"/>
    <col min="3082" max="3082" width="35.85546875" customWidth="1"/>
    <col min="3083" max="3083" width="36.42578125" customWidth="1"/>
    <col min="3084" max="3084" width="15.42578125" customWidth="1"/>
    <col min="3085" max="3085" width="17.85546875" customWidth="1"/>
    <col min="3089" max="3089" width="35" customWidth="1"/>
    <col min="3090" max="3090" width="10.140625" bestFit="1" customWidth="1"/>
    <col min="3091" max="3091" width="12.140625" bestFit="1" customWidth="1"/>
    <col min="3092" max="3092" width="12.140625" customWidth="1"/>
    <col min="3093" max="3093" width="52.42578125" bestFit="1" customWidth="1"/>
    <col min="3337" max="3337" width="18.85546875" customWidth="1"/>
    <col min="3338" max="3338" width="35.85546875" customWidth="1"/>
    <col min="3339" max="3339" width="36.42578125" customWidth="1"/>
    <col min="3340" max="3340" width="15.42578125" customWidth="1"/>
    <col min="3341" max="3341" width="17.85546875" customWidth="1"/>
    <col min="3345" max="3345" width="35" customWidth="1"/>
    <col min="3346" max="3346" width="10.140625" bestFit="1" customWidth="1"/>
    <col min="3347" max="3347" width="12.140625" bestFit="1" customWidth="1"/>
    <col min="3348" max="3348" width="12.140625" customWidth="1"/>
    <col min="3349" max="3349" width="52.42578125" bestFit="1" customWidth="1"/>
    <col min="3593" max="3593" width="18.85546875" customWidth="1"/>
    <col min="3594" max="3594" width="35.85546875" customWidth="1"/>
    <col min="3595" max="3595" width="36.42578125" customWidth="1"/>
    <col min="3596" max="3596" width="15.42578125" customWidth="1"/>
    <col min="3597" max="3597" width="17.85546875" customWidth="1"/>
    <col min="3601" max="3601" width="35" customWidth="1"/>
    <col min="3602" max="3602" width="10.140625" bestFit="1" customWidth="1"/>
    <col min="3603" max="3603" width="12.140625" bestFit="1" customWidth="1"/>
    <col min="3604" max="3604" width="12.140625" customWidth="1"/>
    <col min="3605" max="3605" width="52.42578125" bestFit="1" customWidth="1"/>
    <col min="3849" max="3849" width="18.85546875" customWidth="1"/>
    <col min="3850" max="3850" width="35.85546875" customWidth="1"/>
    <col min="3851" max="3851" width="36.42578125" customWidth="1"/>
    <col min="3852" max="3852" width="15.42578125" customWidth="1"/>
    <col min="3853" max="3853" width="17.85546875" customWidth="1"/>
    <col min="3857" max="3857" width="35" customWidth="1"/>
    <col min="3858" max="3858" width="10.140625" bestFit="1" customWidth="1"/>
    <col min="3859" max="3859" width="12.140625" bestFit="1" customWidth="1"/>
    <col min="3860" max="3860" width="12.140625" customWidth="1"/>
    <col min="3861" max="3861" width="52.42578125" bestFit="1" customWidth="1"/>
    <col min="4105" max="4105" width="18.85546875" customWidth="1"/>
    <col min="4106" max="4106" width="35.85546875" customWidth="1"/>
    <col min="4107" max="4107" width="36.42578125" customWidth="1"/>
    <col min="4108" max="4108" width="15.42578125" customWidth="1"/>
    <col min="4109" max="4109" width="17.85546875" customWidth="1"/>
    <col min="4113" max="4113" width="35" customWidth="1"/>
    <col min="4114" max="4114" width="10.140625" bestFit="1" customWidth="1"/>
    <col min="4115" max="4115" width="12.140625" bestFit="1" customWidth="1"/>
    <col min="4116" max="4116" width="12.140625" customWidth="1"/>
    <col min="4117" max="4117" width="52.42578125" bestFit="1" customWidth="1"/>
    <col min="4361" max="4361" width="18.85546875" customWidth="1"/>
    <col min="4362" max="4362" width="35.85546875" customWidth="1"/>
    <col min="4363" max="4363" width="36.42578125" customWidth="1"/>
    <col min="4364" max="4364" width="15.42578125" customWidth="1"/>
    <col min="4365" max="4365" width="17.85546875" customWidth="1"/>
    <col min="4369" max="4369" width="35" customWidth="1"/>
    <col min="4370" max="4370" width="10.140625" bestFit="1" customWidth="1"/>
    <col min="4371" max="4371" width="12.140625" bestFit="1" customWidth="1"/>
    <col min="4372" max="4372" width="12.140625" customWidth="1"/>
    <col min="4373" max="4373" width="52.42578125" bestFit="1" customWidth="1"/>
    <col min="4617" max="4617" width="18.85546875" customWidth="1"/>
    <col min="4618" max="4618" width="35.85546875" customWidth="1"/>
    <col min="4619" max="4619" width="36.42578125" customWidth="1"/>
    <col min="4620" max="4620" width="15.42578125" customWidth="1"/>
    <col min="4621" max="4621" width="17.85546875" customWidth="1"/>
    <col min="4625" max="4625" width="35" customWidth="1"/>
    <col min="4626" max="4626" width="10.140625" bestFit="1" customWidth="1"/>
    <col min="4627" max="4627" width="12.140625" bestFit="1" customWidth="1"/>
    <col min="4628" max="4628" width="12.140625" customWidth="1"/>
    <col min="4629" max="4629" width="52.42578125" bestFit="1" customWidth="1"/>
    <col min="4873" max="4873" width="18.85546875" customWidth="1"/>
    <col min="4874" max="4874" width="35.85546875" customWidth="1"/>
    <col min="4875" max="4875" width="36.42578125" customWidth="1"/>
    <col min="4876" max="4876" width="15.42578125" customWidth="1"/>
    <col min="4877" max="4877" width="17.85546875" customWidth="1"/>
    <col min="4881" max="4881" width="35" customWidth="1"/>
    <col min="4882" max="4882" width="10.140625" bestFit="1" customWidth="1"/>
    <col min="4883" max="4883" width="12.140625" bestFit="1" customWidth="1"/>
    <col min="4884" max="4884" width="12.140625" customWidth="1"/>
    <col min="4885" max="4885" width="52.42578125" bestFit="1" customWidth="1"/>
    <col min="5129" max="5129" width="18.85546875" customWidth="1"/>
    <col min="5130" max="5130" width="35.85546875" customWidth="1"/>
    <col min="5131" max="5131" width="36.42578125" customWidth="1"/>
    <col min="5132" max="5132" width="15.42578125" customWidth="1"/>
    <col min="5133" max="5133" width="17.85546875" customWidth="1"/>
    <col min="5137" max="5137" width="35" customWidth="1"/>
    <col min="5138" max="5138" width="10.140625" bestFit="1" customWidth="1"/>
    <col min="5139" max="5139" width="12.140625" bestFit="1" customWidth="1"/>
    <col min="5140" max="5140" width="12.140625" customWidth="1"/>
    <col min="5141" max="5141" width="52.42578125" bestFit="1" customWidth="1"/>
    <col min="5385" max="5385" width="18.85546875" customWidth="1"/>
    <col min="5386" max="5386" width="35.85546875" customWidth="1"/>
    <col min="5387" max="5387" width="36.42578125" customWidth="1"/>
    <col min="5388" max="5388" width="15.42578125" customWidth="1"/>
    <col min="5389" max="5389" width="17.85546875" customWidth="1"/>
    <col min="5393" max="5393" width="35" customWidth="1"/>
    <col min="5394" max="5394" width="10.140625" bestFit="1" customWidth="1"/>
    <col min="5395" max="5395" width="12.140625" bestFit="1" customWidth="1"/>
    <col min="5396" max="5396" width="12.140625" customWidth="1"/>
    <col min="5397" max="5397" width="52.42578125" bestFit="1" customWidth="1"/>
    <col min="5641" max="5641" width="18.85546875" customWidth="1"/>
    <col min="5642" max="5642" width="35.85546875" customWidth="1"/>
    <col min="5643" max="5643" width="36.42578125" customWidth="1"/>
    <col min="5644" max="5644" width="15.42578125" customWidth="1"/>
    <col min="5645" max="5645" width="17.85546875" customWidth="1"/>
    <col min="5649" max="5649" width="35" customWidth="1"/>
    <col min="5650" max="5650" width="10.140625" bestFit="1" customWidth="1"/>
    <col min="5651" max="5651" width="12.140625" bestFit="1" customWidth="1"/>
    <col min="5652" max="5652" width="12.140625" customWidth="1"/>
    <col min="5653" max="5653" width="52.42578125" bestFit="1" customWidth="1"/>
    <col min="5897" max="5897" width="18.85546875" customWidth="1"/>
    <col min="5898" max="5898" width="35.85546875" customWidth="1"/>
    <col min="5899" max="5899" width="36.42578125" customWidth="1"/>
    <col min="5900" max="5900" width="15.42578125" customWidth="1"/>
    <col min="5901" max="5901" width="17.85546875" customWidth="1"/>
    <col min="5905" max="5905" width="35" customWidth="1"/>
    <col min="5906" max="5906" width="10.140625" bestFit="1" customWidth="1"/>
    <col min="5907" max="5907" width="12.140625" bestFit="1" customWidth="1"/>
    <col min="5908" max="5908" width="12.140625" customWidth="1"/>
    <col min="5909" max="5909" width="52.42578125" bestFit="1" customWidth="1"/>
    <col min="6153" max="6153" width="18.85546875" customWidth="1"/>
    <col min="6154" max="6154" width="35.85546875" customWidth="1"/>
    <col min="6155" max="6155" width="36.42578125" customWidth="1"/>
    <col min="6156" max="6156" width="15.42578125" customWidth="1"/>
    <col min="6157" max="6157" width="17.85546875" customWidth="1"/>
    <col min="6161" max="6161" width="35" customWidth="1"/>
    <col min="6162" max="6162" width="10.140625" bestFit="1" customWidth="1"/>
    <col min="6163" max="6163" width="12.140625" bestFit="1" customWidth="1"/>
    <col min="6164" max="6164" width="12.140625" customWidth="1"/>
    <col min="6165" max="6165" width="52.42578125" bestFit="1" customWidth="1"/>
    <col min="6409" max="6409" width="18.85546875" customWidth="1"/>
    <col min="6410" max="6410" width="35.85546875" customWidth="1"/>
    <col min="6411" max="6411" width="36.42578125" customWidth="1"/>
    <col min="6412" max="6412" width="15.42578125" customWidth="1"/>
    <col min="6413" max="6413" width="17.85546875" customWidth="1"/>
    <col min="6417" max="6417" width="35" customWidth="1"/>
    <col min="6418" max="6418" width="10.140625" bestFit="1" customWidth="1"/>
    <col min="6419" max="6419" width="12.140625" bestFit="1" customWidth="1"/>
    <col min="6420" max="6420" width="12.140625" customWidth="1"/>
    <col min="6421" max="6421" width="52.42578125" bestFit="1" customWidth="1"/>
    <col min="6665" max="6665" width="18.85546875" customWidth="1"/>
    <col min="6666" max="6666" width="35.85546875" customWidth="1"/>
    <col min="6667" max="6667" width="36.42578125" customWidth="1"/>
    <col min="6668" max="6668" width="15.42578125" customWidth="1"/>
    <col min="6669" max="6669" width="17.85546875" customWidth="1"/>
    <col min="6673" max="6673" width="35" customWidth="1"/>
    <col min="6674" max="6674" width="10.140625" bestFit="1" customWidth="1"/>
    <col min="6675" max="6675" width="12.140625" bestFit="1" customWidth="1"/>
    <col min="6676" max="6676" width="12.140625" customWidth="1"/>
    <col min="6677" max="6677" width="52.42578125" bestFit="1" customWidth="1"/>
    <col min="6921" max="6921" width="18.85546875" customWidth="1"/>
    <col min="6922" max="6922" width="35.85546875" customWidth="1"/>
    <col min="6923" max="6923" width="36.42578125" customWidth="1"/>
    <col min="6924" max="6924" width="15.42578125" customWidth="1"/>
    <col min="6925" max="6925" width="17.85546875" customWidth="1"/>
    <col min="6929" max="6929" width="35" customWidth="1"/>
    <col min="6930" max="6930" width="10.140625" bestFit="1" customWidth="1"/>
    <col min="6931" max="6931" width="12.140625" bestFit="1" customWidth="1"/>
    <col min="6932" max="6932" width="12.140625" customWidth="1"/>
    <col min="6933" max="6933" width="52.42578125" bestFit="1" customWidth="1"/>
    <col min="7177" max="7177" width="18.85546875" customWidth="1"/>
    <col min="7178" max="7178" width="35.85546875" customWidth="1"/>
    <col min="7179" max="7179" width="36.42578125" customWidth="1"/>
    <col min="7180" max="7180" width="15.42578125" customWidth="1"/>
    <col min="7181" max="7181" width="17.85546875" customWidth="1"/>
    <col min="7185" max="7185" width="35" customWidth="1"/>
    <col min="7186" max="7186" width="10.140625" bestFit="1" customWidth="1"/>
    <col min="7187" max="7187" width="12.140625" bestFit="1" customWidth="1"/>
    <col min="7188" max="7188" width="12.140625" customWidth="1"/>
    <col min="7189" max="7189" width="52.42578125" bestFit="1" customWidth="1"/>
    <col min="7433" max="7433" width="18.85546875" customWidth="1"/>
    <col min="7434" max="7434" width="35.85546875" customWidth="1"/>
    <col min="7435" max="7435" width="36.42578125" customWidth="1"/>
    <col min="7436" max="7436" width="15.42578125" customWidth="1"/>
    <col min="7437" max="7437" width="17.85546875" customWidth="1"/>
    <col min="7441" max="7441" width="35" customWidth="1"/>
    <col min="7442" max="7442" width="10.140625" bestFit="1" customWidth="1"/>
    <col min="7443" max="7443" width="12.140625" bestFit="1" customWidth="1"/>
    <col min="7444" max="7444" width="12.140625" customWidth="1"/>
    <col min="7445" max="7445" width="52.42578125" bestFit="1" customWidth="1"/>
    <col min="7689" max="7689" width="18.85546875" customWidth="1"/>
    <col min="7690" max="7690" width="35.85546875" customWidth="1"/>
    <col min="7691" max="7691" width="36.42578125" customWidth="1"/>
    <col min="7692" max="7692" width="15.42578125" customWidth="1"/>
    <col min="7693" max="7693" width="17.85546875" customWidth="1"/>
    <col min="7697" max="7697" width="35" customWidth="1"/>
    <col min="7698" max="7698" width="10.140625" bestFit="1" customWidth="1"/>
    <col min="7699" max="7699" width="12.140625" bestFit="1" customWidth="1"/>
    <col min="7700" max="7700" width="12.140625" customWidth="1"/>
    <col min="7701" max="7701" width="52.42578125" bestFit="1" customWidth="1"/>
    <col min="7945" max="7945" width="18.85546875" customWidth="1"/>
    <col min="7946" max="7946" width="35.85546875" customWidth="1"/>
    <col min="7947" max="7947" width="36.42578125" customWidth="1"/>
    <col min="7948" max="7948" width="15.42578125" customWidth="1"/>
    <col min="7949" max="7949" width="17.85546875" customWidth="1"/>
    <col min="7953" max="7953" width="35" customWidth="1"/>
    <col min="7954" max="7954" width="10.140625" bestFit="1" customWidth="1"/>
    <col min="7955" max="7955" width="12.140625" bestFit="1" customWidth="1"/>
    <col min="7956" max="7956" width="12.140625" customWidth="1"/>
    <col min="7957" max="7957" width="52.42578125" bestFit="1" customWidth="1"/>
    <col min="8201" max="8201" width="18.85546875" customWidth="1"/>
    <col min="8202" max="8202" width="35.85546875" customWidth="1"/>
    <col min="8203" max="8203" width="36.42578125" customWidth="1"/>
    <col min="8204" max="8204" width="15.42578125" customWidth="1"/>
    <col min="8205" max="8205" width="17.85546875" customWidth="1"/>
    <col min="8209" max="8209" width="35" customWidth="1"/>
    <col min="8210" max="8210" width="10.140625" bestFit="1" customWidth="1"/>
    <col min="8211" max="8211" width="12.140625" bestFit="1" customWidth="1"/>
    <col min="8212" max="8212" width="12.140625" customWidth="1"/>
    <col min="8213" max="8213" width="52.42578125" bestFit="1" customWidth="1"/>
    <col min="8457" max="8457" width="18.85546875" customWidth="1"/>
    <col min="8458" max="8458" width="35.85546875" customWidth="1"/>
    <col min="8459" max="8459" width="36.42578125" customWidth="1"/>
    <col min="8460" max="8460" width="15.42578125" customWidth="1"/>
    <col min="8461" max="8461" width="17.85546875" customWidth="1"/>
    <col min="8465" max="8465" width="35" customWidth="1"/>
    <col min="8466" max="8466" width="10.140625" bestFit="1" customWidth="1"/>
    <col min="8467" max="8467" width="12.140625" bestFit="1" customWidth="1"/>
    <col min="8468" max="8468" width="12.140625" customWidth="1"/>
    <col min="8469" max="8469" width="52.42578125" bestFit="1" customWidth="1"/>
    <col min="8713" max="8713" width="18.85546875" customWidth="1"/>
    <col min="8714" max="8714" width="35.85546875" customWidth="1"/>
    <col min="8715" max="8715" width="36.42578125" customWidth="1"/>
    <col min="8716" max="8716" width="15.42578125" customWidth="1"/>
    <col min="8717" max="8717" width="17.85546875" customWidth="1"/>
    <col min="8721" max="8721" width="35" customWidth="1"/>
    <col min="8722" max="8722" width="10.140625" bestFit="1" customWidth="1"/>
    <col min="8723" max="8723" width="12.140625" bestFit="1" customWidth="1"/>
    <col min="8724" max="8724" width="12.140625" customWidth="1"/>
    <col min="8725" max="8725" width="52.42578125" bestFit="1" customWidth="1"/>
    <col min="8969" max="8969" width="18.85546875" customWidth="1"/>
    <col min="8970" max="8970" width="35.85546875" customWidth="1"/>
    <col min="8971" max="8971" width="36.42578125" customWidth="1"/>
    <col min="8972" max="8972" width="15.42578125" customWidth="1"/>
    <col min="8973" max="8973" width="17.85546875" customWidth="1"/>
    <col min="8977" max="8977" width="35" customWidth="1"/>
    <col min="8978" max="8978" width="10.140625" bestFit="1" customWidth="1"/>
    <col min="8979" max="8979" width="12.140625" bestFit="1" customWidth="1"/>
    <col min="8980" max="8980" width="12.140625" customWidth="1"/>
    <col min="8981" max="8981" width="52.42578125" bestFit="1" customWidth="1"/>
    <col min="9225" max="9225" width="18.85546875" customWidth="1"/>
    <col min="9226" max="9226" width="35.85546875" customWidth="1"/>
    <col min="9227" max="9227" width="36.42578125" customWidth="1"/>
    <col min="9228" max="9228" width="15.42578125" customWidth="1"/>
    <col min="9229" max="9229" width="17.85546875" customWidth="1"/>
    <col min="9233" max="9233" width="35" customWidth="1"/>
    <col min="9234" max="9234" width="10.140625" bestFit="1" customWidth="1"/>
    <col min="9235" max="9235" width="12.140625" bestFit="1" customWidth="1"/>
    <col min="9236" max="9236" width="12.140625" customWidth="1"/>
    <col min="9237" max="9237" width="52.42578125" bestFit="1" customWidth="1"/>
    <col min="9481" max="9481" width="18.85546875" customWidth="1"/>
    <col min="9482" max="9482" width="35.85546875" customWidth="1"/>
    <col min="9483" max="9483" width="36.42578125" customWidth="1"/>
    <col min="9484" max="9484" width="15.42578125" customWidth="1"/>
    <col min="9485" max="9485" width="17.85546875" customWidth="1"/>
    <col min="9489" max="9489" width="35" customWidth="1"/>
    <col min="9490" max="9490" width="10.140625" bestFit="1" customWidth="1"/>
    <col min="9491" max="9491" width="12.140625" bestFit="1" customWidth="1"/>
    <col min="9492" max="9492" width="12.140625" customWidth="1"/>
    <col min="9493" max="9493" width="52.42578125" bestFit="1" customWidth="1"/>
    <col min="9737" max="9737" width="18.85546875" customWidth="1"/>
    <col min="9738" max="9738" width="35.85546875" customWidth="1"/>
    <col min="9739" max="9739" width="36.42578125" customWidth="1"/>
    <col min="9740" max="9740" width="15.42578125" customWidth="1"/>
    <col min="9741" max="9741" width="17.85546875" customWidth="1"/>
    <col min="9745" max="9745" width="35" customWidth="1"/>
    <col min="9746" max="9746" width="10.140625" bestFit="1" customWidth="1"/>
    <col min="9747" max="9747" width="12.140625" bestFit="1" customWidth="1"/>
    <col min="9748" max="9748" width="12.140625" customWidth="1"/>
    <col min="9749" max="9749" width="52.42578125" bestFit="1" customWidth="1"/>
    <col min="9993" max="9993" width="18.85546875" customWidth="1"/>
    <col min="9994" max="9994" width="35.85546875" customWidth="1"/>
    <col min="9995" max="9995" width="36.42578125" customWidth="1"/>
    <col min="9996" max="9996" width="15.42578125" customWidth="1"/>
    <col min="9997" max="9997" width="17.85546875" customWidth="1"/>
    <col min="10001" max="10001" width="35" customWidth="1"/>
    <col min="10002" max="10002" width="10.140625" bestFit="1" customWidth="1"/>
    <col min="10003" max="10003" width="12.140625" bestFit="1" customWidth="1"/>
    <col min="10004" max="10004" width="12.140625" customWidth="1"/>
    <col min="10005" max="10005" width="52.42578125" bestFit="1" customWidth="1"/>
    <col min="10249" max="10249" width="18.85546875" customWidth="1"/>
    <col min="10250" max="10250" width="35.85546875" customWidth="1"/>
    <col min="10251" max="10251" width="36.42578125" customWidth="1"/>
    <col min="10252" max="10252" width="15.42578125" customWidth="1"/>
    <col min="10253" max="10253" width="17.85546875" customWidth="1"/>
    <col min="10257" max="10257" width="35" customWidth="1"/>
    <col min="10258" max="10258" width="10.140625" bestFit="1" customWidth="1"/>
    <col min="10259" max="10259" width="12.140625" bestFit="1" customWidth="1"/>
    <col min="10260" max="10260" width="12.140625" customWidth="1"/>
    <col min="10261" max="10261" width="52.42578125" bestFit="1" customWidth="1"/>
    <col min="10505" max="10505" width="18.85546875" customWidth="1"/>
    <col min="10506" max="10506" width="35.85546875" customWidth="1"/>
    <col min="10507" max="10507" width="36.42578125" customWidth="1"/>
    <col min="10508" max="10508" width="15.42578125" customWidth="1"/>
    <col min="10509" max="10509" width="17.85546875" customWidth="1"/>
    <col min="10513" max="10513" width="35" customWidth="1"/>
    <col min="10514" max="10514" width="10.140625" bestFit="1" customWidth="1"/>
    <col min="10515" max="10515" width="12.140625" bestFit="1" customWidth="1"/>
    <col min="10516" max="10516" width="12.140625" customWidth="1"/>
    <col min="10517" max="10517" width="52.42578125" bestFit="1" customWidth="1"/>
    <col min="10761" max="10761" width="18.85546875" customWidth="1"/>
    <col min="10762" max="10762" width="35.85546875" customWidth="1"/>
    <col min="10763" max="10763" width="36.42578125" customWidth="1"/>
    <col min="10764" max="10764" width="15.42578125" customWidth="1"/>
    <col min="10765" max="10765" width="17.85546875" customWidth="1"/>
    <col min="10769" max="10769" width="35" customWidth="1"/>
    <col min="10770" max="10770" width="10.140625" bestFit="1" customWidth="1"/>
    <col min="10771" max="10771" width="12.140625" bestFit="1" customWidth="1"/>
    <col min="10772" max="10772" width="12.140625" customWidth="1"/>
    <col min="10773" max="10773" width="52.42578125" bestFit="1" customWidth="1"/>
    <col min="11017" max="11017" width="18.85546875" customWidth="1"/>
    <col min="11018" max="11018" width="35.85546875" customWidth="1"/>
    <col min="11019" max="11019" width="36.42578125" customWidth="1"/>
    <col min="11020" max="11020" width="15.42578125" customWidth="1"/>
    <col min="11021" max="11021" width="17.85546875" customWidth="1"/>
    <col min="11025" max="11025" width="35" customWidth="1"/>
    <col min="11026" max="11026" width="10.140625" bestFit="1" customWidth="1"/>
    <col min="11027" max="11027" width="12.140625" bestFit="1" customWidth="1"/>
    <col min="11028" max="11028" width="12.140625" customWidth="1"/>
    <col min="11029" max="11029" width="52.42578125" bestFit="1" customWidth="1"/>
    <col min="11273" max="11273" width="18.85546875" customWidth="1"/>
    <col min="11274" max="11274" width="35.85546875" customWidth="1"/>
    <col min="11275" max="11275" width="36.42578125" customWidth="1"/>
    <col min="11276" max="11276" width="15.42578125" customWidth="1"/>
    <col min="11277" max="11277" width="17.85546875" customWidth="1"/>
    <col min="11281" max="11281" width="35" customWidth="1"/>
    <col min="11282" max="11282" width="10.140625" bestFit="1" customWidth="1"/>
    <col min="11283" max="11283" width="12.140625" bestFit="1" customWidth="1"/>
    <col min="11284" max="11284" width="12.140625" customWidth="1"/>
    <col min="11285" max="11285" width="52.42578125" bestFit="1" customWidth="1"/>
    <col min="11529" max="11529" width="18.85546875" customWidth="1"/>
    <col min="11530" max="11530" width="35.85546875" customWidth="1"/>
    <col min="11531" max="11531" width="36.42578125" customWidth="1"/>
    <col min="11532" max="11532" width="15.42578125" customWidth="1"/>
    <col min="11533" max="11533" width="17.85546875" customWidth="1"/>
    <col min="11537" max="11537" width="35" customWidth="1"/>
    <col min="11538" max="11538" width="10.140625" bestFit="1" customWidth="1"/>
    <col min="11539" max="11539" width="12.140625" bestFit="1" customWidth="1"/>
    <col min="11540" max="11540" width="12.140625" customWidth="1"/>
    <col min="11541" max="11541" width="52.42578125" bestFit="1" customWidth="1"/>
    <col min="11785" max="11785" width="18.85546875" customWidth="1"/>
    <col min="11786" max="11786" width="35.85546875" customWidth="1"/>
    <col min="11787" max="11787" width="36.42578125" customWidth="1"/>
    <col min="11788" max="11788" width="15.42578125" customWidth="1"/>
    <col min="11789" max="11789" width="17.85546875" customWidth="1"/>
    <col min="11793" max="11793" width="35" customWidth="1"/>
    <col min="11794" max="11794" width="10.140625" bestFit="1" customWidth="1"/>
    <col min="11795" max="11795" width="12.140625" bestFit="1" customWidth="1"/>
    <col min="11796" max="11796" width="12.140625" customWidth="1"/>
    <col min="11797" max="11797" width="52.42578125" bestFit="1" customWidth="1"/>
    <col min="12041" max="12041" width="18.85546875" customWidth="1"/>
    <col min="12042" max="12042" width="35.85546875" customWidth="1"/>
    <col min="12043" max="12043" width="36.42578125" customWidth="1"/>
    <col min="12044" max="12044" width="15.42578125" customWidth="1"/>
    <col min="12045" max="12045" width="17.85546875" customWidth="1"/>
    <col min="12049" max="12049" width="35" customWidth="1"/>
    <col min="12050" max="12050" width="10.140625" bestFit="1" customWidth="1"/>
    <col min="12051" max="12051" width="12.140625" bestFit="1" customWidth="1"/>
    <col min="12052" max="12052" width="12.140625" customWidth="1"/>
    <col min="12053" max="12053" width="52.42578125" bestFit="1" customWidth="1"/>
    <col min="12297" max="12297" width="18.85546875" customWidth="1"/>
    <col min="12298" max="12298" width="35.85546875" customWidth="1"/>
    <col min="12299" max="12299" width="36.42578125" customWidth="1"/>
    <col min="12300" max="12300" width="15.42578125" customWidth="1"/>
    <col min="12301" max="12301" width="17.85546875" customWidth="1"/>
    <col min="12305" max="12305" width="35" customWidth="1"/>
    <col min="12306" max="12306" width="10.140625" bestFit="1" customWidth="1"/>
    <col min="12307" max="12307" width="12.140625" bestFit="1" customWidth="1"/>
    <col min="12308" max="12308" width="12.140625" customWidth="1"/>
    <col min="12309" max="12309" width="52.42578125" bestFit="1" customWidth="1"/>
    <col min="12553" max="12553" width="18.85546875" customWidth="1"/>
    <col min="12554" max="12554" width="35.85546875" customWidth="1"/>
    <col min="12555" max="12555" width="36.42578125" customWidth="1"/>
    <col min="12556" max="12556" width="15.42578125" customWidth="1"/>
    <col min="12557" max="12557" width="17.85546875" customWidth="1"/>
    <col min="12561" max="12561" width="35" customWidth="1"/>
    <col min="12562" max="12562" width="10.140625" bestFit="1" customWidth="1"/>
    <col min="12563" max="12563" width="12.140625" bestFit="1" customWidth="1"/>
    <col min="12564" max="12564" width="12.140625" customWidth="1"/>
    <col min="12565" max="12565" width="52.42578125" bestFit="1" customWidth="1"/>
    <col min="12809" max="12809" width="18.85546875" customWidth="1"/>
    <col min="12810" max="12810" width="35.85546875" customWidth="1"/>
    <col min="12811" max="12811" width="36.42578125" customWidth="1"/>
    <col min="12812" max="12812" width="15.42578125" customWidth="1"/>
    <col min="12813" max="12813" width="17.85546875" customWidth="1"/>
    <col min="12817" max="12817" width="35" customWidth="1"/>
    <col min="12818" max="12818" width="10.140625" bestFit="1" customWidth="1"/>
    <col min="12819" max="12819" width="12.140625" bestFit="1" customWidth="1"/>
    <col min="12820" max="12820" width="12.140625" customWidth="1"/>
    <col min="12821" max="12821" width="52.42578125" bestFit="1" customWidth="1"/>
    <col min="13065" max="13065" width="18.85546875" customWidth="1"/>
    <col min="13066" max="13066" width="35.85546875" customWidth="1"/>
    <col min="13067" max="13067" width="36.42578125" customWidth="1"/>
    <col min="13068" max="13068" width="15.42578125" customWidth="1"/>
    <col min="13069" max="13069" width="17.85546875" customWidth="1"/>
    <col min="13073" max="13073" width="35" customWidth="1"/>
    <col min="13074" max="13074" width="10.140625" bestFit="1" customWidth="1"/>
    <col min="13075" max="13075" width="12.140625" bestFit="1" customWidth="1"/>
    <col min="13076" max="13076" width="12.140625" customWidth="1"/>
    <col min="13077" max="13077" width="52.42578125" bestFit="1" customWidth="1"/>
    <col min="13321" max="13321" width="18.85546875" customWidth="1"/>
    <col min="13322" max="13322" width="35.85546875" customWidth="1"/>
    <col min="13323" max="13323" width="36.42578125" customWidth="1"/>
    <col min="13324" max="13324" width="15.42578125" customWidth="1"/>
    <col min="13325" max="13325" width="17.85546875" customWidth="1"/>
    <col min="13329" max="13329" width="35" customWidth="1"/>
    <col min="13330" max="13330" width="10.140625" bestFit="1" customWidth="1"/>
    <col min="13331" max="13331" width="12.140625" bestFit="1" customWidth="1"/>
    <col min="13332" max="13332" width="12.140625" customWidth="1"/>
    <col min="13333" max="13333" width="52.42578125" bestFit="1" customWidth="1"/>
    <col min="13577" max="13577" width="18.85546875" customWidth="1"/>
    <col min="13578" max="13578" width="35.85546875" customWidth="1"/>
    <col min="13579" max="13579" width="36.42578125" customWidth="1"/>
    <col min="13580" max="13580" width="15.42578125" customWidth="1"/>
    <col min="13581" max="13581" width="17.85546875" customWidth="1"/>
    <col min="13585" max="13585" width="35" customWidth="1"/>
    <col min="13586" max="13586" width="10.140625" bestFit="1" customWidth="1"/>
    <col min="13587" max="13587" width="12.140625" bestFit="1" customWidth="1"/>
    <col min="13588" max="13588" width="12.140625" customWidth="1"/>
    <col min="13589" max="13589" width="52.42578125" bestFit="1" customWidth="1"/>
    <col min="13833" max="13833" width="18.85546875" customWidth="1"/>
    <col min="13834" max="13834" width="35.85546875" customWidth="1"/>
    <col min="13835" max="13835" width="36.42578125" customWidth="1"/>
    <col min="13836" max="13836" width="15.42578125" customWidth="1"/>
    <col min="13837" max="13837" width="17.85546875" customWidth="1"/>
    <col min="13841" max="13841" width="35" customWidth="1"/>
    <col min="13842" max="13842" width="10.140625" bestFit="1" customWidth="1"/>
    <col min="13843" max="13843" width="12.140625" bestFit="1" customWidth="1"/>
    <col min="13844" max="13844" width="12.140625" customWidth="1"/>
    <col min="13845" max="13845" width="52.42578125" bestFit="1" customWidth="1"/>
    <col min="14089" max="14089" width="18.85546875" customWidth="1"/>
    <col min="14090" max="14090" width="35.85546875" customWidth="1"/>
    <col min="14091" max="14091" width="36.42578125" customWidth="1"/>
    <col min="14092" max="14092" width="15.42578125" customWidth="1"/>
    <col min="14093" max="14093" width="17.85546875" customWidth="1"/>
    <col min="14097" max="14097" width="35" customWidth="1"/>
    <col min="14098" max="14098" width="10.140625" bestFit="1" customWidth="1"/>
    <col min="14099" max="14099" width="12.140625" bestFit="1" customWidth="1"/>
    <col min="14100" max="14100" width="12.140625" customWidth="1"/>
    <col min="14101" max="14101" width="52.42578125" bestFit="1" customWidth="1"/>
    <col min="14345" max="14345" width="18.85546875" customWidth="1"/>
    <col min="14346" max="14346" width="35.85546875" customWidth="1"/>
    <col min="14347" max="14347" width="36.42578125" customWidth="1"/>
    <col min="14348" max="14348" width="15.42578125" customWidth="1"/>
    <col min="14349" max="14349" width="17.85546875" customWidth="1"/>
    <col min="14353" max="14353" width="35" customWidth="1"/>
    <col min="14354" max="14354" width="10.140625" bestFit="1" customWidth="1"/>
    <col min="14355" max="14355" width="12.140625" bestFit="1" customWidth="1"/>
    <col min="14356" max="14356" width="12.140625" customWidth="1"/>
    <col min="14357" max="14357" width="52.42578125" bestFit="1" customWidth="1"/>
    <col min="14601" max="14601" width="18.85546875" customWidth="1"/>
    <col min="14602" max="14602" width="35.85546875" customWidth="1"/>
    <col min="14603" max="14603" width="36.42578125" customWidth="1"/>
    <col min="14604" max="14604" width="15.42578125" customWidth="1"/>
    <col min="14605" max="14605" width="17.85546875" customWidth="1"/>
    <col min="14609" max="14609" width="35" customWidth="1"/>
    <col min="14610" max="14610" width="10.140625" bestFit="1" customWidth="1"/>
    <col min="14611" max="14611" width="12.140625" bestFit="1" customWidth="1"/>
    <col min="14612" max="14612" width="12.140625" customWidth="1"/>
    <col min="14613" max="14613" width="52.42578125" bestFit="1" customWidth="1"/>
    <col min="14857" max="14857" width="18.85546875" customWidth="1"/>
    <col min="14858" max="14858" width="35.85546875" customWidth="1"/>
    <col min="14859" max="14859" width="36.42578125" customWidth="1"/>
    <col min="14860" max="14860" width="15.42578125" customWidth="1"/>
    <col min="14861" max="14861" width="17.85546875" customWidth="1"/>
    <col min="14865" max="14865" width="35" customWidth="1"/>
    <col min="14866" max="14866" width="10.140625" bestFit="1" customWidth="1"/>
    <col min="14867" max="14867" width="12.140625" bestFit="1" customWidth="1"/>
    <col min="14868" max="14868" width="12.140625" customWidth="1"/>
    <col min="14869" max="14869" width="52.42578125" bestFit="1" customWidth="1"/>
    <col min="15113" max="15113" width="18.85546875" customWidth="1"/>
    <col min="15114" max="15114" width="35.85546875" customWidth="1"/>
    <col min="15115" max="15115" width="36.42578125" customWidth="1"/>
    <col min="15116" max="15116" width="15.42578125" customWidth="1"/>
    <col min="15117" max="15117" width="17.85546875" customWidth="1"/>
    <col min="15121" max="15121" width="35" customWidth="1"/>
    <col min="15122" max="15122" width="10.140625" bestFit="1" customWidth="1"/>
    <col min="15123" max="15123" width="12.140625" bestFit="1" customWidth="1"/>
    <col min="15124" max="15124" width="12.140625" customWidth="1"/>
    <col min="15125" max="15125" width="52.42578125" bestFit="1" customWidth="1"/>
    <col min="15369" max="15369" width="18.85546875" customWidth="1"/>
    <col min="15370" max="15370" width="35.85546875" customWidth="1"/>
    <col min="15371" max="15371" width="36.42578125" customWidth="1"/>
    <col min="15372" max="15372" width="15.42578125" customWidth="1"/>
    <col min="15373" max="15373" width="17.85546875" customWidth="1"/>
    <col min="15377" max="15377" width="35" customWidth="1"/>
    <col min="15378" max="15378" width="10.140625" bestFit="1" customWidth="1"/>
    <col min="15379" max="15379" width="12.140625" bestFit="1" customWidth="1"/>
    <col min="15380" max="15380" width="12.140625" customWidth="1"/>
    <col min="15381" max="15381" width="52.42578125" bestFit="1" customWidth="1"/>
    <col min="15625" max="15625" width="18.85546875" customWidth="1"/>
    <col min="15626" max="15626" width="35.85546875" customWidth="1"/>
    <col min="15627" max="15627" width="36.42578125" customWidth="1"/>
    <col min="15628" max="15628" width="15.42578125" customWidth="1"/>
    <col min="15629" max="15629" width="17.85546875" customWidth="1"/>
    <col min="15633" max="15633" width="35" customWidth="1"/>
    <col min="15634" max="15634" width="10.140625" bestFit="1" customWidth="1"/>
    <col min="15635" max="15635" width="12.140625" bestFit="1" customWidth="1"/>
    <col min="15636" max="15636" width="12.140625" customWidth="1"/>
    <col min="15637" max="15637" width="52.42578125" bestFit="1" customWidth="1"/>
    <col min="15881" max="15881" width="18.85546875" customWidth="1"/>
    <col min="15882" max="15882" width="35.85546875" customWidth="1"/>
    <col min="15883" max="15883" width="36.42578125" customWidth="1"/>
    <col min="15884" max="15884" width="15.42578125" customWidth="1"/>
    <col min="15885" max="15885" width="17.85546875" customWidth="1"/>
    <col min="15889" max="15889" width="35" customWidth="1"/>
    <col min="15890" max="15890" width="10.140625" bestFit="1" customWidth="1"/>
    <col min="15891" max="15891" width="12.140625" bestFit="1" customWidth="1"/>
    <col min="15892" max="15892" width="12.140625" customWidth="1"/>
    <col min="15893" max="15893" width="52.42578125" bestFit="1" customWidth="1"/>
    <col min="16137" max="16137" width="18.85546875" customWidth="1"/>
    <col min="16138" max="16138" width="35.85546875" customWidth="1"/>
    <col min="16139" max="16139" width="36.42578125" customWidth="1"/>
    <col min="16140" max="16140" width="15.42578125" customWidth="1"/>
    <col min="16141" max="16141" width="17.85546875" customWidth="1"/>
    <col min="16145" max="16145" width="35" customWidth="1"/>
    <col min="16146" max="16146" width="10.140625" bestFit="1" customWidth="1"/>
    <col min="16147" max="16147" width="12.140625" bestFit="1" customWidth="1"/>
    <col min="16148" max="16148" width="12.140625" customWidth="1"/>
    <col min="16149" max="16149" width="52.42578125" bestFit="1" customWidth="1"/>
  </cols>
  <sheetData>
    <row r="1" spans="1:21" ht="19.5" thickBot="1">
      <c r="M1" s="224" t="s">
        <v>972</v>
      </c>
      <c r="P1" s="117" t="s">
        <v>337</v>
      </c>
      <c r="Q1" s="4" t="s">
        <v>338</v>
      </c>
      <c r="R1" s="4" t="s">
        <v>712</v>
      </c>
    </row>
    <row r="2" spans="1:21" ht="16.5" thickBot="1">
      <c r="A2" s="11" t="s">
        <v>335</v>
      </c>
      <c r="H2" s="13">
        <v>0.08</v>
      </c>
      <c r="I2" s="9">
        <v>0.69</v>
      </c>
      <c r="J2" s="9"/>
      <c r="M2" s="14"/>
      <c r="N2" s="4" t="s">
        <v>1003</v>
      </c>
      <c r="O2" s="4" t="s">
        <v>999</v>
      </c>
      <c r="P2" s="228">
        <f>P111*(1+R2)</f>
        <v>8239</v>
      </c>
      <c r="Q2" s="229">
        <f>((S111*(1+R2)))</f>
        <v>11684.400000000001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1029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.7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.7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999</v>
      </c>
      <c r="R13" s="461" t="s">
        <v>1025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981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971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968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969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970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.7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.7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1000</v>
      </c>
      <c r="P21" s="35" t="s">
        <v>1001</v>
      </c>
      <c r="Q21" s="211" t="s">
        <v>1028</v>
      </c>
      <c r="R21" s="35" t="s">
        <v>1025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998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.7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.7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1114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1115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.7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.7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1028</v>
      </c>
      <c r="R35" s="35" t="s">
        <v>1025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1088</v>
      </c>
      <c r="N37" s="210">
        <v>5175.75</v>
      </c>
      <c r="O37" s="209"/>
      <c r="P37" s="33">
        <f>ELEC!D7+ELEC!D8</f>
        <v>0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1116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.7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.7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1002</v>
      </c>
      <c r="R41" s="461" t="s">
        <v>999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985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1117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.7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.7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1002</v>
      </c>
      <c r="Q48" t="s">
        <v>1026</v>
      </c>
      <c r="R48" s="461" t="s">
        <v>1027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1078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1063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1064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1076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1077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.7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.7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986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1090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1118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1089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1119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.7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.7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1092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1091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1123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1124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1125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1126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1128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1127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1120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1127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1127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1121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1127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1122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1127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1127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1093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.7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.7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.7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.7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7700</v>
      </c>
      <c r="S111" s="231">
        <f>CEILING(S138,10)</f>
        <v>10920</v>
      </c>
      <c r="T111" s="335"/>
    </row>
    <row r="112" spans="1:20" ht="15.7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1.85HP Variable Pump</v>
      </c>
      <c r="N114" s="232">
        <f>VLOOKUP(M114,M14:S19,5,FALSE)</f>
        <v>1777.6000000000001</v>
      </c>
      <c r="O114" s="233">
        <f>'NEW POOL'!B113</f>
        <v>1</v>
      </c>
      <c r="P114" s="111">
        <f t="shared" ref="P114:P130" si="33">N114*O114</f>
        <v>1777.6000000000001</v>
      </c>
      <c r="Q114" s="232">
        <f>VLOOKUP(M114,M14:S19,7,FALSE)</f>
        <v>2540</v>
      </c>
      <c r="R114" s="35">
        <f t="shared" ref="R114:R131" si="34">O114</f>
        <v>1</v>
      </c>
      <c r="S114" s="239">
        <f t="shared" ref="S114:S133" si="35">Q114*R114</f>
        <v>2540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580 SQFT Cartridge Filter</v>
      </c>
      <c r="N117" s="236">
        <f>VLOOKUP(M117,M23:S28,2,FALSE)</f>
        <v>1493.5</v>
      </c>
      <c r="O117" s="238">
        <f>'NEW POOL'!B117</f>
        <v>1</v>
      </c>
      <c r="P117" s="240">
        <f t="shared" si="33"/>
        <v>1493.5</v>
      </c>
      <c r="Q117" s="236">
        <f>VLOOKUP(M117,M23:S28,7,FALSE)</f>
        <v>2133.5714285714289</v>
      </c>
      <c r="R117" s="241">
        <f t="shared" si="34"/>
        <v>1</v>
      </c>
      <c r="S117" s="242">
        <f t="shared" si="35"/>
        <v>2133.5714285714289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No Heater</v>
      </c>
      <c r="N119" s="236">
        <f>VLOOKUP(M119,M36:S39,2,FALSE)</f>
        <v>0</v>
      </c>
      <c r="O119" s="238">
        <f>R119</f>
        <v>0</v>
      </c>
      <c r="P119" s="240">
        <f t="shared" si="33"/>
        <v>0</v>
      </c>
      <c r="Q119" s="236">
        <f>VLOOKUP(M119,M36:S39,7,FALSE)</f>
        <v>0</v>
      </c>
      <c r="R119" s="241">
        <f>IF(Q119&gt;0,1,0)</f>
        <v>0</v>
      </c>
      <c r="S119" s="242">
        <f t="shared" si="35"/>
        <v>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2</v>
      </c>
      <c r="P121" s="111">
        <f t="shared" si="33"/>
        <v>1202</v>
      </c>
      <c r="Q121" s="232">
        <f>VLOOKUP(M121,M44:S45,7,FALSE)</f>
        <v>860</v>
      </c>
      <c r="R121" s="35">
        <f t="shared" si="34"/>
        <v>2</v>
      </c>
      <c r="S121" s="239">
        <f t="shared" si="35"/>
        <v>1720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No Additional Lights</v>
      </c>
      <c r="N122" s="236">
        <f>VLOOKUP(M122,M42:S43,2,FALSE)</f>
        <v>0</v>
      </c>
      <c r="O122" s="238">
        <f>'NEW POOL'!B125</f>
        <v>0</v>
      </c>
      <c r="P122" s="240">
        <f t="shared" si="33"/>
        <v>0</v>
      </c>
      <c r="Q122" s="236">
        <f>VLOOKUP(M122,M42:S43,7,FALSE)</f>
        <v>0</v>
      </c>
      <c r="R122" s="241">
        <f t="shared" si="34"/>
        <v>0</v>
      </c>
      <c r="S122" s="242">
        <f t="shared" si="35"/>
        <v>0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 System - Jandy Tru-Clear</v>
      </c>
      <c r="N124" s="236">
        <f>VLOOKUP(M124,M49:S57,2,FALSE)</f>
        <v>1150</v>
      </c>
      <c r="O124" s="238">
        <f>'NEW POOL'!B127</f>
        <v>1</v>
      </c>
      <c r="P124" s="240">
        <f t="shared" si="33"/>
        <v>1150</v>
      </c>
      <c r="Q124" s="236">
        <f>VLOOKUP(M124,M49:S57,7,FALSE)</f>
        <v>1645</v>
      </c>
      <c r="R124" s="241">
        <f t="shared" si="34"/>
        <v>1</v>
      </c>
      <c r="S124" s="242">
        <f t="shared" si="35"/>
        <v>1645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Jandy TCX Controler (1 JVA, Lights and Heater Control)</v>
      </c>
      <c r="N127" s="232">
        <f>VLOOKUP(M127,M63:S72,6,FALSE)</f>
        <v>913.33333333333337</v>
      </c>
      <c r="O127" s="233">
        <f>'NEW POOL'!B131</f>
        <v>1</v>
      </c>
      <c r="P127" s="111">
        <f t="shared" si="33"/>
        <v>913.33333333333337</v>
      </c>
      <c r="Q127" s="232">
        <f>VLOOKUP(M127,M63:S72,7,FALSE)</f>
        <v>1217.7777777777778</v>
      </c>
      <c r="R127" s="35">
        <f t="shared" si="34"/>
        <v>1</v>
      </c>
      <c r="S127" s="239">
        <f t="shared" si="35"/>
        <v>1217.7777777777778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.7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0</v>
      </c>
      <c r="O135" s="415">
        <f>IF('NEW POOL'!B18=1,3,0)</f>
        <v>0</v>
      </c>
      <c r="P135" s="111">
        <f>N135*O135</f>
        <v>0</v>
      </c>
      <c r="Q135" s="232">
        <f>P135/0.7</f>
        <v>0</v>
      </c>
      <c r="R135" s="119">
        <f>O135</f>
        <v>0</v>
      </c>
      <c r="S135" s="239">
        <f>Q135*R135</f>
        <v>0</v>
      </c>
      <c r="T135" s="276"/>
      <c r="W135" s="38"/>
    </row>
    <row r="136" spans="1:23" ht="15.7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7700</v>
      </c>
      <c r="S136" s="334">
        <f>S111</f>
        <v>10920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7699.1333333333332</v>
      </c>
      <c r="S138" s="60">
        <f>SUM(S113:S135)</f>
        <v>10917.349206349205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9533</v>
      </c>
      <c r="O141" s="60">
        <f>N11+S17+S24+S45+S45</f>
        <v>7943</v>
      </c>
      <c r="P141" s="59">
        <f>IF(N141&gt;O141,N141-O141,0)</f>
        <v>1590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76</v>
      </c>
      <c r="D5" s="30">
        <f>B5*C5</f>
        <v>38</v>
      </c>
    </row>
    <row r="6" spans="1:10">
      <c r="A6" s="110" t="s">
        <v>476</v>
      </c>
      <c r="B6" s="67">
        <v>100</v>
      </c>
      <c r="C6" s="35">
        <f>EXC!C27</f>
        <v>0</v>
      </c>
      <c r="D6" s="137">
        <f>B6*C6</f>
        <v>0</v>
      </c>
    </row>
    <row r="7" spans="1:10">
      <c r="A7" s="110" t="s">
        <v>489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/>
      <c r="B10" s="3"/>
      <c r="D10" s="107">
        <f>SUM(D4:D9)</f>
        <v>738</v>
      </c>
      <c r="I10"/>
      <c r="J10"/>
    </row>
    <row r="12" spans="1:10">
      <c r="A12" t="s">
        <v>1033</v>
      </c>
      <c r="B12" s="475">
        <v>350</v>
      </c>
    </row>
    <row r="13" spans="1:10">
      <c r="A13" t="s">
        <v>1034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activeCell="B23" sqref="B23"/>
    </sheetView>
  </sheetViews>
  <sheetFormatPr defaultRowHeight="15"/>
  <cols>
    <col min="1" max="1" width="4.85546875" customWidth="1"/>
    <col min="2" max="2" width="19" style="4" customWidth="1"/>
    <col min="3" max="12" width="11.42578125" customWidth="1"/>
    <col min="13" max="13" width="13.42578125" bestFit="1" customWidth="1"/>
    <col min="14" max="15" width="11.42578125" customWidth="1"/>
    <col min="16" max="16" width="19" style="4" customWidth="1"/>
    <col min="17" max="17" width="13.85546875" customWidth="1"/>
    <col min="18" max="27" width="10.14062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956</v>
      </c>
      <c r="I2" s="249" t="s">
        <v>957</v>
      </c>
      <c r="J2" s="249" t="s">
        <v>958</v>
      </c>
      <c r="K2" s="249" t="s">
        <v>959</v>
      </c>
      <c r="L2" s="249" t="s">
        <v>960</v>
      </c>
      <c r="M2" s="249" t="s">
        <v>961</v>
      </c>
      <c r="N2" s="249" t="s">
        <v>962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1094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5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5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5" customHeight="1">
      <c r="A6" s="656"/>
      <c r="B6" s="237" t="s">
        <v>1081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5" customHeight="1">
      <c r="A7" s="656"/>
      <c r="B7" s="237" t="s">
        <v>1080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5" customHeight="1">
      <c r="A8" s="656"/>
      <c r="B8" s="237" t="s">
        <v>1079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5" customHeight="1" thickBot="1">
      <c r="A9" s="657"/>
      <c r="B9" s="237" t="s">
        <v>1082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5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5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5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1083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1085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.75" thickBot="1">
      <c r="A18" s="654"/>
      <c r="B18" s="235" t="s">
        <v>1084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.7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5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5" customHeight="1">
      <c r="A21" s="659"/>
      <c r="B21" s="237" t="s">
        <v>940</v>
      </c>
      <c r="C21" s="250">
        <v>28150</v>
      </c>
      <c r="D21" s="250">
        <v>28150</v>
      </c>
      <c r="E21" s="250">
        <v>28150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Genesis</v>
      </c>
      <c r="Q21" s="254">
        <f>E21</f>
        <v>28150</v>
      </c>
      <c r="R21" s="254">
        <f t="shared" ref="R21:R29" si="17">$C$64</f>
        <v>1200</v>
      </c>
      <c r="S21" s="254">
        <f>S18</f>
        <v>0</v>
      </c>
      <c r="T21" s="255">
        <f>SUM(Q21:S21)</f>
        <v>29350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43760</v>
      </c>
      <c r="Z21" s="330">
        <f>VLOOKUP('NEW POOL'!A$23,FIBER!B$20:M$30,6,FALSE)</f>
        <v>0</v>
      </c>
    </row>
    <row r="22" spans="1:26">
      <c r="A22" s="659"/>
      <c r="B22" s="237" t="s">
        <v>1139</v>
      </c>
      <c r="C22" s="250">
        <v>31100</v>
      </c>
      <c r="D22" s="250">
        <v>31100</v>
      </c>
      <c r="E22" s="250">
        <v>31100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Monaco</v>
      </c>
      <c r="Q22" s="254">
        <f t="shared" ref="Q22:Q30" si="22">E22</f>
        <v>31100</v>
      </c>
      <c r="R22" s="254">
        <f t="shared" si="17"/>
        <v>1200</v>
      </c>
      <c r="S22" s="254">
        <f>S21</f>
        <v>0</v>
      </c>
      <c r="T22" s="255">
        <f t="shared" ref="T22:T30" si="23">SUM(Q22:S22)</f>
        <v>32300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46710</v>
      </c>
      <c r="Z22" s="330">
        <f>VLOOKUP('NEW POOL'!A$23,FIBER!B$20:M$30,7,FALSE)</f>
        <v>0</v>
      </c>
    </row>
    <row r="23" spans="1:26">
      <c r="A23" s="659"/>
      <c r="B23" s="237" t="s">
        <v>950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951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952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1096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953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1095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954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.75" thickBot="1">
      <c r="A30" s="660"/>
      <c r="B30" s="263" t="s">
        <v>955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.7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1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.7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0</v>
      </c>
      <c r="G34" s="256">
        <f>C34*F34</f>
        <v>0</v>
      </c>
      <c r="H34" s="276"/>
      <c r="I34" s="116"/>
      <c r="K34" s="429"/>
      <c r="M34" s="391"/>
      <c r="N34" s="392"/>
      <c r="O34" s="276"/>
    </row>
    <row r="35" spans="1:16" ht="15.7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5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5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.7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.7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.7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1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.7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.7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.7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.7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.7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1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.7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.7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1072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.7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B16" sqref="B16"/>
    </sheetView>
  </sheetViews>
  <sheetFormatPr defaultRowHeight="15"/>
  <cols>
    <col min="1" max="1" width="20.8554687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  <col min="10" max="10" width="10.42578125" customWidth="1"/>
    <col min="11" max="11" width="13.140625" customWidth="1"/>
    <col min="13" max="13" width="10.140625" bestFit="1" customWidth="1"/>
    <col min="16" max="16" width="12" customWidth="1"/>
  </cols>
  <sheetData>
    <row r="1" spans="1:16" ht="19.5" thickBot="1">
      <c r="A1" s="631" t="s">
        <v>936</v>
      </c>
      <c r="B1" s="632"/>
      <c r="C1" s="632"/>
      <c r="D1" s="633"/>
    </row>
    <row r="3" spans="1:16" ht="18.75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.75" thickBot="1">
      <c r="A8"/>
      <c r="B8"/>
      <c r="D8"/>
      <c r="I8"/>
      <c r="J8"/>
    </row>
    <row r="9" spans="1:16" s="4" customFormat="1" ht="15.75" thickBot="1">
      <c r="A9" s="106" t="s">
        <v>760</v>
      </c>
      <c r="B9" s="3"/>
      <c r="D9" s="107">
        <f>SUM(D5:D8)</f>
        <v>1000</v>
      </c>
      <c r="I9"/>
      <c r="J9"/>
    </row>
    <row r="11" spans="1:16" ht="18.75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1061</v>
      </c>
      <c r="K12" s="4" t="s">
        <v>571</v>
      </c>
      <c r="M12" s="667" t="s">
        <v>1062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0</v>
      </c>
      <c r="D13" s="30">
        <f>K13</f>
        <v>0</v>
      </c>
      <c r="F13" s="4">
        <f>IF('NEW POOL'!B104&gt;0,1,0)</f>
        <v>0</v>
      </c>
      <c r="G13" s="5">
        <f>'NEW POOL'!B104</f>
        <v>0</v>
      </c>
      <c r="H13" s="4">
        <f>IF(G13&lt;11,0,G13-$O$13)</f>
        <v>0</v>
      </c>
      <c r="I13" s="276">
        <f>F13*$M$13</f>
        <v>0</v>
      </c>
      <c r="J13" s="276">
        <f>H13*$M$14</f>
        <v>0</v>
      </c>
      <c r="K13" s="276">
        <f>I13+J13</f>
        <v>0</v>
      </c>
      <c r="M13" s="187">
        <v>150</v>
      </c>
      <c r="N13" t="s">
        <v>3</v>
      </c>
      <c r="O13" s="480">
        <v>10</v>
      </c>
      <c r="P13" t="s">
        <v>1060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.75" thickBot="1"/>
    <row r="18" spans="1:11" ht="15.75" thickBot="1">
      <c r="A18" s="106" t="s">
        <v>760</v>
      </c>
      <c r="B18" s="3"/>
      <c r="D18" s="107">
        <f>SUM(D13:D15)</f>
        <v>0</v>
      </c>
      <c r="I18" s="4"/>
      <c r="J18" s="4"/>
      <c r="K18" s="4"/>
    </row>
    <row r="20" spans="1:11" ht="18.75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1</v>
      </c>
      <c r="D23" s="30">
        <f>B23*C23</f>
        <v>490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John Piotrowski</cp:lastModifiedBy>
  <cp:lastPrinted>2025-08-19T15:57:13Z</cp:lastPrinted>
  <dcterms:created xsi:type="dcterms:W3CDTF">2019-04-04T17:36:02Z</dcterms:created>
  <dcterms:modified xsi:type="dcterms:W3CDTF">2025-10-29T20:19:12Z</dcterms:modified>
</cp:coreProperties>
</file>