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dev\Submerge\docs\Excel Sheet\"/>
    </mc:Choice>
  </mc:AlternateContent>
  <xr:revisionPtr revIDLastSave="0" documentId="13_ncr:1_{6ED5A159-4157-4CB3-85FF-DA80356A347B}" xr6:coauthVersionLast="47" xr6:coauthVersionMax="47" xr10:uidLastSave="{00000000-0000-0000-0000-000000000000}"/>
  <bookViews>
    <workbookView xWindow="-108" yWindow="-108" windowWidth="30936" windowHeight="17496" activeTab="3" xr2:uid="{6E61877A-0A69-45F3-A9A4-B6B7A521CA23}"/>
  </bookViews>
  <sheets>
    <sheet name="NEW POOL" sheetId="6" r:id="rId1"/>
    <sheet name="CUSTOM" sheetId="20" r:id="rId2"/>
    <sheet name="PROPOSAL" sheetId="4" r:id="rId3"/>
    <sheet name="COST - NEW" sheetId="7" r:id="rId4"/>
    <sheet name="SUMMARY - NEW" sheetId="17" r:id="rId5"/>
    <sheet name="OTHER" sheetId="18" r:id="rId6"/>
    <sheet name="BILLING" sheetId="25" r:id="rId7"/>
    <sheet name="PLANS" sheetId="16" r:id="rId8"/>
    <sheet name="EXC" sheetId="5" r:id="rId9"/>
    <sheet name="PLUM" sheetId="8" r:id="rId10"/>
    <sheet name="STEEL" sheetId="10" r:id="rId11"/>
    <sheet name="ELEC" sheetId="11" r:id="rId12"/>
    <sheet name="SHOT" sheetId="12" r:id="rId13"/>
    <sheet name="TILE COPING" sheetId="15" r:id="rId14"/>
    <sheet name="MASONRY" sheetId="31" r:id="rId15"/>
    <sheet name="DEMO" sheetId="30" r:id="rId16"/>
    <sheet name="INT" sheetId="13" r:id="rId17"/>
    <sheet name="REMODEL" sheetId="27" state="hidden" r:id="rId18"/>
    <sheet name="COST - REMODEL" sheetId="28" state="hidden" r:id="rId19"/>
    <sheet name="SUMMARY - REMODEL" sheetId="29" state="hidden" r:id="rId20"/>
    <sheet name="EQUIP" sheetId="2" r:id="rId21"/>
    <sheet name="CLEAN" sheetId="14" r:id="rId22"/>
    <sheet name="FIBER" sheetId="22" r:id="rId23"/>
    <sheet name="MISC" sheetId="24" r:id="rId24"/>
  </sheets>
  <definedNames>
    <definedName name="_xlnm.Print_Area" localSheetId="5">OTHER!$A$1:$D$59</definedName>
    <definedName name="_xlnm.Print_Area" localSheetId="4">'SUMMARY - NEW'!$A$1:$D$71</definedName>
    <definedName name="_xlnm.Print_Area" localSheetId="19">'SUMMARY - REMODEL'!$A$1:$D$65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2" i="7" l="1"/>
  <c r="B290" i="7"/>
  <c r="B287" i="7"/>
  <c r="B285" i="7"/>
  <c r="B286" i="7"/>
  <c r="D286" i="7" s="1"/>
  <c r="D285" i="7"/>
  <c r="D290" i="7"/>
  <c r="D291" i="7"/>
  <c r="C22" i="13"/>
  <c r="D11" i="22"/>
  <c r="H11" i="22"/>
  <c r="I11" i="22"/>
  <c r="J11" i="22"/>
  <c r="K11" i="22"/>
  <c r="L11" i="22"/>
  <c r="M11" i="22"/>
  <c r="P11" i="22"/>
  <c r="F11" i="22" s="1"/>
  <c r="Q11" i="22"/>
  <c r="T11" i="22"/>
  <c r="X11" i="22" s="1"/>
  <c r="D12" i="22"/>
  <c r="P12" i="22"/>
  <c r="F12" i="22" s="1"/>
  <c r="Q12" i="22"/>
  <c r="R12" i="22"/>
  <c r="U12" i="22"/>
  <c r="V12" i="22"/>
  <c r="W12" i="22"/>
  <c r="D13" i="22"/>
  <c r="P13" i="22"/>
  <c r="F13" i="22" s="1"/>
  <c r="Q13" i="22"/>
  <c r="R13" i="22"/>
  <c r="U13" i="22"/>
  <c r="V13" i="22"/>
  <c r="W13" i="22"/>
  <c r="Z13" i="22"/>
  <c r="D14" i="22"/>
  <c r="P14" i="22"/>
  <c r="F14" i="22" s="1"/>
  <c r="O14" i="22" s="1"/>
  <c r="Q14" i="22"/>
  <c r="R14" i="22"/>
  <c r="U14" i="22"/>
  <c r="V14" i="22"/>
  <c r="W14" i="22"/>
  <c r="Z14" i="22"/>
  <c r="D15" i="22"/>
  <c r="P15" i="22"/>
  <c r="F15" i="22" s="1"/>
  <c r="Q15" i="22"/>
  <c r="R15" i="22"/>
  <c r="U15" i="22"/>
  <c r="V15" i="22"/>
  <c r="W15" i="22"/>
  <c r="Z15" i="22"/>
  <c r="D16" i="22"/>
  <c r="P16" i="22"/>
  <c r="F16" i="22" s="1"/>
  <c r="Q16" i="22"/>
  <c r="R16" i="22"/>
  <c r="U16" i="22"/>
  <c r="V16" i="22"/>
  <c r="W16" i="22"/>
  <c r="P17" i="22"/>
  <c r="F17" i="22" s="1"/>
  <c r="Q17" i="22"/>
  <c r="R17" i="22"/>
  <c r="U17" i="22"/>
  <c r="V17" i="22"/>
  <c r="W17" i="22"/>
  <c r="D18" i="22"/>
  <c r="P18" i="22"/>
  <c r="F18" i="22" s="1"/>
  <c r="Q18" i="22"/>
  <c r="R18" i="22"/>
  <c r="U18" i="22"/>
  <c r="V18" i="22"/>
  <c r="W18" i="22"/>
  <c r="Z18" i="22"/>
  <c r="F329" i="7"/>
  <c r="D329" i="7"/>
  <c r="A116" i="4"/>
  <c r="G17" i="22" l="1"/>
  <c r="O17" i="22"/>
  <c r="G15" i="22"/>
  <c r="O15" i="22"/>
  <c r="O18" i="22"/>
  <c r="G18" i="22"/>
  <c r="O13" i="22"/>
  <c r="G13" i="22"/>
  <c r="G12" i="22"/>
  <c r="O12" i="22"/>
  <c r="G11" i="22"/>
  <c r="Z12" i="22" s="1"/>
  <c r="Z11" i="22"/>
  <c r="O11" i="22"/>
  <c r="O16" i="22"/>
  <c r="G16" i="22"/>
  <c r="G14" i="22"/>
  <c r="A44" i="4"/>
  <c r="S39" i="2"/>
  <c r="B17" i="8"/>
  <c r="R69" i="2"/>
  <c r="R44" i="2"/>
  <c r="S44" i="2"/>
  <c r="B17" i="6"/>
  <c r="B26" i="15"/>
  <c r="E137" i="4"/>
  <c r="F128" i="4"/>
  <c r="E154" i="4"/>
  <c r="C19" i="10"/>
  <c r="G14" i="24"/>
  <c r="C14" i="24" s="1"/>
  <c r="G15" i="24"/>
  <c r="H15" i="24" s="1"/>
  <c r="J15" i="24" s="1"/>
  <c r="G16" i="24"/>
  <c r="H16" i="24" s="1"/>
  <c r="J16" i="24" s="1"/>
  <c r="G13" i="24"/>
  <c r="C13" i="24" s="1"/>
  <c r="A14" i="24"/>
  <c r="A15" i="24"/>
  <c r="A16" i="24"/>
  <c r="A13" i="24"/>
  <c r="E131" i="6"/>
  <c r="E125" i="6"/>
  <c r="E122" i="6"/>
  <c r="B187" i="7"/>
  <c r="A187" i="7"/>
  <c r="C30" i="15"/>
  <c r="C187" i="7" s="1"/>
  <c r="C276" i="28"/>
  <c r="F34" i="15"/>
  <c r="I18" i="8"/>
  <c r="I19" i="8"/>
  <c r="I20" i="8"/>
  <c r="I17" i="8"/>
  <c r="H18" i="8"/>
  <c r="H19" i="8"/>
  <c r="H20" i="8"/>
  <c r="H17" i="8"/>
  <c r="C18" i="8"/>
  <c r="C19" i="8"/>
  <c r="C20" i="8"/>
  <c r="C17" i="8"/>
  <c r="B19" i="8"/>
  <c r="B20" i="8" s="1"/>
  <c r="B18" i="8"/>
  <c r="A60" i="7"/>
  <c r="A61" i="7"/>
  <c r="A62" i="7"/>
  <c r="A59" i="7"/>
  <c r="B68" i="7"/>
  <c r="C68" i="7"/>
  <c r="D68" i="7"/>
  <c r="A68" i="7"/>
  <c r="A143" i="4"/>
  <c r="C233" i="7"/>
  <c r="A233" i="7"/>
  <c r="B233" i="7" s="1"/>
  <c r="E6" i="31"/>
  <c r="B16" i="31"/>
  <c r="D16" i="31" s="1"/>
  <c r="B15" i="31"/>
  <c r="D15" i="31" s="1"/>
  <c r="B14" i="31"/>
  <c r="D14" i="31" s="1"/>
  <c r="B13" i="31"/>
  <c r="D13" i="31" s="1"/>
  <c r="B12" i="31"/>
  <c r="B11" i="31"/>
  <c r="B10" i="31"/>
  <c r="D10" i="31"/>
  <c r="D6" i="31"/>
  <c r="C15" i="31"/>
  <c r="C16" i="31" s="1"/>
  <c r="C17" i="31" s="1"/>
  <c r="C11" i="31"/>
  <c r="C12" i="31" s="1"/>
  <c r="C13" i="31" s="1"/>
  <c r="C8" i="31"/>
  <c r="C9" i="31" s="1"/>
  <c r="D9" i="31" s="1"/>
  <c r="C7" i="31"/>
  <c r="D7" i="31" s="1"/>
  <c r="H13" i="24" l="1"/>
  <c r="J13" i="24" s="1"/>
  <c r="C16" i="24"/>
  <c r="C15" i="24"/>
  <c r="H14" i="24"/>
  <c r="J14" i="24" s="1"/>
  <c r="D30" i="15"/>
  <c r="D187" i="7" s="1"/>
  <c r="J18" i="8"/>
  <c r="K18" i="8" s="1"/>
  <c r="D18" i="8" s="1"/>
  <c r="D60" i="7" s="1"/>
  <c r="J20" i="8"/>
  <c r="K20" i="8" s="1"/>
  <c r="D20" i="8" s="1"/>
  <c r="D62" i="7" s="1"/>
  <c r="J19" i="8"/>
  <c r="K19" i="8" s="1"/>
  <c r="D19" i="8" s="1"/>
  <c r="D61" i="7" s="1"/>
  <c r="J17" i="8"/>
  <c r="D8" i="31"/>
  <c r="B17" i="31"/>
  <c r="D17" i="31" s="1"/>
  <c r="F6" i="31"/>
  <c r="D11" i="31"/>
  <c r="D12" i="31"/>
  <c r="E7" i="31"/>
  <c r="K17" i="8" l="1"/>
  <c r="D17" i="8" s="1"/>
  <c r="D59" i="7" s="1"/>
  <c r="F7" i="31"/>
  <c r="E8" i="31"/>
  <c r="E9" i="31" l="1"/>
  <c r="F8" i="31"/>
  <c r="E10" i="31" l="1"/>
  <c r="F9" i="31"/>
  <c r="E11" i="31" l="1"/>
  <c r="F10" i="31"/>
  <c r="E12" i="31" l="1"/>
  <c r="F11" i="31"/>
  <c r="E13" i="31" l="1"/>
  <c r="F12" i="31"/>
  <c r="E14" i="31" l="1"/>
  <c r="F13" i="31"/>
  <c r="E15" i="31" l="1"/>
  <c r="F14" i="31"/>
  <c r="E16" i="31" l="1"/>
  <c r="F15" i="31"/>
  <c r="E17" i="31" l="1"/>
  <c r="F17" i="31" s="1"/>
  <c r="F16" i="31"/>
  <c r="D233" i="7" s="1"/>
  <c r="E233" i="7" l="1"/>
  <c r="B143" i="4" s="1"/>
  <c r="D235" i="7"/>
  <c r="D270" i="28"/>
  <c r="D271" i="28"/>
  <c r="D269" i="28"/>
  <c r="C270" i="28"/>
  <c r="C269" i="28" s="1"/>
  <c r="E270" i="28"/>
  <c r="B270" i="28"/>
  <c r="B269" i="28"/>
  <c r="C271" i="28"/>
  <c r="B261" i="28"/>
  <c r="C264" i="28"/>
  <c r="B262" i="28"/>
  <c r="B263" i="28"/>
  <c r="B260" i="28"/>
  <c r="Q38" i="2"/>
  <c r="R38" i="2" s="1"/>
  <c r="C78" i="27" s="1"/>
  <c r="Q37" i="2"/>
  <c r="R37" i="2" s="1"/>
  <c r="Q24" i="2"/>
  <c r="R24" i="2" s="1"/>
  <c r="Q25" i="2"/>
  <c r="R25" i="2" s="1"/>
  <c r="Q26" i="2"/>
  <c r="R26" i="2" s="1"/>
  <c r="Q27" i="2"/>
  <c r="R27" i="2" s="1"/>
  <c r="Q28" i="2"/>
  <c r="R28" i="2" s="1"/>
  <c r="Q23" i="2"/>
  <c r="R23" i="2" s="1"/>
  <c r="C74" i="27"/>
  <c r="C71" i="27"/>
  <c r="C72" i="27"/>
  <c r="C70" i="27"/>
  <c r="R15" i="2"/>
  <c r="D243" i="28"/>
  <c r="Q52" i="2"/>
  <c r="Q53" i="2"/>
  <c r="Q54" i="2"/>
  <c r="Q55" i="2"/>
  <c r="Q56" i="2"/>
  <c r="Q57" i="2"/>
  <c r="Q51" i="2"/>
  <c r="Q50" i="2"/>
  <c r="R50" i="2"/>
  <c r="A246" i="28"/>
  <c r="B246" i="28" s="1"/>
  <c r="A247" i="28"/>
  <c r="B247" i="28" s="1"/>
  <c r="A245" i="28"/>
  <c r="B245" i="28" s="1"/>
  <c r="C242" i="28"/>
  <c r="B242" i="28" s="1"/>
  <c r="D242" i="28" s="1"/>
  <c r="B78" i="27"/>
  <c r="C241" i="28" s="1"/>
  <c r="Q39" i="2"/>
  <c r="R39" i="2" s="1"/>
  <c r="C79" i="27" s="1"/>
  <c r="Q16" i="2"/>
  <c r="Q17" i="2"/>
  <c r="Q18" i="2"/>
  <c r="Q19" i="2"/>
  <c r="Q15" i="2"/>
  <c r="A241" i="28"/>
  <c r="B241" i="28" s="1"/>
  <c r="A240" i="28"/>
  <c r="B240" i="28" s="1"/>
  <c r="A239" i="28"/>
  <c r="B239" i="28" s="1"/>
  <c r="A238" i="28"/>
  <c r="B238" i="28" s="1"/>
  <c r="A237" i="28"/>
  <c r="B237" i="28" s="1"/>
  <c r="A236" i="28"/>
  <c r="B236" i="28" s="1"/>
  <c r="C188" i="28"/>
  <c r="C189" i="28"/>
  <c r="B189" i="28"/>
  <c r="B30" i="28"/>
  <c r="B39" i="27"/>
  <c r="B74" i="27"/>
  <c r="C239" i="28" s="1"/>
  <c r="B70" i="27"/>
  <c r="C236" i="28" s="1"/>
  <c r="C199" i="28"/>
  <c r="C197" i="28"/>
  <c r="C195" i="28"/>
  <c r="G27" i="15"/>
  <c r="J23" i="15"/>
  <c r="J22" i="15"/>
  <c r="I22" i="15"/>
  <c r="I23" i="15"/>
  <c r="I21" i="15"/>
  <c r="F23" i="15"/>
  <c r="F22" i="15"/>
  <c r="F21" i="15"/>
  <c r="C157" i="28"/>
  <c r="B156" i="28"/>
  <c r="B157" i="28" s="1"/>
  <c r="B155" i="28"/>
  <c r="K20" i="15"/>
  <c r="B17" i="27"/>
  <c r="D6" i="30" s="1"/>
  <c r="K18" i="15"/>
  <c r="C155" i="28"/>
  <c r="B28" i="28"/>
  <c r="A28" i="28"/>
  <c r="C6" i="30"/>
  <c r="B29" i="28"/>
  <c r="A29" i="28"/>
  <c r="C7" i="30"/>
  <c r="C29" i="28" s="1"/>
  <c r="C283" i="28"/>
  <c r="C277" i="28"/>
  <c r="A276" i="28"/>
  <c r="C284" i="28"/>
  <c r="C281" i="28"/>
  <c r="A27" i="28"/>
  <c r="B27" i="28"/>
  <c r="B26" i="28"/>
  <c r="A26" i="28"/>
  <c r="C5" i="30"/>
  <c r="E23" i="13"/>
  <c r="D4" i="30" s="1"/>
  <c r="C263" i="28" l="1"/>
  <c r="C261" i="28"/>
  <c r="D261" i="28" s="1"/>
  <c r="D189" i="28"/>
  <c r="D241" i="28"/>
  <c r="D236" i="28"/>
  <c r="D239" i="28"/>
  <c r="D155" i="28"/>
  <c r="C30" i="28"/>
  <c r="D30" i="28" s="1"/>
  <c r="G26" i="15"/>
  <c r="C182" i="28" s="1"/>
  <c r="D157" i="28"/>
  <c r="C169" i="28"/>
  <c r="C170" i="28"/>
  <c r="C163" i="28"/>
  <c r="C187" i="28"/>
  <c r="C186" i="28"/>
  <c r="C185" i="28"/>
  <c r="C184" i="28"/>
  <c r="C183" i="28"/>
  <c r="C158" i="28"/>
  <c r="C164" i="28"/>
  <c r="C156" i="28"/>
  <c r="D156" i="28" s="1"/>
  <c r="E6" i="30"/>
  <c r="D28" i="28" s="1"/>
  <c r="K19" i="15"/>
  <c r="C194" i="28" s="1"/>
  <c r="C28" i="28"/>
  <c r="E7" i="30"/>
  <c r="D29" i="28" s="1"/>
  <c r="C4" i="30"/>
  <c r="C26" i="28" s="1"/>
  <c r="D5" i="30"/>
  <c r="C196" i="28" l="1"/>
  <c r="C166" i="28"/>
  <c r="C167" i="28"/>
  <c r="C193" i="28"/>
  <c r="C198" i="28"/>
  <c r="C171" i="28"/>
  <c r="E5" i="30"/>
  <c r="D27" i="28" s="1"/>
  <c r="C27" i="28"/>
  <c r="E4" i="30"/>
  <c r="D26" i="28" s="1"/>
  <c r="D32" i="28" l="1"/>
  <c r="E11" i="30"/>
  <c r="D21" i="29"/>
  <c r="D19" i="29"/>
  <c r="D15" i="29"/>
  <c r="D13" i="29"/>
  <c r="O10" i="2"/>
  <c r="O6" i="2"/>
  <c r="O3" i="2" s="1"/>
  <c r="B234" i="28" s="1"/>
  <c r="N7" i="2"/>
  <c r="N8" i="2"/>
  <c r="P56" i="2"/>
  <c r="P57" i="2" s="1"/>
  <c r="P52" i="2"/>
  <c r="P53" i="2" s="1"/>
  <c r="C81" i="27"/>
  <c r="P45" i="2"/>
  <c r="P24" i="2"/>
  <c r="P23" i="2"/>
  <c r="S22" i="2"/>
  <c r="A63" i="29"/>
  <c r="A61" i="29"/>
  <c r="A59" i="29"/>
  <c r="A57" i="29"/>
  <c r="A55" i="29"/>
  <c r="A53" i="29"/>
  <c r="A51" i="29"/>
  <c r="A49" i="29"/>
  <c r="B3" i="29"/>
  <c r="E342" i="28"/>
  <c r="H337" i="28"/>
  <c r="A331" i="28"/>
  <c r="A330" i="28"/>
  <c r="A329" i="28"/>
  <c r="A328" i="28"/>
  <c r="A327" i="28"/>
  <c r="A326" i="28"/>
  <c r="A325" i="28"/>
  <c r="A324" i="28"/>
  <c r="C319" i="28"/>
  <c r="B319" i="28"/>
  <c r="A319" i="28"/>
  <c r="B318" i="28"/>
  <c r="A318" i="28"/>
  <c r="B317" i="28"/>
  <c r="A317" i="28"/>
  <c r="A310" i="28"/>
  <c r="B302" i="28"/>
  <c r="C300" i="28"/>
  <c r="A300" i="28"/>
  <c r="A299" i="28"/>
  <c r="A298" i="28"/>
  <c r="A297" i="28"/>
  <c r="C296" i="28"/>
  <c r="A296" i="28"/>
  <c r="A295" i="28"/>
  <c r="C290" i="28"/>
  <c r="B289" i="28"/>
  <c r="B290" i="28" s="1"/>
  <c r="B284" i="28"/>
  <c r="B283" i="28"/>
  <c r="D282" i="28"/>
  <c r="B281" i="28"/>
  <c r="D281" i="28" s="1"/>
  <c r="A281" i="28"/>
  <c r="B279" i="28"/>
  <c r="B278" i="28"/>
  <c r="D278" i="28" s="1"/>
  <c r="B271" i="28"/>
  <c r="A271" i="28"/>
  <c r="B264" i="28"/>
  <c r="D264" i="28" s="1"/>
  <c r="A264" i="28"/>
  <c r="A263" i="28"/>
  <c r="A255" i="28"/>
  <c r="A254" i="28"/>
  <c r="A242" i="28"/>
  <c r="C235" i="28"/>
  <c r="C234" i="28"/>
  <c r="A234" i="28"/>
  <c r="B224" i="28"/>
  <c r="A224" i="28"/>
  <c r="A223" i="28"/>
  <c r="A222" i="28"/>
  <c r="B221" i="28"/>
  <c r="A221" i="28"/>
  <c r="B218" i="28"/>
  <c r="A218" i="28"/>
  <c r="B217" i="28"/>
  <c r="A217" i="28"/>
  <c r="B216" i="28"/>
  <c r="A216" i="28"/>
  <c r="B215" i="28"/>
  <c r="A215" i="28"/>
  <c r="B202" i="28"/>
  <c r="A202" i="28"/>
  <c r="B201" i="28"/>
  <c r="A201" i="28"/>
  <c r="B200" i="28"/>
  <c r="A200" i="28"/>
  <c r="A199" i="28"/>
  <c r="A198" i="28"/>
  <c r="B197" i="28"/>
  <c r="D197" i="28" s="1"/>
  <c r="A197" i="28"/>
  <c r="A196" i="28"/>
  <c r="A195" i="28"/>
  <c r="A194" i="28"/>
  <c r="B193" i="28"/>
  <c r="D193" i="28" s="1"/>
  <c r="B188" i="28"/>
  <c r="A188" i="28"/>
  <c r="B187" i="28"/>
  <c r="D187" i="28" s="1"/>
  <c r="A187" i="28"/>
  <c r="A186" i="28"/>
  <c r="A185" i="28"/>
  <c r="B184" i="28"/>
  <c r="D184" i="28" s="1"/>
  <c r="A184" i="28"/>
  <c r="B183" i="28"/>
  <c r="D183" i="28" s="1"/>
  <c r="A183" i="28"/>
  <c r="B182" i="28"/>
  <c r="D182" i="28" s="1"/>
  <c r="A182" i="28"/>
  <c r="B171" i="28"/>
  <c r="D171" i="28" s="1"/>
  <c r="A171" i="28"/>
  <c r="A170" i="28"/>
  <c r="A169" i="28"/>
  <c r="A168" i="28"/>
  <c r="A167" i="28"/>
  <c r="A166" i="28"/>
  <c r="A165" i="28"/>
  <c r="A164" i="28"/>
  <c r="A163" i="28"/>
  <c r="A162" i="28"/>
  <c r="B158" i="28"/>
  <c r="D158" i="28" s="1"/>
  <c r="A158" i="28"/>
  <c r="A157" i="28"/>
  <c r="A156" i="28"/>
  <c r="A155" i="28"/>
  <c r="B144" i="28"/>
  <c r="A144" i="28"/>
  <c r="B143" i="28"/>
  <c r="A143" i="28"/>
  <c r="B142" i="28"/>
  <c r="A142" i="28"/>
  <c r="D141" i="28"/>
  <c r="C141" i="28"/>
  <c r="B141" i="28"/>
  <c r="A141" i="28"/>
  <c r="B140" i="28"/>
  <c r="A140" i="28"/>
  <c r="A139" i="28"/>
  <c r="C138" i="28"/>
  <c r="B138" i="28"/>
  <c r="A138" i="28"/>
  <c r="B137" i="28"/>
  <c r="B133" i="28"/>
  <c r="A133" i="28"/>
  <c r="B132" i="28"/>
  <c r="A132" i="28"/>
  <c r="B131" i="28"/>
  <c r="A131" i="28"/>
  <c r="B130" i="28"/>
  <c r="A130" i="28"/>
  <c r="B129" i="28"/>
  <c r="A129" i="28"/>
  <c r="A128" i="28"/>
  <c r="B127" i="28"/>
  <c r="A127" i="28"/>
  <c r="B122" i="28"/>
  <c r="A122" i="28"/>
  <c r="C121" i="28"/>
  <c r="B121" i="28"/>
  <c r="C120" i="28"/>
  <c r="B120" i="28"/>
  <c r="A120" i="28"/>
  <c r="C119" i="28"/>
  <c r="B119" i="28"/>
  <c r="A119" i="28"/>
  <c r="B118" i="28"/>
  <c r="A118" i="28"/>
  <c r="B117" i="28"/>
  <c r="A117" i="28"/>
  <c r="B116" i="28"/>
  <c r="A116" i="28"/>
  <c r="A115" i="28"/>
  <c r="B114" i="28"/>
  <c r="A114" i="28"/>
  <c r="B113" i="28"/>
  <c r="A113" i="28"/>
  <c r="B112" i="28"/>
  <c r="A112" i="28"/>
  <c r="C111" i="28"/>
  <c r="B111" i="28"/>
  <c r="A111" i="28"/>
  <c r="B106" i="28"/>
  <c r="A106" i="28"/>
  <c r="C105" i="28"/>
  <c r="B105" i="28"/>
  <c r="A105" i="28"/>
  <c r="B104" i="28"/>
  <c r="A104" i="28"/>
  <c r="B103" i="28"/>
  <c r="A103" i="28"/>
  <c r="B102" i="28"/>
  <c r="A102" i="28"/>
  <c r="C101" i="28"/>
  <c r="B101" i="28"/>
  <c r="A101" i="28"/>
  <c r="B100" i="28"/>
  <c r="A100" i="28"/>
  <c r="B99" i="28"/>
  <c r="A99" i="28"/>
  <c r="B98" i="28"/>
  <c r="A98" i="28"/>
  <c r="C97" i="28"/>
  <c r="B97" i="28"/>
  <c r="A97" i="28"/>
  <c r="B96" i="28"/>
  <c r="A96" i="28"/>
  <c r="B95" i="28"/>
  <c r="A95" i="28"/>
  <c r="B94" i="28"/>
  <c r="A94" i="28"/>
  <c r="B93" i="28"/>
  <c r="A93" i="28"/>
  <c r="B92" i="28"/>
  <c r="A92" i="28"/>
  <c r="B91" i="28"/>
  <c r="A91" i="28"/>
  <c r="B90" i="28"/>
  <c r="A90" i="28"/>
  <c r="B89" i="28"/>
  <c r="B88" i="28"/>
  <c r="A88" i="28"/>
  <c r="B87" i="28"/>
  <c r="A87" i="28"/>
  <c r="B86" i="28"/>
  <c r="A86" i="28"/>
  <c r="C85" i="28"/>
  <c r="B85" i="28"/>
  <c r="A85" i="28"/>
  <c r="B84" i="28"/>
  <c r="A84" i="28"/>
  <c r="B79" i="28"/>
  <c r="A79" i="28"/>
  <c r="C78" i="28"/>
  <c r="B78" i="28"/>
  <c r="A78" i="28"/>
  <c r="C73" i="28"/>
  <c r="B73" i="28"/>
  <c r="A73" i="28"/>
  <c r="B72" i="28"/>
  <c r="A72" i="28"/>
  <c r="B71" i="28"/>
  <c r="A71" i="28"/>
  <c r="D70" i="28"/>
  <c r="B70" i="28"/>
  <c r="A70" i="28"/>
  <c r="C69" i="28"/>
  <c r="B69" i="28"/>
  <c r="A69" i="28"/>
  <c r="B68" i="28"/>
  <c r="A68" i="28"/>
  <c r="B67" i="28"/>
  <c r="A67" i="28"/>
  <c r="B66" i="28"/>
  <c r="A66" i="28"/>
  <c r="B65" i="28"/>
  <c r="A65" i="28"/>
  <c r="B64" i="28"/>
  <c r="A64" i="28"/>
  <c r="B63" i="28"/>
  <c r="A63" i="28"/>
  <c r="B62" i="28"/>
  <c r="A62" i="28"/>
  <c r="B61" i="28"/>
  <c r="A61" i="28"/>
  <c r="B60" i="28"/>
  <c r="B59" i="28"/>
  <c r="B58" i="28"/>
  <c r="A58" i="28"/>
  <c r="C57" i="28"/>
  <c r="B57" i="28"/>
  <c r="A57" i="28"/>
  <c r="C52" i="28"/>
  <c r="B52" i="28"/>
  <c r="A52" i="28"/>
  <c r="B51" i="28"/>
  <c r="A51" i="28"/>
  <c r="B50" i="28"/>
  <c r="A50" i="28"/>
  <c r="B49" i="28"/>
  <c r="A49" i="28"/>
  <c r="B48" i="28"/>
  <c r="A48" i="28"/>
  <c r="C47" i="28"/>
  <c r="B47" i="28"/>
  <c r="A47" i="28"/>
  <c r="B46" i="28"/>
  <c r="A46" i="28"/>
  <c r="B45" i="28"/>
  <c r="A45" i="28"/>
  <c r="B44" i="28"/>
  <c r="A44" i="28"/>
  <c r="B43" i="28"/>
  <c r="A43" i="28"/>
  <c r="B42" i="28"/>
  <c r="A42" i="28"/>
  <c r="B41" i="28"/>
  <c r="A41" i="28"/>
  <c r="B40" i="28"/>
  <c r="A40" i="28"/>
  <c r="B39" i="28"/>
  <c r="A39" i="28"/>
  <c r="B38" i="28"/>
  <c r="A38" i="28"/>
  <c r="B37" i="28"/>
  <c r="A37" i="28"/>
  <c r="B36" i="28"/>
  <c r="D21" i="28"/>
  <c r="D19" i="28"/>
  <c r="C14" i="28"/>
  <c r="D14" i="28" s="1"/>
  <c r="D12" i="28"/>
  <c r="B7" i="28"/>
  <c r="A7" i="28"/>
  <c r="B6" i="28"/>
  <c r="A6" i="28"/>
  <c r="B5" i="28"/>
  <c r="A5" i="28"/>
  <c r="B4" i="28"/>
  <c r="A4" i="28"/>
  <c r="C3" i="28"/>
  <c r="B3" i="28"/>
  <c r="A3" i="28"/>
  <c r="D11" i="29" l="1"/>
  <c r="D121" i="28"/>
  <c r="E121" i="28" s="1"/>
  <c r="D283" i="28"/>
  <c r="D78" i="28"/>
  <c r="P25" i="2"/>
  <c r="P26" i="2" s="1"/>
  <c r="O11" i="2"/>
  <c r="D234" i="28"/>
  <c r="D290" i="28"/>
  <c r="E290" i="28" s="1"/>
  <c r="P27" i="2"/>
  <c r="B276" i="28"/>
  <c r="D289" i="28"/>
  <c r="D292" i="28" l="1"/>
  <c r="D45" i="29" s="1"/>
  <c r="P28" i="2"/>
  <c r="E116" i="27" l="1"/>
  <c r="A108" i="27"/>
  <c r="A106" i="27"/>
  <c r="A104" i="27"/>
  <c r="A102" i="27"/>
  <c r="A100" i="27"/>
  <c r="A98" i="27"/>
  <c r="A96" i="27"/>
  <c r="A94" i="27"/>
  <c r="B89" i="27"/>
  <c r="F85" i="27"/>
  <c r="F84" i="27"/>
  <c r="F83" i="27"/>
  <c r="E78" i="27"/>
  <c r="C76" i="27"/>
  <c r="B76" i="27" s="1"/>
  <c r="C240" i="28" s="1"/>
  <c r="D240" i="28" s="1"/>
  <c r="E52" i="27"/>
  <c r="E51" i="27"/>
  <c r="E49" i="27"/>
  <c r="E48" i="27"/>
  <c r="J21" i="15"/>
  <c r="E13" i="27"/>
  <c r="K7" i="27"/>
  <c r="D27" i="8"/>
  <c r="B21" i="8"/>
  <c r="K11" i="8"/>
  <c r="K16" i="8"/>
  <c r="K10" i="8"/>
  <c r="C162" i="28" l="1"/>
  <c r="C168" i="28"/>
  <c r="C165" i="28"/>
  <c r="C9" i="8"/>
  <c r="C60" i="28" s="1"/>
  <c r="C14" i="7"/>
  <c r="D14" i="7" s="1"/>
  <c r="D12" i="7"/>
  <c r="A149" i="6" l="1"/>
  <c r="A151" i="6"/>
  <c r="F50" i="22"/>
  <c r="F51" i="22"/>
  <c r="F52" i="22"/>
  <c r="F53" i="22"/>
  <c r="F54" i="22"/>
  <c r="F55" i="22"/>
  <c r="C34" i="8"/>
  <c r="C79" i="28" s="1"/>
  <c r="C33" i="8"/>
  <c r="C74" i="7"/>
  <c r="A69" i="17" l="1"/>
  <c r="A67" i="17"/>
  <c r="A65" i="17"/>
  <c r="A63" i="17"/>
  <c r="A340" i="7"/>
  <c r="A339" i="7"/>
  <c r="A338" i="7"/>
  <c r="A337" i="7"/>
  <c r="A335" i="7"/>
  <c r="C31" i="5"/>
  <c r="C48" i="28" s="1"/>
  <c r="Q22" i="22"/>
  <c r="Q23" i="22"/>
  <c r="Q24" i="22"/>
  <c r="Q25" i="22"/>
  <c r="Q26" i="22"/>
  <c r="Q27" i="22"/>
  <c r="Q28" i="22"/>
  <c r="Q29" i="22"/>
  <c r="Q30" i="22"/>
  <c r="Q21" i="22"/>
  <c r="U9" i="22"/>
  <c r="V9" i="22"/>
  <c r="W9" i="22"/>
  <c r="R9" i="22"/>
  <c r="Q6" i="22"/>
  <c r="Q7" i="22"/>
  <c r="Q8" i="22"/>
  <c r="Q9" i="22"/>
  <c r="Q5" i="22"/>
  <c r="R28" i="22"/>
  <c r="U28" i="22"/>
  <c r="V28" i="22"/>
  <c r="R29" i="22"/>
  <c r="U29" i="22"/>
  <c r="V29" i="22"/>
  <c r="A163" i="6"/>
  <c r="A161" i="6"/>
  <c r="A159" i="6"/>
  <c r="A157" i="6"/>
  <c r="E17" i="20"/>
  <c r="E15" i="20"/>
  <c r="E13" i="20"/>
  <c r="E11" i="20"/>
  <c r="N10" i="2"/>
  <c r="N6" i="2"/>
  <c r="G11" i="20" l="1"/>
  <c r="B328" i="28"/>
  <c r="G13" i="20"/>
  <c r="B329" i="28"/>
  <c r="C329" i="28" s="1"/>
  <c r="D329" i="28" s="1"/>
  <c r="G15" i="20"/>
  <c r="B330" i="28"/>
  <c r="G17" i="20"/>
  <c r="B331" i="28"/>
  <c r="C331" i="28" s="1"/>
  <c r="D331" i="28" s="1"/>
  <c r="B340" i="7"/>
  <c r="C340" i="7" s="1"/>
  <c r="B339" i="7"/>
  <c r="C339" i="7" s="1"/>
  <c r="D339" i="7" s="1"/>
  <c r="B338" i="7"/>
  <c r="C338" i="7" s="1"/>
  <c r="D338" i="7" s="1"/>
  <c r="B337" i="7"/>
  <c r="C337" i="7" s="1"/>
  <c r="D337" i="7" s="1"/>
  <c r="B223" i="28"/>
  <c r="B222" i="28"/>
  <c r="B196" i="28"/>
  <c r="D196" i="28" s="1"/>
  <c r="B195" i="28"/>
  <c r="D195" i="28" s="1"/>
  <c r="B194" i="28"/>
  <c r="D194" i="28" s="1"/>
  <c r="B164" i="28"/>
  <c r="D164" i="28" s="1"/>
  <c r="B163" i="28"/>
  <c r="D163" i="28" s="1"/>
  <c r="B162" i="28"/>
  <c r="D162" i="28" s="1"/>
  <c r="B199" i="28"/>
  <c r="D199" i="28" s="1"/>
  <c r="B198" i="28"/>
  <c r="D198" i="28" s="1"/>
  <c r="N58" i="2"/>
  <c r="N53" i="2"/>
  <c r="N50" i="2"/>
  <c r="N46" i="2"/>
  <c r="D65" i="17" l="1"/>
  <c r="D59" i="29"/>
  <c r="C161" i="6"/>
  <c r="B161" i="6" s="1"/>
  <c r="C106" i="27"/>
  <c r="B106" i="27" s="1"/>
  <c r="C330" i="28"/>
  <c r="D330" i="28" s="1"/>
  <c r="D67" i="17"/>
  <c r="D61" i="29"/>
  <c r="C159" i="6"/>
  <c r="B159" i="6" s="1"/>
  <c r="C104" i="27"/>
  <c r="B104" i="27" s="1"/>
  <c r="C163" i="6"/>
  <c r="B163" i="6" s="1"/>
  <c r="C108" i="27"/>
  <c r="B108" i="27" s="1"/>
  <c r="C328" i="28"/>
  <c r="D328" i="28" s="1"/>
  <c r="D63" i="17"/>
  <c r="D57" i="29"/>
  <c r="C157" i="6"/>
  <c r="B157" i="6" s="1"/>
  <c r="C102" i="27"/>
  <c r="B102" i="27" s="1"/>
  <c r="D340" i="7"/>
  <c r="E18" i="2"/>
  <c r="G18" i="2"/>
  <c r="H18" i="2"/>
  <c r="I18" i="2" s="1"/>
  <c r="S15" i="2"/>
  <c r="P16" i="2"/>
  <c r="E3" i="20"/>
  <c r="B324" i="28" s="1"/>
  <c r="P29" i="22"/>
  <c r="F29" i="22" s="1"/>
  <c r="O29" i="22" s="1"/>
  <c r="P28" i="22"/>
  <c r="F28" i="22" s="1"/>
  <c r="G28" i="22" s="1"/>
  <c r="F39" i="22"/>
  <c r="G39" i="22" s="1"/>
  <c r="F37" i="22"/>
  <c r="G37" i="22" s="1"/>
  <c r="B27" i="6"/>
  <c r="C299" i="28" s="1"/>
  <c r="G54" i="22"/>
  <c r="G55" i="22"/>
  <c r="G53" i="22"/>
  <c r="G51" i="22"/>
  <c r="G50" i="22"/>
  <c r="G52" i="22"/>
  <c r="F49" i="22"/>
  <c r="G49" i="22" s="1"/>
  <c r="D55" i="22"/>
  <c r="D5" i="22"/>
  <c r="M12" i="15"/>
  <c r="A30" i="7"/>
  <c r="B30" i="7"/>
  <c r="A31" i="7"/>
  <c r="B31" i="7"/>
  <c r="A32" i="7"/>
  <c r="B32" i="7"/>
  <c r="A33" i="7"/>
  <c r="B33" i="7"/>
  <c r="A34" i="7"/>
  <c r="B34" i="7"/>
  <c r="B29" i="7"/>
  <c r="A88" i="7"/>
  <c r="B88" i="7"/>
  <c r="A89" i="7"/>
  <c r="B89" i="7"/>
  <c r="A90" i="7"/>
  <c r="B90" i="7"/>
  <c r="A91" i="7"/>
  <c r="B91" i="7"/>
  <c r="A92" i="7"/>
  <c r="B92" i="7"/>
  <c r="B87" i="7"/>
  <c r="A87" i="7"/>
  <c r="C12" i="10"/>
  <c r="C13" i="10"/>
  <c r="C14" i="10"/>
  <c r="C15" i="10"/>
  <c r="C16" i="10"/>
  <c r="C11" i="10"/>
  <c r="C22" i="5"/>
  <c r="C23" i="5"/>
  <c r="C24" i="5"/>
  <c r="C25" i="5"/>
  <c r="C26" i="5"/>
  <c r="C21" i="5"/>
  <c r="B311" i="7"/>
  <c r="S5" i="22"/>
  <c r="D65" i="22"/>
  <c r="O120" i="2"/>
  <c r="R120" i="2" s="1"/>
  <c r="N120" i="2"/>
  <c r="M120" i="2"/>
  <c r="C246" i="7"/>
  <c r="D246" i="7" s="1"/>
  <c r="B246" i="7" s="1"/>
  <c r="A246" i="7"/>
  <c r="E121" i="6"/>
  <c r="A167" i="7"/>
  <c r="A168" i="7"/>
  <c r="A164" i="7"/>
  <c r="A165" i="7"/>
  <c r="A161" i="7"/>
  <c r="B161" i="7"/>
  <c r="A162" i="7"/>
  <c r="B162" i="7"/>
  <c r="B81" i="6"/>
  <c r="E5" i="15" s="1"/>
  <c r="E9" i="15" s="1"/>
  <c r="B11" i="15"/>
  <c r="B10" i="15"/>
  <c r="E13" i="6"/>
  <c r="C299" i="7"/>
  <c r="B298" i="7"/>
  <c r="C23" i="24"/>
  <c r="B23" i="24"/>
  <c r="D22" i="24"/>
  <c r="E11" i="13"/>
  <c r="E12" i="13" s="1"/>
  <c r="E8" i="13"/>
  <c r="E9" i="13" s="1"/>
  <c r="B288" i="7"/>
  <c r="C287" i="7"/>
  <c r="D23" i="13"/>
  <c r="C24" i="13"/>
  <c r="C9" i="10"/>
  <c r="B85" i="7"/>
  <c r="C24" i="10"/>
  <c r="B99" i="7"/>
  <c r="A99" i="7"/>
  <c r="C20" i="10"/>
  <c r="C100" i="28" s="1"/>
  <c r="L32" i="5"/>
  <c r="L33" i="5"/>
  <c r="L34" i="5"/>
  <c r="B27" i="7"/>
  <c r="B16" i="5"/>
  <c r="D80" i="22"/>
  <c r="E80" i="22" s="1"/>
  <c r="D79" i="22"/>
  <c r="E79" i="22" s="1"/>
  <c r="R107" i="2"/>
  <c r="B133" i="6"/>
  <c r="C255" i="28" s="1"/>
  <c r="R106" i="2"/>
  <c r="S106" i="2" s="1"/>
  <c r="S8" i="22" l="1"/>
  <c r="S12" i="22"/>
  <c r="D13" i="10"/>
  <c r="C93" i="28"/>
  <c r="B14" i="15"/>
  <c r="B166" i="28"/>
  <c r="D166" i="28" s="1"/>
  <c r="D9" i="10"/>
  <c r="C89" i="28"/>
  <c r="C30" i="7"/>
  <c r="C39" i="28"/>
  <c r="C324" i="28"/>
  <c r="D324" i="28" s="1"/>
  <c r="C33" i="7"/>
  <c r="C42" i="28"/>
  <c r="P18" i="2"/>
  <c r="R18" i="2" s="1"/>
  <c r="R16" i="2"/>
  <c r="C88" i="7"/>
  <c r="C92" i="28"/>
  <c r="B15" i="15"/>
  <c r="B167" i="28"/>
  <c r="D167" i="28" s="1"/>
  <c r="D23" i="5"/>
  <c r="C40" i="28"/>
  <c r="C288" i="7"/>
  <c r="D11" i="10"/>
  <c r="C91" i="28"/>
  <c r="C34" i="7"/>
  <c r="C43" i="28"/>
  <c r="D14" i="10"/>
  <c r="C94" i="28"/>
  <c r="C99" i="7"/>
  <c r="C103" i="28"/>
  <c r="D24" i="5"/>
  <c r="C41" i="28"/>
  <c r="D287" i="7"/>
  <c r="C92" i="7"/>
  <c r="C96" i="28"/>
  <c r="D69" i="17"/>
  <c r="D63" i="29"/>
  <c r="W28" i="22"/>
  <c r="W29" i="22"/>
  <c r="C29" i="7"/>
  <c r="C38" i="28"/>
  <c r="C91" i="7"/>
  <c r="C95" i="28"/>
  <c r="D26" i="5"/>
  <c r="C90" i="7"/>
  <c r="C31" i="7"/>
  <c r="D21" i="5"/>
  <c r="O28" i="22"/>
  <c r="G29" i="22"/>
  <c r="B164" i="7"/>
  <c r="D12" i="10"/>
  <c r="C87" i="7"/>
  <c r="D25" i="5"/>
  <c r="G65" i="22"/>
  <c r="G56" i="22"/>
  <c r="B299" i="28" s="1"/>
  <c r="D299" i="28" s="1"/>
  <c r="S9" i="22"/>
  <c r="S6" i="22"/>
  <c r="S7" i="22"/>
  <c r="P120" i="2"/>
  <c r="D16" i="10"/>
  <c r="D15" i="10"/>
  <c r="C32" i="7"/>
  <c r="C89" i="7"/>
  <c r="D22" i="5"/>
  <c r="L36" i="5"/>
  <c r="B165" i="7"/>
  <c r="E13" i="15"/>
  <c r="D23" i="24"/>
  <c r="D24" i="13"/>
  <c r="C85" i="7"/>
  <c r="D24" i="10"/>
  <c r="M134" i="2"/>
  <c r="B51" i="7"/>
  <c r="B50" i="7"/>
  <c r="C51" i="7"/>
  <c r="C8" i="8"/>
  <c r="B65" i="7"/>
  <c r="D65" i="7"/>
  <c r="A65" i="7"/>
  <c r="C117" i="7"/>
  <c r="B117" i="7"/>
  <c r="C15" i="11"/>
  <c r="D15" i="11" s="1"/>
  <c r="E15" i="11" s="1"/>
  <c r="C259" i="7"/>
  <c r="O134" i="2"/>
  <c r="N134" i="2" s="1"/>
  <c r="A259" i="7"/>
  <c r="S107" i="2"/>
  <c r="S13" i="22" l="1"/>
  <c r="T12" i="22"/>
  <c r="X12" i="22" s="1"/>
  <c r="D88" i="7"/>
  <c r="D92" i="28"/>
  <c r="D30" i="7"/>
  <c r="D39" i="28"/>
  <c r="D34" i="7"/>
  <c r="D43" i="28"/>
  <c r="D32" i="7"/>
  <c r="D41" i="28"/>
  <c r="D87" i="7"/>
  <c r="D91" i="28"/>
  <c r="D85" i="7"/>
  <c r="D89" i="28"/>
  <c r="D279" i="28"/>
  <c r="D91" i="7"/>
  <c r="D95" i="28"/>
  <c r="D29" i="7"/>
  <c r="D38" i="28"/>
  <c r="D99" i="7"/>
  <c r="D103" i="28"/>
  <c r="D8" i="8"/>
  <c r="C59" i="28"/>
  <c r="D92" i="7"/>
  <c r="D96" i="28"/>
  <c r="D90" i="7"/>
  <c r="D94" i="28"/>
  <c r="D31" i="7"/>
  <c r="D40" i="28"/>
  <c r="B167" i="7"/>
  <c r="B169" i="28"/>
  <c r="D169" i="28" s="1"/>
  <c r="D33" i="7"/>
  <c r="D42" i="28"/>
  <c r="B168" i="7"/>
  <c r="B170" i="28"/>
  <c r="D170" i="28" s="1"/>
  <c r="D89" i="7"/>
  <c r="D93" i="28"/>
  <c r="B259" i="7"/>
  <c r="D259" i="7" s="1"/>
  <c r="B255" i="28"/>
  <c r="D255" i="28" s="1"/>
  <c r="C133" i="6"/>
  <c r="C89" i="27"/>
  <c r="D117" i="7"/>
  <c r="E117" i="7" s="1"/>
  <c r="Q134" i="2"/>
  <c r="C21" i="8"/>
  <c r="D21" i="8" s="1"/>
  <c r="D9" i="8"/>
  <c r="C50" i="7"/>
  <c r="R134" i="2"/>
  <c r="P134" i="2"/>
  <c r="S14" i="22" l="1"/>
  <c r="S16" i="22"/>
  <c r="T16" i="22" s="1"/>
  <c r="X16" i="22" s="1"/>
  <c r="T13" i="22"/>
  <c r="X13" i="22" s="1"/>
  <c r="D51" i="7"/>
  <c r="D60" i="28"/>
  <c r="D50" i="7"/>
  <c r="D59" i="28"/>
  <c r="S134" i="2"/>
  <c r="D52" i="22"/>
  <c r="D41" i="22"/>
  <c r="D40" i="22"/>
  <c r="D38" i="22"/>
  <c r="D30" i="22"/>
  <c r="D27" i="22"/>
  <c r="D26" i="22"/>
  <c r="D25" i="22"/>
  <c r="D24" i="22"/>
  <c r="D23" i="22"/>
  <c r="D22" i="22"/>
  <c r="D21" i="22"/>
  <c r="D9" i="22"/>
  <c r="D8" i="22"/>
  <c r="D7" i="22"/>
  <c r="D6" i="22"/>
  <c r="C328" i="7"/>
  <c r="A328" i="7"/>
  <c r="B328" i="7"/>
  <c r="C7" i="24"/>
  <c r="D7" i="24" s="1"/>
  <c r="C33" i="13"/>
  <c r="E32" i="13"/>
  <c r="C32" i="13" s="1"/>
  <c r="B32" i="13"/>
  <c r="D21" i="7"/>
  <c r="G12" i="25" s="1"/>
  <c r="G5" i="25"/>
  <c r="G3" i="25"/>
  <c r="S17" i="22" l="1"/>
  <c r="T17" i="22" s="1"/>
  <c r="X17" i="22" s="1"/>
  <c r="S15" i="22"/>
  <c r="T14" i="22"/>
  <c r="X14" i="22" s="1"/>
  <c r="D328" i="7"/>
  <c r="D319" i="28"/>
  <c r="B293" i="7"/>
  <c r="E31" i="13"/>
  <c r="C31" i="13" s="1"/>
  <c r="C277" i="7"/>
  <c r="B277" i="7"/>
  <c r="D4" i="14"/>
  <c r="F14" i="24"/>
  <c r="I14" i="24" s="1"/>
  <c r="K14" i="24" s="1"/>
  <c r="D14" i="24" s="1"/>
  <c r="F15" i="24"/>
  <c r="I15" i="24" s="1"/>
  <c r="K15" i="24" s="1"/>
  <c r="D15" i="24" s="1"/>
  <c r="F16" i="24"/>
  <c r="I16" i="24" s="1"/>
  <c r="K16" i="24" s="1"/>
  <c r="D16" i="24" s="1"/>
  <c r="F13" i="24"/>
  <c r="I13" i="24" s="1"/>
  <c r="K13" i="24" s="1"/>
  <c r="D13" i="24" s="1"/>
  <c r="B267" i="7"/>
  <c r="B266" i="7"/>
  <c r="A266" i="7"/>
  <c r="O55" i="2"/>
  <c r="O54" i="2"/>
  <c r="I42" i="8"/>
  <c r="H42" i="8"/>
  <c r="G42" i="8"/>
  <c r="A42" i="8"/>
  <c r="I41" i="8"/>
  <c r="H41" i="8"/>
  <c r="G41" i="8"/>
  <c r="B38" i="7"/>
  <c r="C38" i="7"/>
  <c r="A38" i="7"/>
  <c r="D30" i="5"/>
  <c r="E27" i="13"/>
  <c r="C27" i="13" s="1"/>
  <c r="C28" i="13" s="1"/>
  <c r="D28" i="13" s="1"/>
  <c r="D47" i="17" s="1"/>
  <c r="B299" i="7"/>
  <c r="D299" i="7" s="1"/>
  <c r="E299" i="7" s="1"/>
  <c r="A285" i="7"/>
  <c r="S18" i="22" l="1"/>
  <c r="T15" i="22"/>
  <c r="X15" i="22" s="1"/>
  <c r="C293" i="7"/>
  <c r="D38" i="7"/>
  <c r="D47" i="28"/>
  <c r="A267" i="7"/>
  <c r="C177" i="6"/>
  <c r="C118" i="27"/>
  <c r="D277" i="7"/>
  <c r="D34" i="13"/>
  <c r="J42" i="8"/>
  <c r="C42" i="8" s="1"/>
  <c r="J41" i="8"/>
  <c r="C41" i="8" s="1"/>
  <c r="T18" i="22" l="1"/>
  <c r="X18" i="22" s="1"/>
  <c r="S21" i="22"/>
  <c r="S22" i="22" s="1"/>
  <c r="S23" i="22" s="1"/>
  <c r="S24" i="22" s="1"/>
  <c r="S25" i="22" s="1"/>
  <c r="S26" i="22" s="1"/>
  <c r="S27" i="22" s="1"/>
  <c r="G18" i="25"/>
  <c r="D284" i="28"/>
  <c r="D41" i="8"/>
  <c r="C266" i="7"/>
  <c r="D42" i="8"/>
  <c r="C267" i="7"/>
  <c r="A290" i="7"/>
  <c r="O132" i="2"/>
  <c r="M132" i="2"/>
  <c r="A253" i="28" s="1"/>
  <c r="Q98" i="2"/>
  <c r="A112" i="7"/>
  <c r="B112" i="7"/>
  <c r="A111" i="7"/>
  <c r="C9" i="11"/>
  <c r="C8" i="11"/>
  <c r="C115" i="28" s="1"/>
  <c r="B8" i="11"/>
  <c r="S30" i="22" l="1"/>
  <c r="S28" i="22"/>
  <c r="D9" i="11"/>
  <c r="C116" i="28"/>
  <c r="B111" i="7"/>
  <c r="B115" i="28"/>
  <c r="D22" i="13"/>
  <c r="C257" i="7"/>
  <c r="C253" i="28"/>
  <c r="D266" i="7"/>
  <c r="A257" i="7"/>
  <c r="D267" i="7"/>
  <c r="N132" i="2"/>
  <c r="H7" i="13"/>
  <c r="H8" i="13" s="1"/>
  <c r="H9" i="13" s="1"/>
  <c r="C290" i="7"/>
  <c r="R132" i="2"/>
  <c r="Q132" i="2"/>
  <c r="U39" i="2"/>
  <c r="D8" i="11"/>
  <c r="C111" i="7"/>
  <c r="C112" i="7"/>
  <c r="B186" i="28"/>
  <c r="D186" i="28" s="1"/>
  <c r="E94" i="6"/>
  <c r="E93" i="6"/>
  <c r="E91" i="6"/>
  <c r="E90" i="6"/>
  <c r="C26" i="15"/>
  <c r="C39" i="15"/>
  <c r="D39" i="15" s="1"/>
  <c r="A197" i="7"/>
  <c r="B197" i="7"/>
  <c r="A194" i="7"/>
  <c r="B194" i="7"/>
  <c r="A196" i="7"/>
  <c r="B196" i="7"/>
  <c r="C50" i="15"/>
  <c r="A200" i="7"/>
  <c r="B200" i="7"/>
  <c r="C28" i="15"/>
  <c r="C40" i="15"/>
  <c r="R65" i="2"/>
  <c r="S65" i="2" s="1"/>
  <c r="C87" i="27" s="1"/>
  <c r="B87" i="27" s="1"/>
  <c r="I81" i="22"/>
  <c r="D82" i="22"/>
  <c r="E82" i="22" s="1"/>
  <c r="D64" i="22"/>
  <c r="E64" i="22" s="1"/>
  <c r="D66" i="22"/>
  <c r="E66" i="22" s="1"/>
  <c r="D67" i="22"/>
  <c r="E67" i="22" s="1"/>
  <c r="D68" i="22"/>
  <c r="D69" i="22"/>
  <c r="D70" i="22"/>
  <c r="E70" i="22" s="1"/>
  <c r="D71" i="22"/>
  <c r="D72" i="22"/>
  <c r="D73" i="22"/>
  <c r="E73" i="22" s="1"/>
  <c r="D74" i="22"/>
  <c r="D75" i="22"/>
  <c r="D78" i="22"/>
  <c r="E78" i="22" s="1"/>
  <c r="D81" i="22"/>
  <c r="E81" i="22" s="1"/>
  <c r="G81" i="22" s="1"/>
  <c r="D63" i="22"/>
  <c r="E63" i="22" s="1"/>
  <c r="D62" i="22"/>
  <c r="E62" i="22" s="1"/>
  <c r="D60" i="22"/>
  <c r="E60" i="22" s="1"/>
  <c r="D59" i="22"/>
  <c r="E59" i="22" s="1"/>
  <c r="D58" i="22"/>
  <c r="E58" i="22" s="1"/>
  <c r="D49" i="22"/>
  <c r="D46" i="22"/>
  <c r="E46" i="22" s="1"/>
  <c r="D47" i="22"/>
  <c r="E47" i="22" s="1"/>
  <c r="D45" i="22"/>
  <c r="E45" i="22" s="1"/>
  <c r="A199" i="7"/>
  <c r="B199" i="7"/>
  <c r="D5" i="24"/>
  <c r="D317" i="28" s="1"/>
  <c r="H35" i="15"/>
  <c r="I35" i="15" s="1"/>
  <c r="B185" i="7"/>
  <c r="B180" i="7"/>
  <c r="A180" i="7"/>
  <c r="C29" i="15"/>
  <c r="A222" i="7"/>
  <c r="B222" i="7"/>
  <c r="A216" i="7"/>
  <c r="B216" i="7"/>
  <c r="C51" i="15"/>
  <c r="B25" i="15"/>
  <c r="B185" i="28" s="1"/>
  <c r="D185" i="28" s="1"/>
  <c r="S29" i="22" l="1"/>
  <c r="T29" i="22" s="1"/>
  <c r="X29" i="22" s="1"/>
  <c r="T28" i="22"/>
  <c r="X28" i="22" s="1"/>
  <c r="J35" i="15"/>
  <c r="C42" i="15" s="1"/>
  <c r="F200" i="28"/>
  <c r="C201" i="28" s="1"/>
  <c r="D201" i="28" s="1"/>
  <c r="C41" i="15"/>
  <c r="C200" i="28" s="1"/>
  <c r="D200" i="28" s="1"/>
  <c r="D51" i="15"/>
  <c r="C218" i="28"/>
  <c r="C56" i="15"/>
  <c r="C223" i="28" s="1"/>
  <c r="C217" i="28"/>
  <c r="D29" i="15"/>
  <c r="D188" i="28"/>
  <c r="D191" i="28" s="1"/>
  <c r="G85" i="27"/>
  <c r="H85" i="27" s="1"/>
  <c r="G84" i="27"/>
  <c r="H84" i="27" s="1"/>
  <c r="G83" i="27"/>
  <c r="H83" i="27" s="1"/>
  <c r="C191" i="7"/>
  <c r="D28" i="15"/>
  <c r="H10" i="13"/>
  <c r="H11" i="13" s="1"/>
  <c r="H12" i="13" s="1"/>
  <c r="H16" i="13" s="1"/>
  <c r="H17" i="13" s="1"/>
  <c r="H18" i="13" s="1"/>
  <c r="H13" i="13"/>
  <c r="H14" i="13" s="1"/>
  <c r="H15" i="13" s="1"/>
  <c r="D112" i="7"/>
  <c r="D116" i="28"/>
  <c r="D111" i="7"/>
  <c r="D115" i="28"/>
  <c r="P132" i="2"/>
  <c r="B253" i="28"/>
  <c r="D18" i="24"/>
  <c r="B257" i="7"/>
  <c r="S132" i="2"/>
  <c r="P38" i="2"/>
  <c r="B191" i="7"/>
  <c r="D40" i="15"/>
  <c r="C216" i="7"/>
  <c r="C57" i="15"/>
  <c r="C224" i="28" s="1"/>
  <c r="D41" i="15" l="1"/>
  <c r="D37" i="17"/>
  <c r="D210" i="28"/>
  <c r="D35" i="29" s="1"/>
  <c r="D216" i="7"/>
  <c r="D218" i="28"/>
  <c r="D257" i="7"/>
  <c r="D253" i="28"/>
  <c r="C145" i="6"/>
  <c r="D208" i="7"/>
  <c r="D191" i="7"/>
  <c r="C199" i="7"/>
  <c r="D42" i="15"/>
  <c r="D57" i="15"/>
  <c r="C222" i="7"/>
  <c r="D222" i="7" l="1"/>
  <c r="D224" i="28"/>
  <c r="D199" i="7"/>
  <c r="D4" i="22"/>
  <c r="D32" i="22"/>
  <c r="E32" i="22" s="1"/>
  <c r="D42" i="22"/>
  <c r="R69" i="22"/>
  <c r="R68" i="22"/>
  <c r="R67" i="22"/>
  <c r="C20" i="5"/>
  <c r="C37" i="28" s="1"/>
  <c r="B10" i="5"/>
  <c r="B11" i="5" s="1"/>
  <c r="B7" i="5"/>
  <c r="B8" i="5" s="1"/>
  <c r="B5" i="5"/>
  <c r="D4" i="11"/>
  <c r="D111" i="28" s="1"/>
  <c r="D2" i="12"/>
  <c r="E3" i="13" s="1"/>
  <c r="C25" i="10"/>
  <c r="B100" i="7"/>
  <c r="A100" i="7"/>
  <c r="B98" i="7"/>
  <c r="B101" i="7"/>
  <c r="C101" i="7"/>
  <c r="A98" i="7"/>
  <c r="A101" i="7"/>
  <c r="C22" i="10"/>
  <c r="D23" i="10"/>
  <c r="C9" i="13" l="1"/>
  <c r="C14" i="13"/>
  <c r="C11" i="13"/>
  <c r="C8" i="13"/>
  <c r="C7" i="13"/>
  <c r="C6" i="13"/>
  <c r="C12" i="13"/>
  <c r="C15" i="13"/>
  <c r="C17" i="13"/>
  <c r="C16" i="13"/>
  <c r="C10" i="13"/>
  <c r="C13" i="13"/>
  <c r="D13" i="13" s="1"/>
  <c r="D101" i="7"/>
  <c r="D105" i="28"/>
  <c r="D22" i="10"/>
  <c r="C102" i="28"/>
  <c r="C100" i="7"/>
  <c r="C104" i="28"/>
  <c r="D25" i="10"/>
  <c r="C98" i="7"/>
  <c r="N3" i="2"/>
  <c r="Q14" i="2"/>
  <c r="S14" i="2" s="1"/>
  <c r="O18" i="2"/>
  <c r="S18" i="2" s="1"/>
  <c r="P17" i="2"/>
  <c r="R17" i="2" s="1"/>
  <c r="P19" i="2"/>
  <c r="R19" i="2" s="1"/>
  <c r="S23" i="2"/>
  <c r="S24" i="2"/>
  <c r="O25" i="2"/>
  <c r="S25" i="2"/>
  <c r="O26" i="2"/>
  <c r="S26" i="2"/>
  <c r="S27" i="2"/>
  <c r="S28" i="2"/>
  <c r="S30" i="2"/>
  <c r="R62" i="2"/>
  <c r="S62" i="2" s="1"/>
  <c r="R64" i="2"/>
  <c r="S64" i="2" s="1"/>
  <c r="P66" i="2"/>
  <c r="R76" i="2"/>
  <c r="R77" i="2"/>
  <c r="S77" i="2" s="1"/>
  <c r="O78" i="2"/>
  <c r="P78" i="2"/>
  <c r="P79" i="2" s="1"/>
  <c r="P80" i="2" s="1"/>
  <c r="P81" i="2" s="1"/>
  <c r="P82" i="2" s="1"/>
  <c r="P83" i="2" s="1"/>
  <c r="P88" i="2" s="1"/>
  <c r="P89" i="2" s="1"/>
  <c r="P90" i="2" s="1"/>
  <c r="P91" i="2" s="1"/>
  <c r="P92" i="2" s="1"/>
  <c r="P93" i="2" s="1"/>
  <c r="P94" i="2" s="1"/>
  <c r="P95" i="2" s="1"/>
  <c r="P96" i="2" s="1"/>
  <c r="Q86" i="2"/>
  <c r="Q88" i="2"/>
  <c r="Q89" i="2"/>
  <c r="Q90" i="2"/>
  <c r="Q91" i="2"/>
  <c r="Q92" i="2"/>
  <c r="Q93" i="2"/>
  <c r="Q94" i="2"/>
  <c r="Q95" i="2"/>
  <c r="Q96" i="2"/>
  <c r="R113" i="2"/>
  <c r="O114" i="2"/>
  <c r="O117" i="2"/>
  <c r="O121" i="2"/>
  <c r="N123" i="2"/>
  <c r="P123" i="2" s="1"/>
  <c r="O128" i="2"/>
  <c r="O129" i="2"/>
  <c r="O130" i="2"/>
  <c r="O131" i="2"/>
  <c r="N133" i="2"/>
  <c r="B239" i="7" s="1"/>
  <c r="O133" i="2"/>
  <c r="R133" i="2" s="1"/>
  <c r="O135" i="2"/>
  <c r="N135" i="2" s="1"/>
  <c r="P135" i="2" s="1"/>
  <c r="Q135" i="2" s="1"/>
  <c r="D100" i="7" l="1"/>
  <c r="D104" i="28"/>
  <c r="D98" i="7"/>
  <c r="D102" i="28"/>
  <c r="R117" i="2"/>
  <c r="R128" i="2"/>
  <c r="C249" i="28"/>
  <c r="R114" i="2"/>
  <c r="B72" i="27"/>
  <c r="C238" i="28" s="1"/>
  <c r="D238" i="28" s="1"/>
  <c r="B71" i="27"/>
  <c r="C114" i="6"/>
  <c r="B114" i="6" s="1"/>
  <c r="R121" i="2"/>
  <c r="R131" i="2"/>
  <c r="C252" i="28"/>
  <c r="R130" i="2"/>
  <c r="C251" i="28"/>
  <c r="R129" i="2"/>
  <c r="C250" i="28"/>
  <c r="S41" i="2"/>
  <c r="O23" i="2"/>
  <c r="P67" i="2"/>
  <c r="R67" i="2" s="1"/>
  <c r="S67" i="2" s="1"/>
  <c r="R66" i="2"/>
  <c r="S66" i="2" s="1"/>
  <c r="R78" i="2"/>
  <c r="S78" i="2" s="1"/>
  <c r="S35" i="2"/>
  <c r="S17" i="2"/>
  <c r="S32" i="2"/>
  <c r="P133" i="2"/>
  <c r="R135" i="2"/>
  <c r="S135" i="2" s="1"/>
  <c r="N11" i="2"/>
  <c r="N113" i="2"/>
  <c r="S33" i="2"/>
  <c r="O79" i="2"/>
  <c r="H346" i="7"/>
  <c r="A258" i="7"/>
  <c r="D326" i="7"/>
  <c r="B327" i="7"/>
  <c r="B326" i="7"/>
  <c r="A327" i="7"/>
  <c r="A326" i="7"/>
  <c r="D77" i="22"/>
  <c r="E77" i="22" s="1"/>
  <c r="D76" i="22"/>
  <c r="E76" i="22" s="1"/>
  <c r="F129" i="6"/>
  <c r="F128" i="6"/>
  <c r="F127" i="6"/>
  <c r="Q133" i="2" l="1"/>
  <c r="S133" i="2" s="1"/>
  <c r="D239" i="7"/>
  <c r="C237" i="28"/>
  <c r="D237" i="28" s="1"/>
  <c r="C260" i="28"/>
  <c r="D260" i="28" s="1"/>
  <c r="S46" i="2"/>
  <c r="Q123" i="2" s="1"/>
  <c r="S123" i="2" s="1"/>
  <c r="R45" i="2"/>
  <c r="R43" i="2"/>
  <c r="S38" i="2"/>
  <c r="S37" i="2"/>
  <c r="S57" i="2"/>
  <c r="S53" i="2"/>
  <c r="S52" i="2"/>
  <c r="S56" i="2"/>
  <c r="S43" i="2"/>
  <c r="S54" i="2"/>
  <c r="S55" i="2"/>
  <c r="S48" i="2"/>
  <c r="S50" i="2"/>
  <c r="S51" i="2"/>
  <c r="S45" i="2"/>
  <c r="O141" i="2" s="1"/>
  <c r="S49" i="2"/>
  <c r="S58" i="2"/>
  <c r="P68" i="2"/>
  <c r="R79" i="2"/>
  <c r="S79" i="2" s="1"/>
  <c r="O80" i="2"/>
  <c r="O19" i="2"/>
  <c r="S19" i="2" s="1"/>
  <c r="P113" i="2"/>
  <c r="Q113" i="2"/>
  <c r="S113" i="2" s="1"/>
  <c r="S16" i="2"/>
  <c r="T15" i="2" s="1"/>
  <c r="F131" i="4"/>
  <c r="F132" i="4"/>
  <c r="F130" i="4"/>
  <c r="R55" i="2" l="1"/>
  <c r="R56" i="2"/>
  <c r="R49" i="2"/>
  <c r="R54" i="2"/>
  <c r="R53" i="2"/>
  <c r="R57" i="2"/>
  <c r="R52" i="2"/>
  <c r="R51" i="2"/>
  <c r="T17" i="2"/>
  <c r="C113" i="6" s="1"/>
  <c r="C122" i="6"/>
  <c r="Q120" i="2"/>
  <c r="S120" i="2" s="1"/>
  <c r="R68" i="2"/>
  <c r="S68" i="2" s="1"/>
  <c r="R80" i="2"/>
  <c r="O81" i="2"/>
  <c r="C84" i="27" l="1"/>
  <c r="B84" i="27" s="1"/>
  <c r="C246" i="28" s="1"/>
  <c r="D246" i="28" s="1"/>
  <c r="C85" i="27"/>
  <c r="B85" i="27" s="1"/>
  <c r="C247" i="28" s="1"/>
  <c r="D247" i="28" s="1"/>
  <c r="C83" i="27"/>
  <c r="B83" i="27" s="1"/>
  <c r="P70" i="2"/>
  <c r="S69" i="2"/>
  <c r="R81" i="2"/>
  <c r="S81" i="2" s="1"/>
  <c r="O82" i="2"/>
  <c r="S80" i="2"/>
  <c r="A186" i="7"/>
  <c r="B186" i="7"/>
  <c r="A185" i="7"/>
  <c r="D186" i="7"/>
  <c r="C245" i="28" l="1"/>
  <c r="D245" i="28" s="1"/>
  <c r="C262" i="28"/>
  <c r="D262" i="28" s="1"/>
  <c r="E84" i="27"/>
  <c r="E85" i="27"/>
  <c r="E83" i="27"/>
  <c r="R70" i="2"/>
  <c r="S70" i="2" s="1"/>
  <c r="P71" i="2"/>
  <c r="R82" i="2"/>
  <c r="S82" i="2" s="1"/>
  <c r="O83" i="2"/>
  <c r="C186" i="7"/>
  <c r="R71" i="2" l="1"/>
  <c r="S71" i="2" s="1"/>
  <c r="P72" i="2"/>
  <c r="R72" i="2" s="1"/>
  <c r="S72" i="2" s="1"/>
  <c r="R83" i="2"/>
  <c r="S83" i="2" s="1"/>
  <c r="O85" i="2"/>
  <c r="A116" i="7"/>
  <c r="B116" i="7"/>
  <c r="C116" i="7"/>
  <c r="D13" i="11"/>
  <c r="D12" i="11"/>
  <c r="B115" i="7"/>
  <c r="C115" i="7"/>
  <c r="A115" i="7"/>
  <c r="D116" i="7" l="1"/>
  <c r="D120" i="28"/>
  <c r="D115" i="7"/>
  <c r="D119" i="28"/>
  <c r="O86" i="2"/>
  <c r="R85" i="2"/>
  <c r="S85" i="2" s="1"/>
  <c r="B21" i="6"/>
  <c r="C295" i="28" s="1"/>
  <c r="A61" i="17"/>
  <c r="A57" i="18" s="1"/>
  <c r="A59" i="17"/>
  <c r="A55" i="18" s="1"/>
  <c r="A57" i="17"/>
  <c r="A53" i="18" s="1"/>
  <c r="A55" i="17"/>
  <c r="A51" i="18" s="1"/>
  <c r="A336" i="7"/>
  <c r="A334" i="7"/>
  <c r="A333" i="7"/>
  <c r="E9" i="20"/>
  <c r="E7" i="20"/>
  <c r="A155" i="6"/>
  <c r="A153" i="6"/>
  <c r="G7" i="20" l="1"/>
  <c r="B326" i="28"/>
  <c r="G9" i="20"/>
  <c r="B327" i="28"/>
  <c r="C327" i="28" s="1"/>
  <c r="D327" i="28" s="1"/>
  <c r="R86" i="2"/>
  <c r="S86" i="2" s="1"/>
  <c r="O88" i="2"/>
  <c r="B336" i="7"/>
  <c r="B335" i="7"/>
  <c r="C239" i="7"/>
  <c r="C153" i="6" l="1"/>
  <c r="B153" i="6" s="1"/>
  <c r="C98" i="27"/>
  <c r="B98" i="27" s="1"/>
  <c r="C326" i="28"/>
  <c r="D326" i="28" s="1"/>
  <c r="C155" i="6"/>
  <c r="B155" i="6" s="1"/>
  <c r="C100" i="27"/>
  <c r="B100" i="27" s="1"/>
  <c r="R88" i="2"/>
  <c r="S88" i="2" s="1"/>
  <c r="O89" i="2"/>
  <c r="C336" i="7"/>
  <c r="D336" i="7" s="1"/>
  <c r="C335" i="7"/>
  <c r="D335" i="7" s="1"/>
  <c r="Z9" i="22"/>
  <c r="Z8" i="22"/>
  <c r="Z7" i="22"/>
  <c r="Z6" i="22"/>
  <c r="H20" i="22"/>
  <c r="K20" i="22"/>
  <c r="L20" i="22"/>
  <c r="Z25" i="22" s="1"/>
  <c r="M20" i="22"/>
  <c r="D59" i="17" l="1"/>
  <c r="D55" i="18" s="1"/>
  <c r="D53" i="29"/>
  <c r="D61" i="17"/>
  <c r="D57" i="18" s="1"/>
  <c r="D55" i="29"/>
  <c r="I20" i="22"/>
  <c r="Z22" i="22" s="1"/>
  <c r="J20" i="22"/>
  <c r="R89" i="2"/>
  <c r="S89" i="2" s="1"/>
  <c r="O90" i="2"/>
  <c r="P4" i="22"/>
  <c r="Q4" i="22"/>
  <c r="P5" i="22"/>
  <c r="R5" i="22"/>
  <c r="U5" i="22"/>
  <c r="V5" i="22"/>
  <c r="W5" i="22"/>
  <c r="P6" i="22"/>
  <c r="R6" i="22"/>
  <c r="U6" i="22"/>
  <c r="V6" i="22"/>
  <c r="W6" i="22"/>
  <c r="P7" i="22"/>
  <c r="R7" i="22"/>
  <c r="U7" i="22"/>
  <c r="V7" i="22"/>
  <c r="W7" i="22"/>
  <c r="P8" i="22"/>
  <c r="R8" i="22"/>
  <c r="U8" i="22"/>
  <c r="V8" i="22"/>
  <c r="W8" i="22"/>
  <c r="P9" i="22"/>
  <c r="T9" i="22"/>
  <c r="X9" i="22" s="1"/>
  <c r="X20" i="22"/>
  <c r="P20" i="22"/>
  <c r="Q20" i="22"/>
  <c r="R20" i="22"/>
  <c r="U20" i="22"/>
  <c r="V20" i="22"/>
  <c r="W20" i="22"/>
  <c r="P21" i="22"/>
  <c r="R21" i="22"/>
  <c r="U21" i="22"/>
  <c r="V21" i="22"/>
  <c r="W21" i="22"/>
  <c r="P22" i="22"/>
  <c r="R22" i="22"/>
  <c r="U22" i="22"/>
  <c r="V22" i="22"/>
  <c r="W22" i="22"/>
  <c r="P23" i="22"/>
  <c r="R23" i="22"/>
  <c r="U23" i="22"/>
  <c r="V23" i="22"/>
  <c r="W23" i="22"/>
  <c r="P24" i="22"/>
  <c r="R24" i="22"/>
  <c r="U24" i="22"/>
  <c r="V24" i="22"/>
  <c r="W24" i="22"/>
  <c r="P25" i="22"/>
  <c r="R25" i="22"/>
  <c r="U25" i="22"/>
  <c r="V25" i="22"/>
  <c r="W25" i="22"/>
  <c r="P26" i="22"/>
  <c r="R26" i="22"/>
  <c r="U26" i="22"/>
  <c r="V26" i="22"/>
  <c r="W26" i="22"/>
  <c r="P27" i="22"/>
  <c r="R27" i="22"/>
  <c r="U27" i="22"/>
  <c r="V27" i="22"/>
  <c r="W27" i="22"/>
  <c r="P30" i="22"/>
  <c r="R30" i="22"/>
  <c r="U30" i="22"/>
  <c r="V30" i="22"/>
  <c r="W30" i="22"/>
  <c r="Q67" i="22"/>
  <c r="Q68" i="22"/>
  <c r="Q69" i="22"/>
  <c r="F42" i="22"/>
  <c r="G42" i="22" s="1"/>
  <c r="Z23" i="22" l="1"/>
  <c r="T7" i="22"/>
  <c r="X7" i="22" s="1"/>
  <c r="T26" i="22"/>
  <c r="X26" i="22" s="1"/>
  <c r="T22" i="22"/>
  <c r="X22" i="22" s="1"/>
  <c r="T30" i="22"/>
  <c r="X30" i="22" s="1"/>
  <c r="T24" i="22"/>
  <c r="X24" i="22" s="1"/>
  <c r="T5" i="22"/>
  <c r="X5" i="22" s="1"/>
  <c r="T8" i="22"/>
  <c r="X8" i="22" s="1"/>
  <c r="T21" i="22"/>
  <c r="X21" i="22" s="1"/>
  <c r="T6" i="22"/>
  <c r="X6" i="22" s="1"/>
  <c r="T4" i="22"/>
  <c r="X4" i="22" s="1"/>
  <c r="T25" i="22"/>
  <c r="X25" i="22" s="1"/>
  <c r="T27" i="22"/>
  <c r="X27" i="22" s="1"/>
  <c r="T23" i="22"/>
  <c r="X23" i="22" s="1"/>
  <c r="Z24" i="22"/>
  <c r="T20" i="22"/>
  <c r="R90" i="2"/>
  <c r="S90" i="2" s="1"/>
  <c r="O91" i="2"/>
  <c r="C117" i="6"/>
  <c r="O92" i="2" l="1"/>
  <c r="R91" i="2"/>
  <c r="S91" i="2" s="1"/>
  <c r="F9" i="22"/>
  <c r="G9" i="22" s="1"/>
  <c r="O9" i="22" l="1"/>
  <c r="R92" i="2"/>
  <c r="S92" i="2" s="1"/>
  <c r="O93" i="2"/>
  <c r="A319" i="7"/>
  <c r="B28" i="6"/>
  <c r="F66" i="22" s="1"/>
  <c r="G66" i="22" s="1"/>
  <c r="F40" i="22"/>
  <c r="G40" i="22" s="1"/>
  <c r="F41" i="22"/>
  <c r="G41" i="22" s="1"/>
  <c r="F38" i="22"/>
  <c r="G38" i="22" s="1"/>
  <c r="R93" i="2" l="1"/>
  <c r="S93" i="2" s="1"/>
  <c r="O94" i="2"/>
  <c r="T68" i="22"/>
  <c r="T67" i="22"/>
  <c r="T69" i="22"/>
  <c r="F74" i="22"/>
  <c r="G74" i="22" s="1"/>
  <c r="B141" i="7"/>
  <c r="B140" i="7"/>
  <c r="A141" i="7"/>
  <c r="A140" i="7"/>
  <c r="B137" i="7"/>
  <c r="A137" i="7"/>
  <c r="O95" i="2" l="1"/>
  <c r="R94" i="2"/>
  <c r="S94" i="2" s="1"/>
  <c r="B15" i="4"/>
  <c r="B14" i="4"/>
  <c r="B13" i="4"/>
  <c r="A102" i="4"/>
  <c r="A103" i="4"/>
  <c r="A101" i="4"/>
  <c r="A98" i="4"/>
  <c r="A99" i="4"/>
  <c r="A100" i="4"/>
  <c r="A106" i="4"/>
  <c r="A105" i="4"/>
  <c r="A104" i="4"/>
  <c r="R95" i="2" l="1"/>
  <c r="S95" i="2" s="1"/>
  <c r="O96" i="2"/>
  <c r="B37" i="7"/>
  <c r="A37" i="7"/>
  <c r="C29" i="5"/>
  <c r="C37" i="7" l="1"/>
  <c r="C46" i="28"/>
  <c r="R96" i="2"/>
  <c r="S96" i="2" s="1"/>
  <c r="O98" i="2"/>
  <c r="R98" i="2" s="1"/>
  <c r="S98" i="2" s="1"/>
  <c r="D29" i="5"/>
  <c r="D46" i="28" s="1"/>
  <c r="F33" i="22"/>
  <c r="F34" i="22"/>
  <c r="F36" i="22"/>
  <c r="G36" i="22" s="1"/>
  <c r="P59" i="22"/>
  <c r="P60" i="22" s="1"/>
  <c r="B25" i="6"/>
  <c r="C298" i="28" s="1"/>
  <c r="B23" i="6"/>
  <c r="C297" i="28" s="1"/>
  <c r="F6" i="22"/>
  <c r="G6" i="22" s="1"/>
  <c r="F7" i="22"/>
  <c r="F8" i="22"/>
  <c r="G8" i="22" s="1"/>
  <c r="F5" i="22"/>
  <c r="G5" i="22" s="1"/>
  <c r="F4" i="22"/>
  <c r="G4" i="22" s="1"/>
  <c r="F32" i="22"/>
  <c r="G32" i="22" s="1"/>
  <c r="C309" i="7"/>
  <c r="A308" i="7"/>
  <c r="A305" i="7"/>
  <c r="A306" i="7"/>
  <c r="A309" i="7"/>
  <c r="A307" i="7"/>
  <c r="A304" i="7"/>
  <c r="F20" i="22"/>
  <c r="G20" i="22" s="1"/>
  <c r="F21" i="22"/>
  <c r="G21" i="22" s="1"/>
  <c r="F22" i="22"/>
  <c r="G22" i="22" s="1"/>
  <c r="F23" i="22"/>
  <c r="G23" i="22" s="1"/>
  <c r="F24" i="22"/>
  <c r="G24" i="22" s="1"/>
  <c r="F25" i="22"/>
  <c r="G25" i="22" s="1"/>
  <c r="F26" i="22"/>
  <c r="G26" i="22" s="1"/>
  <c r="F27" i="22"/>
  <c r="G27" i="22" s="1"/>
  <c r="F30" i="22"/>
  <c r="G30" i="22" s="1"/>
  <c r="C312" i="28" l="1"/>
  <c r="G337" i="28"/>
  <c r="I337" i="28" s="1"/>
  <c r="C311" i="28"/>
  <c r="C302" i="28"/>
  <c r="D302" i="28" s="1"/>
  <c r="C310" i="28"/>
  <c r="C301" i="28"/>
  <c r="Z21" i="22"/>
  <c r="O7" i="22"/>
  <c r="G7" i="22"/>
  <c r="O22" i="22"/>
  <c r="O25" i="22"/>
  <c r="O21" i="22"/>
  <c r="O27" i="22"/>
  <c r="O26" i="22"/>
  <c r="O24" i="22"/>
  <c r="O30" i="22"/>
  <c r="O23" i="22"/>
  <c r="O8" i="22"/>
  <c r="Z5" i="22"/>
  <c r="O6" i="22"/>
  <c r="Z4" i="22"/>
  <c r="O5" i="22"/>
  <c r="O10" i="22" s="1"/>
  <c r="C308" i="7"/>
  <c r="C43" i="15"/>
  <c r="C202" i="28" s="1"/>
  <c r="D202" i="28" s="1"/>
  <c r="D204" i="28" s="1"/>
  <c r="D208" i="28" s="1"/>
  <c r="Z20" i="22"/>
  <c r="F70" i="22"/>
  <c r="G70" i="22" s="1"/>
  <c r="P46" i="22"/>
  <c r="P47" i="22" s="1"/>
  <c r="F47" i="22" s="1"/>
  <c r="G47" i="22" s="1"/>
  <c r="U68" i="22"/>
  <c r="F68" i="22" s="1"/>
  <c r="G68" i="22" s="1"/>
  <c r="J7" i="6"/>
  <c r="U69" i="22"/>
  <c r="F69" i="22" s="1"/>
  <c r="G69" i="22" s="1"/>
  <c r="U67" i="22"/>
  <c r="F67" i="22" s="1"/>
  <c r="G67" i="22" s="1"/>
  <c r="G43" i="22"/>
  <c r="C306" i="7"/>
  <c r="F63" i="22"/>
  <c r="G63" i="22" s="1"/>
  <c r="C307" i="7"/>
  <c r="J142" i="4"/>
  <c r="F146" i="4" s="1"/>
  <c r="F60" i="22"/>
  <c r="G60" i="22" s="1"/>
  <c r="F59" i="22"/>
  <c r="G59" i="22" s="1"/>
  <c r="D37" i="7"/>
  <c r="C305" i="7"/>
  <c r="F64" i="22"/>
  <c r="G64" i="22" s="1"/>
  <c r="B308" i="7"/>
  <c r="C304" i="7"/>
  <c r="F62" i="22"/>
  <c r="F45" i="22"/>
  <c r="G33" i="22"/>
  <c r="G34" i="22"/>
  <c r="G10" i="22" l="1"/>
  <c r="B295" i="28" s="1"/>
  <c r="D295" i="28" s="1"/>
  <c r="B307" i="7"/>
  <c r="D307" i="7" s="1"/>
  <c r="B298" i="28"/>
  <c r="D298" i="28" s="1"/>
  <c r="B310" i="28"/>
  <c r="D310" i="28" s="1"/>
  <c r="F78" i="22"/>
  <c r="G78" i="22" s="1"/>
  <c r="G62" i="22"/>
  <c r="B301" i="28" s="1"/>
  <c r="D301" i="28" s="1"/>
  <c r="C311" i="7"/>
  <c r="D311" i="7" s="1"/>
  <c r="C319" i="7"/>
  <c r="F72" i="22"/>
  <c r="G72" i="22" s="1"/>
  <c r="F79" i="22"/>
  <c r="G79" i="22" s="1"/>
  <c r="F73" i="22"/>
  <c r="G73" i="22" s="1"/>
  <c r="F80" i="22"/>
  <c r="G80" i="22" s="1"/>
  <c r="F71" i="22"/>
  <c r="G31" i="22"/>
  <c r="O31" i="22"/>
  <c r="G19" i="22"/>
  <c r="O19" i="22"/>
  <c r="B304" i="7"/>
  <c r="D304" i="7" s="1"/>
  <c r="D308" i="7"/>
  <c r="D43" i="15"/>
  <c r="C200" i="7"/>
  <c r="G346" i="7"/>
  <c r="I346" i="7" s="1"/>
  <c r="F46" i="22"/>
  <c r="G46" i="22" s="1"/>
  <c r="B309" i="7" s="1"/>
  <c r="D309" i="7" s="1"/>
  <c r="C321" i="7"/>
  <c r="C320" i="7"/>
  <c r="A114" i="4"/>
  <c r="F114" i="4" s="1"/>
  <c r="A77" i="4"/>
  <c r="F147" i="4"/>
  <c r="F145" i="4"/>
  <c r="I76" i="4"/>
  <c r="F144" i="4"/>
  <c r="C310" i="7"/>
  <c r="G45" i="22"/>
  <c r="F58" i="22"/>
  <c r="A166" i="7"/>
  <c r="A155" i="7"/>
  <c r="H14" i="8"/>
  <c r="D200" i="7" l="1"/>
  <c r="B305" i="7"/>
  <c r="D305" i="7" s="1"/>
  <c r="B296" i="28"/>
  <c r="D296" i="28" s="1"/>
  <c r="B300" i="28"/>
  <c r="D300" i="28" s="1"/>
  <c r="D303" i="28" s="1"/>
  <c r="B306" i="7"/>
  <c r="D306" i="7" s="1"/>
  <c r="B297" i="28"/>
  <c r="D297" i="28" s="1"/>
  <c r="G71" i="22"/>
  <c r="B311" i="28" s="1"/>
  <c r="D311" i="28" s="1"/>
  <c r="F254" i="28"/>
  <c r="A79" i="4"/>
  <c r="A80" i="4"/>
  <c r="F258" i="7"/>
  <c r="A81" i="4"/>
  <c r="F75" i="22"/>
  <c r="G75" i="22" s="1"/>
  <c r="O33" i="22"/>
  <c r="J143" i="4"/>
  <c r="J144" i="4"/>
  <c r="B310" i="7"/>
  <c r="D310" i="7" s="1"/>
  <c r="I85" i="4"/>
  <c r="A87" i="4" s="1"/>
  <c r="F77" i="4"/>
  <c r="I43" i="4"/>
  <c r="F76" i="22"/>
  <c r="G76" i="22" s="1"/>
  <c r="C12" i="4"/>
  <c r="F12" i="4" s="1"/>
  <c r="B12" i="4"/>
  <c r="D12" i="4" s="1"/>
  <c r="E11" i="4"/>
  <c r="D11" i="4"/>
  <c r="C11" i="4"/>
  <c r="B11" i="4"/>
  <c r="F7" i="4"/>
  <c r="B8" i="4"/>
  <c r="B7" i="4"/>
  <c r="E5" i="20"/>
  <c r="B325" i="28" s="1"/>
  <c r="C325" i="28" s="1"/>
  <c r="D325" i="28" s="1"/>
  <c r="D333" i="28" s="1"/>
  <c r="C238" i="7"/>
  <c r="A238" i="7"/>
  <c r="C247" i="7"/>
  <c r="C243" i="7"/>
  <c r="M131" i="2"/>
  <c r="A252" i="28" s="1"/>
  <c r="M130" i="2"/>
  <c r="A251" i="28" s="1"/>
  <c r="M129" i="2"/>
  <c r="A250" i="28" s="1"/>
  <c r="M128" i="2"/>
  <c r="A249" i="28" s="1"/>
  <c r="M127" i="2"/>
  <c r="M126" i="2"/>
  <c r="M125" i="2"/>
  <c r="M124" i="2"/>
  <c r="M122" i="2"/>
  <c r="A244" i="28" s="1"/>
  <c r="M121" i="2"/>
  <c r="A243" i="28" s="1"/>
  <c r="M119" i="2"/>
  <c r="M118" i="2"/>
  <c r="M117" i="2"/>
  <c r="M116" i="2"/>
  <c r="M115" i="2"/>
  <c r="M114" i="2"/>
  <c r="D313" i="7" l="1"/>
  <c r="D314" i="7" s="1"/>
  <c r="D315" i="7" s="1"/>
  <c r="D304" i="28"/>
  <c r="D305" i="28" s="1"/>
  <c r="D306" i="28" s="1"/>
  <c r="N127" i="2"/>
  <c r="B248" i="28" s="1"/>
  <c r="A248" i="28"/>
  <c r="N114" i="2"/>
  <c r="N131" i="2"/>
  <c r="Q117" i="2"/>
  <c r="S117" i="2" s="1"/>
  <c r="N117" i="2"/>
  <c r="A45" i="4"/>
  <c r="D298" i="7"/>
  <c r="D301" i="7" s="1"/>
  <c r="N119" i="2"/>
  <c r="B319" i="7"/>
  <c r="D319" i="7" s="1"/>
  <c r="Q127" i="2"/>
  <c r="Q131" i="2"/>
  <c r="S131" i="2" s="1"/>
  <c r="C143" i="6" s="1"/>
  <c r="N115" i="2"/>
  <c r="Q115" i="2"/>
  <c r="N122" i="2"/>
  <c r="Q122" i="2"/>
  <c r="Q116" i="2"/>
  <c r="N116" i="2"/>
  <c r="N129" i="2"/>
  <c r="Q129" i="2"/>
  <c r="S129" i="2" s="1"/>
  <c r="A240" i="7"/>
  <c r="Q114" i="2"/>
  <c r="S114" i="2" s="1"/>
  <c r="N126" i="2"/>
  <c r="Q126" i="2"/>
  <c r="A247" i="7"/>
  <c r="N121" i="2"/>
  <c r="Q121" i="2"/>
  <c r="S121" i="2" s="1"/>
  <c r="Q130" i="2"/>
  <c r="S130" i="2" s="1"/>
  <c r="N130" i="2"/>
  <c r="N128" i="2"/>
  <c r="Q128" i="2"/>
  <c r="S128" i="2" s="1"/>
  <c r="N125" i="2"/>
  <c r="Q125" i="2"/>
  <c r="N124" i="2"/>
  <c r="Q124" i="2"/>
  <c r="N118" i="2"/>
  <c r="Q118" i="2"/>
  <c r="G5" i="20"/>
  <c r="B334" i="7"/>
  <c r="G3" i="20"/>
  <c r="B333" i="7"/>
  <c r="A256" i="7"/>
  <c r="A13" i="4"/>
  <c r="F45" i="4"/>
  <c r="F44" i="4"/>
  <c r="F86" i="4"/>
  <c r="A86" i="4"/>
  <c r="F77" i="22"/>
  <c r="G77" i="22" s="1"/>
  <c r="B312" i="28" s="1"/>
  <c r="D312" i="28" s="1"/>
  <c r="D314" i="28" s="1"/>
  <c r="A255" i="7"/>
  <c r="A254" i="7"/>
  <c r="A251" i="7"/>
  <c r="A248" i="7"/>
  <c r="A244" i="7"/>
  <c r="A250" i="7"/>
  <c r="A243" i="7"/>
  <c r="C240" i="7"/>
  <c r="A242" i="7"/>
  <c r="A253" i="7"/>
  <c r="A241" i="7"/>
  <c r="A245" i="7"/>
  <c r="A252" i="7"/>
  <c r="A249" i="7"/>
  <c r="G5" i="5"/>
  <c r="G6" i="5"/>
  <c r="G7" i="5"/>
  <c r="G4" i="5"/>
  <c r="H4" i="5" s="1"/>
  <c r="J13" i="12"/>
  <c r="B5" i="12"/>
  <c r="B17" i="12"/>
  <c r="B139" i="28" s="1"/>
  <c r="C119" i="6"/>
  <c r="O118" i="2" s="1"/>
  <c r="C131" i="6"/>
  <c r="D31" i="5" l="1"/>
  <c r="D48" i="28" s="1"/>
  <c r="B35" i="28"/>
  <c r="C151" i="6"/>
  <c r="B151" i="6" s="1"/>
  <c r="C96" i="27"/>
  <c r="B96" i="27" s="1"/>
  <c r="F10" i="12"/>
  <c r="B128" i="28"/>
  <c r="P114" i="2"/>
  <c r="B249" i="7"/>
  <c r="P121" i="2"/>
  <c r="P129" i="2"/>
  <c r="D250" i="28" s="1"/>
  <c r="B250" i="28"/>
  <c r="B252" i="7"/>
  <c r="B243" i="7"/>
  <c r="P128" i="2"/>
  <c r="D249" i="28" s="1"/>
  <c r="B249" i="28"/>
  <c r="P130" i="2"/>
  <c r="D251" i="28" s="1"/>
  <c r="B251" i="28"/>
  <c r="B244" i="7"/>
  <c r="B248" i="7"/>
  <c r="B244" i="28"/>
  <c r="B250" i="7"/>
  <c r="P131" i="2"/>
  <c r="D252" i="28" s="1"/>
  <c r="B252" i="28"/>
  <c r="B251" i="7"/>
  <c r="B245" i="7"/>
  <c r="C149" i="6"/>
  <c r="B149" i="6" s="1"/>
  <c r="C94" i="27"/>
  <c r="B94" i="27" s="1"/>
  <c r="K13" i="12"/>
  <c r="C7" i="12" s="1"/>
  <c r="P117" i="2"/>
  <c r="D45" i="18"/>
  <c r="D49" i="17" s="1"/>
  <c r="B254" i="7"/>
  <c r="B255" i="7"/>
  <c r="B256" i="7"/>
  <c r="R118" i="2"/>
  <c r="S118" i="2" s="1"/>
  <c r="P118" i="2"/>
  <c r="C334" i="7"/>
  <c r="D334" i="7" s="1"/>
  <c r="C333" i="7"/>
  <c r="D333" i="7" s="1"/>
  <c r="D49" i="29" s="1"/>
  <c r="B253" i="7"/>
  <c r="C256" i="7"/>
  <c r="B320" i="7"/>
  <c r="D320" i="7" s="1"/>
  <c r="B321" i="7"/>
  <c r="G8" i="5"/>
  <c r="B247" i="7"/>
  <c r="C253" i="7"/>
  <c r="C255" i="7"/>
  <c r="K6" i="13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C16" i="15"/>
  <c r="C67" i="18"/>
  <c r="D67" i="18" s="1"/>
  <c r="H70" i="18"/>
  <c r="I70" i="18" s="1"/>
  <c r="H69" i="18"/>
  <c r="I69" i="18" s="1"/>
  <c r="H68" i="18"/>
  <c r="H67" i="18"/>
  <c r="I67" i="18" s="1"/>
  <c r="C68" i="18"/>
  <c r="D68" i="18" s="1"/>
  <c r="G59" i="18"/>
  <c r="F59" i="18"/>
  <c r="B3" i="18"/>
  <c r="E351" i="7"/>
  <c r="B3" i="17"/>
  <c r="D33" i="8"/>
  <c r="A75" i="7"/>
  <c r="B75" i="7"/>
  <c r="B74" i="7"/>
  <c r="A74" i="7"/>
  <c r="D34" i="8"/>
  <c r="I10" i="15"/>
  <c r="N48" i="15"/>
  <c r="I48" i="15"/>
  <c r="H48" i="15"/>
  <c r="H10" i="15" s="1"/>
  <c r="D40" i="6"/>
  <c r="H14" i="15"/>
  <c r="I16" i="15"/>
  <c r="I15" i="15"/>
  <c r="H15" i="15"/>
  <c r="H16" i="15"/>
  <c r="I14" i="15"/>
  <c r="N43" i="15"/>
  <c r="N44" i="15"/>
  <c r="N45" i="15"/>
  <c r="N46" i="15"/>
  <c r="N47" i="15"/>
  <c r="N42" i="15"/>
  <c r="I43" i="15"/>
  <c r="I44" i="15"/>
  <c r="I45" i="15"/>
  <c r="I46" i="15"/>
  <c r="I47" i="15"/>
  <c r="I42" i="15"/>
  <c r="H43" i="15"/>
  <c r="M43" i="15" s="1"/>
  <c r="H44" i="15"/>
  <c r="M44" i="15" s="1"/>
  <c r="H45" i="15"/>
  <c r="M45" i="15" s="1"/>
  <c r="H46" i="15"/>
  <c r="M46" i="15" s="1"/>
  <c r="H47" i="15"/>
  <c r="M47" i="15" s="1"/>
  <c r="H42" i="15"/>
  <c r="M42" i="15" s="1"/>
  <c r="G43" i="15"/>
  <c r="L43" i="15" s="1"/>
  <c r="G44" i="15"/>
  <c r="L44" i="15" s="1"/>
  <c r="G45" i="15"/>
  <c r="L45" i="15" s="1"/>
  <c r="G46" i="15"/>
  <c r="L46" i="15" s="1"/>
  <c r="G47" i="15"/>
  <c r="L47" i="15" s="1"/>
  <c r="G42" i="15"/>
  <c r="L42" i="15" s="1"/>
  <c r="G5" i="15"/>
  <c r="H5" i="15"/>
  <c r="I5" i="15"/>
  <c r="G6" i="15"/>
  <c r="H6" i="15"/>
  <c r="I6" i="15"/>
  <c r="G7" i="15"/>
  <c r="H7" i="15"/>
  <c r="I7" i="15"/>
  <c r="G8" i="15"/>
  <c r="H8" i="15"/>
  <c r="I8" i="15"/>
  <c r="J8" i="15" s="1"/>
  <c r="G9" i="15"/>
  <c r="H9" i="15"/>
  <c r="I9" i="15"/>
  <c r="I4" i="15"/>
  <c r="H4" i="15"/>
  <c r="G4" i="15"/>
  <c r="D255" i="7" l="1"/>
  <c r="D57" i="17"/>
  <c r="D53" i="18" s="1"/>
  <c r="D51" i="29"/>
  <c r="C17" i="12"/>
  <c r="C139" i="28" s="1"/>
  <c r="C130" i="28"/>
  <c r="D75" i="7"/>
  <c r="D79" i="28"/>
  <c r="D81" i="28" s="1"/>
  <c r="D17" i="29" s="1"/>
  <c r="D243" i="7"/>
  <c r="D247" i="7"/>
  <c r="D7" i="12"/>
  <c r="D130" i="28" s="1"/>
  <c r="D342" i="7"/>
  <c r="C25" i="15"/>
  <c r="C25" i="13"/>
  <c r="D25" i="13" s="1"/>
  <c r="I6" i="13" s="1"/>
  <c r="I7" i="13" s="1"/>
  <c r="I8" i="13" s="1"/>
  <c r="I9" i="13" s="1"/>
  <c r="C8" i="15"/>
  <c r="C27" i="15"/>
  <c r="C23" i="15"/>
  <c r="C6" i="24"/>
  <c r="D6" i="24" s="1"/>
  <c r="O127" i="2"/>
  <c r="G128" i="6"/>
  <c r="H128" i="6" s="1"/>
  <c r="C128" i="6" s="1"/>
  <c r="G129" i="6"/>
  <c r="H129" i="6" s="1"/>
  <c r="C129" i="6" s="1"/>
  <c r="G127" i="6"/>
  <c r="H127" i="6" s="1"/>
  <c r="C127" i="6" s="1"/>
  <c r="B127" i="6" s="1"/>
  <c r="O124" i="2" s="1"/>
  <c r="D55" i="17"/>
  <c r="D51" i="18" s="1"/>
  <c r="D256" i="7"/>
  <c r="D47" i="18"/>
  <c r="D51" i="17" s="1"/>
  <c r="D321" i="7"/>
  <c r="D323" i="7" s="1"/>
  <c r="C11" i="11"/>
  <c r="C118" i="28" s="1"/>
  <c r="D253" i="7"/>
  <c r="C138" i="6"/>
  <c r="D244" i="7"/>
  <c r="C244" i="7"/>
  <c r="C124" i="6"/>
  <c r="C69" i="18"/>
  <c r="I68" i="18"/>
  <c r="I72" i="18" s="1"/>
  <c r="D69" i="18" s="1"/>
  <c r="G60" i="18"/>
  <c r="G61" i="18" s="1"/>
  <c r="D74" i="7"/>
  <c r="C75" i="7"/>
  <c r="D36" i="8"/>
  <c r="J10" i="15"/>
  <c r="O46" i="15"/>
  <c r="M48" i="15"/>
  <c r="O48" i="15" s="1"/>
  <c r="J48" i="15"/>
  <c r="J4" i="15"/>
  <c r="J46" i="15"/>
  <c r="J47" i="15"/>
  <c r="J43" i="15"/>
  <c r="O44" i="15"/>
  <c r="O45" i="15"/>
  <c r="J42" i="15"/>
  <c r="O47" i="15"/>
  <c r="O42" i="15"/>
  <c r="J45" i="15"/>
  <c r="O43" i="15"/>
  <c r="J44" i="15"/>
  <c r="J5" i="15"/>
  <c r="J7" i="15"/>
  <c r="J9" i="15"/>
  <c r="J6" i="15"/>
  <c r="J4" i="12"/>
  <c r="K4" i="12"/>
  <c r="L4" i="12" s="1"/>
  <c r="J5" i="12"/>
  <c r="K5" i="12"/>
  <c r="L5" i="12" s="1"/>
  <c r="J6" i="12"/>
  <c r="K6" i="12"/>
  <c r="L6" i="12" s="1"/>
  <c r="J7" i="12"/>
  <c r="K7" i="12"/>
  <c r="L7" i="12" s="1"/>
  <c r="J8" i="12"/>
  <c r="K8" i="12"/>
  <c r="L8" i="12" s="1"/>
  <c r="K3" i="12"/>
  <c r="L3" i="12" s="1"/>
  <c r="J3" i="12"/>
  <c r="C38" i="15" l="1"/>
  <c r="C196" i="7" s="1"/>
  <c r="D77" i="7"/>
  <c r="D15" i="17" s="1"/>
  <c r="D9" i="24"/>
  <c r="D318" i="28"/>
  <c r="D321" i="28" s="1"/>
  <c r="C252" i="7"/>
  <c r="C248" i="28"/>
  <c r="I10" i="13"/>
  <c r="I11" i="13" s="1"/>
  <c r="I12" i="13" s="1"/>
  <c r="I16" i="13" s="1"/>
  <c r="I17" i="13" s="1"/>
  <c r="I18" i="13" s="1"/>
  <c r="I13" i="13"/>
  <c r="I14" i="13" s="1"/>
  <c r="I15" i="13" s="1"/>
  <c r="C10" i="15"/>
  <c r="C11" i="15"/>
  <c r="C9" i="15"/>
  <c r="C36" i="15"/>
  <c r="D38" i="15"/>
  <c r="D27" i="15"/>
  <c r="C180" i="7"/>
  <c r="R124" i="2"/>
  <c r="S124" i="2" s="1"/>
  <c r="P124" i="2"/>
  <c r="D327" i="7"/>
  <c r="R127" i="2"/>
  <c r="S127" i="2" s="1"/>
  <c r="P127" i="2"/>
  <c r="C249" i="7"/>
  <c r="E129" i="6"/>
  <c r="E128" i="6"/>
  <c r="J49" i="15"/>
  <c r="O49" i="15"/>
  <c r="J11" i="15"/>
  <c r="L10" i="12"/>
  <c r="D19" i="7"/>
  <c r="B3" i="7"/>
  <c r="C3" i="7"/>
  <c r="B4" i="7"/>
  <c r="B5" i="7"/>
  <c r="B6" i="7"/>
  <c r="B7" i="7"/>
  <c r="A4" i="7"/>
  <c r="A5" i="7"/>
  <c r="A6" i="7"/>
  <c r="A7" i="7"/>
  <c r="A3" i="7"/>
  <c r="C8" i="16"/>
  <c r="C6" i="16"/>
  <c r="D4" i="16"/>
  <c r="A220" i="7"/>
  <c r="B220" i="7"/>
  <c r="A221" i="7"/>
  <c r="B221" i="7"/>
  <c r="B219" i="7"/>
  <c r="A219" i="7"/>
  <c r="B213" i="7"/>
  <c r="B214" i="7"/>
  <c r="B215" i="7"/>
  <c r="A214" i="7"/>
  <c r="A215" i="7"/>
  <c r="A213" i="7"/>
  <c r="D56" i="15"/>
  <c r="B192" i="7"/>
  <c r="B193" i="7"/>
  <c r="B198" i="7"/>
  <c r="A193" i="7"/>
  <c r="A195" i="7"/>
  <c r="A198" i="7"/>
  <c r="A192" i="7"/>
  <c r="B181" i="7"/>
  <c r="B182" i="7"/>
  <c r="A182" i="7"/>
  <c r="A183" i="7"/>
  <c r="A184" i="7"/>
  <c r="A181" i="7"/>
  <c r="B169" i="7"/>
  <c r="B160" i="7"/>
  <c r="A169" i="7"/>
  <c r="A163" i="7"/>
  <c r="A160" i="7"/>
  <c r="B156" i="7"/>
  <c r="B153" i="7"/>
  <c r="A156" i="7"/>
  <c r="A154" i="7"/>
  <c r="A153" i="7"/>
  <c r="B195" i="7"/>
  <c r="C185" i="7"/>
  <c r="C24" i="15"/>
  <c r="B184" i="7"/>
  <c r="C37" i="15"/>
  <c r="B183" i="7"/>
  <c r="B9" i="15"/>
  <c r="B8" i="15"/>
  <c r="C4" i="15"/>
  <c r="C5" i="15" s="1"/>
  <c r="D15" i="18" l="1"/>
  <c r="I15" i="18" s="1"/>
  <c r="D24" i="15"/>
  <c r="D180" i="7"/>
  <c r="D6" i="16"/>
  <c r="C5" i="28"/>
  <c r="D8" i="16"/>
  <c r="C7" i="28"/>
  <c r="D221" i="7"/>
  <c r="D223" i="28"/>
  <c r="D196" i="7"/>
  <c r="D3" i="7"/>
  <c r="D3" i="28"/>
  <c r="B13" i="15"/>
  <c r="B168" i="28" s="1"/>
  <c r="D168" i="28" s="1"/>
  <c r="B165" i="28"/>
  <c r="D165" i="28" s="1"/>
  <c r="D252" i="7"/>
  <c r="D248" i="28"/>
  <c r="D249" i="7"/>
  <c r="D11" i="15"/>
  <c r="C165" i="7"/>
  <c r="D10" i="15"/>
  <c r="C164" i="7"/>
  <c r="C7" i="15"/>
  <c r="C6" i="15"/>
  <c r="C184" i="7"/>
  <c r="B128" i="6"/>
  <c r="O125" i="2" s="1"/>
  <c r="B129" i="6"/>
  <c r="O126" i="2" s="1"/>
  <c r="E127" i="6"/>
  <c r="C10" i="11" s="1"/>
  <c r="C117" i="28" s="1"/>
  <c r="B154" i="7"/>
  <c r="B12" i="15"/>
  <c r="B163" i="7"/>
  <c r="C5" i="7"/>
  <c r="C7" i="7"/>
  <c r="C221" i="7"/>
  <c r="C215" i="7"/>
  <c r="D50" i="15"/>
  <c r="C195" i="7"/>
  <c r="D198" i="7"/>
  <c r="C153" i="7"/>
  <c r="C182" i="7"/>
  <c r="C35" i="15"/>
  <c r="D26" i="15"/>
  <c r="D185" i="7"/>
  <c r="C18" i="15"/>
  <c r="D18" i="15" s="1"/>
  <c r="D4" i="15"/>
  <c r="A276" i="7"/>
  <c r="B276" i="7"/>
  <c r="A278" i="7"/>
  <c r="B278" i="7"/>
  <c r="A279" i="7"/>
  <c r="B279" i="7"/>
  <c r="A280" i="7"/>
  <c r="B280" i="7"/>
  <c r="B275" i="7"/>
  <c r="C275" i="7"/>
  <c r="A275" i="7"/>
  <c r="C5" i="14"/>
  <c r="C8" i="14"/>
  <c r="D275" i="7"/>
  <c r="C292" i="7"/>
  <c r="D20" i="13"/>
  <c r="C21" i="13"/>
  <c r="D21" i="13" s="1"/>
  <c r="A139" i="7"/>
  <c r="B139" i="7"/>
  <c r="C20" i="12"/>
  <c r="A136" i="7"/>
  <c r="B136" i="7"/>
  <c r="A138" i="7"/>
  <c r="B138" i="7"/>
  <c r="C138" i="7"/>
  <c r="D138" i="7"/>
  <c r="B135" i="7"/>
  <c r="C135" i="7"/>
  <c r="A135" i="7"/>
  <c r="B134" i="7"/>
  <c r="A125" i="7"/>
  <c r="B125" i="7"/>
  <c r="A126" i="7"/>
  <c r="B126" i="7"/>
  <c r="A127" i="7"/>
  <c r="B127" i="7"/>
  <c r="A128" i="7"/>
  <c r="B128" i="7"/>
  <c r="A129" i="7"/>
  <c r="B129" i="7"/>
  <c r="A130" i="7"/>
  <c r="B130" i="7"/>
  <c r="B124" i="7"/>
  <c r="A124" i="7"/>
  <c r="D17" i="12"/>
  <c r="D139" i="28" s="1"/>
  <c r="D16" i="12"/>
  <c r="C9" i="12"/>
  <c r="C8" i="12"/>
  <c r="C4" i="12"/>
  <c r="C10" i="12"/>
  <c r="A108" i="7"/>
  <c r="B108" i="7"/>
  <c r="A109" i="7"/>
  <c r="B109" i="7"/>
  <c r="A110" i="7"/>
  <c r="B110" i="7"/>
  <c r="A113" i="7"/>
  <c r="B113" i="7"/>
  <c r="A114" i="7"/>
  <c r="B114" i="7"/>
  <c r="A118" i="7"/>
  <c r="B118" i="7"/>
  <c r="B107" i="7"/>
  <c r="C107" i="7"/>
  <c r="A107" i="7"/>
  <c r="D11" i="11"/>
  <c r="C5" i="11"/>
  <c r="C14" i="11"/>
  <c r="A96" i="7"/>
  <c r="B96" i="7"/>
  <c r="A97" i="7"/>
  <c r="B97" i="7"/>
  <c r="C97" i="7"/>
  <c r="A102" i="7"/>
  <c r="B102" i="7"/>
  <c r="A81" i="7"/>
  <c r="B81" i="7"/>
  <c r="A82" i="7"/>
  <c r="A83" i="7"/>
  <c r="B83" i="7"/>
  <c r="A84" i="7"/>
  <c r="B84" i="7"/>
  <c r="A86" i="7"/>
  <c r="B86" i="7"/>
  <c r="A93" i="7"/>
  <c r="B93" i="7"/>
  <c r="C93" i="7"/>
  <c r="A94" i="7"/>
  <c r="B94" i="7"/>
  <c r="A95" i="7"/>
  <c r="B95" i="7"/>
  <c r="B80" i="7"/>
  <c r="A80" i="7"/>
  <c r="D20" i="10"/>
  <c r="C99" i="28"/>
  <c r="C26" i="10"/>
  <c r="D17" i="10"/>
  <c r="D97" i="28" s="1"/>
  <c r="B67" i="7"/>
  <c r="A67" i="7"/>
  <c r="C26" i="8"/>
  <c r="D21" i="10"/>
  <c r="C81" i="7"/>
  <c r="B82" i="7"/>
  <c r="C10" i="10"/>
  <c r="C4" i="10"/>
  <c r="A265" i="7"/>
  <c r="B265" i="7"/>
  <c r="A268" i="7"/>
  <c r="B268" i="7"/>
  <c r="A269" i="7"/>
  <c r="B269" i="7"/>
  <c r="C269" i="7"/>
  <c r="A270" i="7"/>
  <c r="B264" i="7"/>
  <c r="C264" i="7"/>
  <c r="A264" i="7"/>
  <c r="A53" i="7"/>
  <c r="B53" i="7"/>
  <c r="A54" i="7"/>
  <c r="B54" i="7"/>
  <c r="A55" i="7"/>
  <c r="B55" i="7"/>
  <c r="A56" i="7"/>
  <c r="B56" i="7"/>
  <c r="A57" i="7"/>
  <c r="B57" i="7"/>
  <c r="A58" i="7"/>
  <c r="B58" i="7"/>
  <c r="A63" i="7"/>
  <c r="B63" i="7"/>
  <c r="A64" i="7"/>
  <c r="B64" i="7"/>
  <c r="C64" i="7"/>
  <c r="A66" i="7"/>
  <c r="B66" i="7"/>
  <c r="A69" i="7"/>
  <c r="B69" i="7"/>
  <c r="B52" i="7"/>
  <c r="A49" i="7"/>
  <c r="B49" i="7"/>
  <c r="A52" i="7"/>
  <c r="B48" i="7"/>
  <c r="C48" i="7"/>
  <c r="A48" i="7"/>
  <c r="D39" i="8"/>
  <c r="D28" i="8"/>
  <c r="B270" i="7"/>
  <c r="D44" i="8"/>
  <c r="C25" i="8"/>
  <c r="C11" i="8"/>
  <c r="C16" i="8"/>
  <c r="C10" i="8"/>
  <c r="D23" i="8"/>
  <c r="E15" i="8"/>
  <c r="G14" i="8"/>
  <c r="F14" i="8"/>
  <c r="E14" i="8"/>
  <c r="E13" i="8"/>
  <c r="K13" i="8" s="1"/>
  <c r="C13" i="8" s="1"/>
  <c r="C64" i="28" s="1"/>
  <c r="E12" i="8"/>
  <c r="K12" i="8" s="1"/>
  <c r="B35" i="7"/>
  <c r="B36" i="7"/>
  <c r="B39" i="7"/>
  <c r="C39" i="7"/>
  <c r="B40" i="7"/>
  <c r="B41" i="7"/>
  <c r="B42" i="7"/>
  <c r="C43" i="7"/>
  <c r="B28" i="7"/>
  <c r="A29" i="7"/>
  <c r="A35" i="7"/>
  <c r="A36" i="7"/>
  <c r="A39" i="7"/>
  <c r="A40" i="7"/>
  <c r="A41" i="7"/>
  <c r="A42" i="7"/>
  <c r="A43" i="7"/>
  <c r="A28" i="7"/>
  <c r="C34" i="5"/>
  <c r="C33" i="5"/>
  <c r="C28" i="5"/>
  <c r="C45" i="28" s="1"/>
  <c r="B48" i="6"/>
  <c r="D20" i="5"/>
  <c r="D37" i="28" s="1"/>
  <c r="D114" i="7" l="1"/>
  <c r="D118" i="28"/>
  <c r="D184" i="7"/>
  <c r="C193" i="7"/>
  <c r="D269" i="7"/>
  <c r="D26" i="8"/>
  <c r="C72" i="28"/>
  <c r="D14" i="11"/>
  <c r="C122" i="28"/>
  <c r="D215" i="7"/>
  <c r="D217" i="28"/>
  <c r="D69" i="7"/>
  <c r="D73" i="28"/>
  <c r="D264" i="7"/>
  <c r="D4" i="12"/>
  <c r="C127" i="28"/>
  <c r="D33" i="5"/>
  <c r="C50" i="28"/>
  <c r="D5" i="11"/>
  <c r="D112" i="28" s="1"/>
  <c r="C112" i="28"/>
  <c r="C124" i="7"/>
  <c r="C139" i="7"/>
  <c r="C142" i="28"/>
  <c r="D164" i="7"/>
  <c r="D7" i="7"/>
  <c r="D7" i="28"/>
  <c r="D34" i="5"/>
  <c r="C51" i="28"/>
  <c r="D8" i="14"/>
  <c r="D5" i="7"/>
  <c r="D5" i="28"/>
  <c r="D10" i="8"/>
  <c r="C61" i="28"/>
  <c r="D10" i="10"/>
  <c r="C90" i="28"/>
  <c r="D26" i="10"/>
  <c r="C106" i="28"/>
  <c r="D8" i="12"/>
  <c r="C131" i="28"/>
  <c r="C58" i="7"/>
  <c r="C67" i="28"/>
  <c r="D9" i="12"/>
  <c r="C132" i="28"/>
  <c r="B166" i="7"/>
  <c r="C161" i="7"/>
  <c r="D10" i="12"/>
  <c r="C133" i="28"/>
  <c r="C6" i="10"/>
  <c r="D6" i="10" s="1"/>
  <c r="C84" i="28"/>
  <c r="D5" i="14"/>
  <c r="D165" i="7"/>
  <c r="D11" i="8"/>
  <c r="C62" i="28"/>
  <c r="D96" i="7"/>
  <c r="D100" i="28"/>
  <c r="D135" i="7"/>
  <c r="D138" i="28"/>
  <c r="C162" i="7"/>
  <c r="D64" i="7"/>
  <c r="D69" i="28"/>
  <c r="K14" i="8"/>
  <c r="C14" i="8" s="1"/>
  <c r="C65" i="28" s="1"/>
  <c r="D25" i="8"/>
  <c r="C71" i="28"/>
  <c r="D97" i="7"/>
  <c r="D101" i="28"/>
  <c r="D153" i="7"/>
  <c r="B155" i="7"/>
  <c r="D5" i="15"/>
  <c r="D182" i="7"/>
  <c r="F188" i="7" s="1"/>
  <c r="D188" i="7" s="1"/>
  <c r="C160" i="7"/>
  <c r="D6" i="15"/>
  <c r="D7" i="15"/>
  <c r="D19" i="10"/>
  <c r="D28" i="5"/>
  <c r="C197" i="7"/>
  <c r="D93" i="7"/>
  <c r="R125" i="2"/>
  <c r="S125" i="2" s="1"/>
  <c r="P125" i="2"/>
  <c r="R126" i="2"/>
  <c r="S126" i="2" s="1"/>
  <c r="P126" i="2"/>
  <c r="B242" i="7"/>
  <c r="C285" i="7"/>
  <c r="C251" i="7"/>
  <c r="C250" i="7"/>
  <c r="C115" i="6"/>
  <c r="D136" i="7"/>
  <c r="L13" i="12"/>
  <c r="C114" i="7"/>
  <c r="J14" i="15"/>
  <c r="C12" i="15" s="1"/>
  <c r="J15" i="15"/>
  <c r="C48" i="15" s="1"/>
  <c r="J16" i="15"/>
  <c r="C49" i="15" s="1"/>
  <c r="C154" i="7"/>
  <c r="C28" i="7"/>
  <c r="C7" i="10"/>
  <c r="C87" i="28" s="1"/>
  <c r="D28" i="7"/>
  <c r="B26" i="7"/>
  <c r="D10" i="11"/>
  <c r="D117" i="28" s="1"/>
  <c r="C113" i="7"/>
  <c r="C198" i="7"/>
  <c r="D37" i="15"/>
  <c r="D35" i="15"/>
  <c r="C128" i="7"/>
  <c r="D20" i="12"/>
  <c r="C130" i="7"/>
  <c r="C280" i="7"/>
  <c r="C276" i="7"/>
  <c r="C129" i="7"/>
  <c r="D292" i="7"/>
  <c r="C136" i="7"/>
  <c r="C27" i="5"/>
  <c r="B125" i="6" s="1"/>
  <c r="G15" i="8"/>
  <c r="K15" i="8" s="1"/>
  <c r="C118" i="7"/>
  <c r="C96" i="7"/>
  <c r="C108" i="7"/>
  <c r="C67" i="7"/>
  <c r="C80" i="7"/>
  <c r="C95" i="7"/>
  <c r="C86" i="7"/>
  <c r="C102" i="7"/>
  <c r="D107" i="7"/>
  <c r="D4" i="10"/>
  <c r="C52" i="7"/>
  <c r="C53" i="7"/>
  <c r="C66" i="7"/>
  <c r="C69" i="7"/>
  <c r="D5" i="10"/>
  <c r="C45" i="8"/>
  <c r="C12" i="8"/>
  <c r="C63" i="28" s="1"/>
  <c r="C41" i="7"/>
  <c r="D16" i="8"/>
  <c r="C36" i="7"/>
  <c r="C42" i="7"/>
  <c r="D39" i="7"/>
  <c r="J3" i="5"/>
  <c r="C17" i="5" s="1"/>
  <c r="D108" i="7" l="1"/>
  <c r="C55" i="15"/>
  <c r="C222" i="28" s="1"/>
  <c r="C216" i="28"/>
  <c r="D161" i="7"/>
  <c r="D53" i="7"/>
  <c r="D62" i="28"/>
  <c r="D130" i="7"/>
  <c r="D133" i="28"/>
  <c r="D86" i="7"/>
  <c r="D90" i="28"/>
  <c r="D42" i="7"/>
  <c r="D51" i="28"/>
  <c r="D58" i="7"/>
  <c r="D67" i="28"/>
  <c r="C54" i="15"/>
  <c r="C221" i="28" s="1"/>
  <c r="C215" i="28"/>
  <c r="D80" i="7"/>
  <c r="D84" i="28"/>
  <c r="C270" i="7"/>
  <c r="D41" i="7"/>
  <c r="D50" i="28"/>
  <c r="D81" i="7"/>
  <c r="D85" i="28"/>
  <c r="D139" i="7"/>
  <c r="D142" i="28"/>
  <c r="D36" i="7"/>
  <c r="D45" i="28"/>
  <c r="D276" i="7"/>
  <c r="D128" i="7"/>
  <c r="D131" i="28"/>
  <c r="C20" i="28"/>
  <c r="D20" i="28" s="1"/>
  <c r="D23" i="28" s="1"/>
  <c r="D9" i="29" s="1"/>
  <c r="C44" i="28"/>
  <c r="C318" i="28"/>
  <c r="C13" i="28"/>
  <c r="D13" i="28" s="1"/>
  <c r="D16" i="28" s="1"/>
  <c r="D7" i="29" s="1"/>
  <c r="D160" i="7"/>
  <c r="D66" i="7"/>
  <c r="D71" i="28"/>
  <c r="D124" i="7"/>
  <c r="D127" i="28"/>
  <c r="D118" i="7"/>
  <c r="D122" i="28"/>
  <c r="D52" i="7"/>
  <c r="D61" i="28"/>
  <c r="D197" i="7"/>
  <c r="C27" i="7"/>
  <c r="C36" i="28"/>
  <c r="D95" i="7"/>
  <c r="D99" i="28"/>
  <c r="C82" i="7"/>
  <c r="C86" i="28"/>
  <c r="D129" i="7"/>
  <c r="D132" i="28"/>
  <c r="D102" i="7"/>
  <c r="D106" i="28"/>
  <c r="D280" i="7"/>
  <c r="D82" i="7"/>
  <c r="D86" i="28"/>
  <c r="D195" i="7"/>
  <c r="D162" i="7"/>
  <c r="D67" i="7"/>
  <c r="D72" i="28"/>
  <c r="D251" i="7"/>
  <c r="D250" i="7"/>
  <c r="D6" i="13"/>
  <c r="C14" i="15"/>
  <c r="C15" i="15"/>
  <c r="C13" i="15"/>
  <c r="D17" i="5"/>
  <c r="C15" i="8"/>
  <c r="D113" i="7"/>
  <c r="F6" i="13"/>
  <c r="C155" i="7"/>
  <c r="G9" i="5"/>
  <c r="K15" i="18"/>
  <c r="M15" i="18" s="1"/>
  <c r="D12" i="15"/>
  <c r="C20" i="7"/>
  <c r="D20" i="7" s="1"/>
  <c r="D23" i="7" s="1"/>
  <c r="D7" i="10"/>
  <c r="D87" i="28" s="1"/>
  <c r="C83" i="7"/>
  <c r="D27" i="5"/>
  <c r="C13" i="7"/>
  <c r="D13" i="7" s="1"/>
  <c r="D16" i="7" s="1"/>
  <c r="C5" i="16"/>
  <c r="C4" i="28" s="1"/>
  <c r="C327" i="7"/>
  <c r="D330" i="7" s="1"/>
  <c r="D47" i="29" s="1"/>
  <c r="C34" i="15"/>
  <c r="D23" i="15"/>
  <c r="C181" i="7"/>
  <c r="C194" i="7"/>
  <c r="D25" i="15"/>
  <c r="C183" i="7"/>
  <c r="D16" i="15"/>
  <c r="C156" i="7"/>
  <c r="C17" i="15"/>
  <c r="D193" i="7"/>
  <c r="C35" i="7"/>
  <c r="C8" i="10"/>
  <c r="C6" i="14"/>
  <c r="C6" i="12"/>
  <c r="D8" i="15"/>
  <c r="C5" i="8"/>
  <c r="C58" i="28" s="1"/>
  <c r="D14" i="8"/>
  <c r="C56" i="7"/>
  <c r="D45" i="8"/>
  <c r="D13" i="8"/>
  <c r="D64" i="28" s="1"/>
  <c r="C55" i="7"/>
  <c r="D12" i="8"/>
  <c r="D63" i="28" s="1"/>
  <c r="C54" i="7"/>
  <c r="O122" i="2" l="1"/>
  <c r="C244" i="28" s="1"/>
  <c r="D244" i="28" s="1"/>
  <c r="C18" i="10"/>
  <c r="C98" i="28" s="1"/>
  <c r="D31" i="15"/>
  <c r="D56" i="7"/>
  <c r="D65" i="28"/>
  <c r="C192" i="7"/>
  <c r="D201" i="7" s="1"/>
  <c r="D155" i="7"/>
  <c r="D27" i="7"/>
  <c r="D36" i="28"/>
  <c r="D154" i="7"/>
  <c r="D13" i="15"/>
  <c r="D166" i="7" s="1"/>
  <c r="D6" i="12"/>
  <c r="C129" i="28"/>
  <c r="D183" i="7"/>
  <c r="D206" i="28"/>
  <c r="D212" i="28" s="1"/>
  <c r="D270" i="7"/>
  <c r="C278" i="7"/>
  <c r="D35" i="7"/>
  <c r="D44" i="28"/>
  <c r="D8" i="10"/>
  <c r="C88" i="28"/>
  <c r="C57" i="7"/>
  <c r="C66" i="28"/>
  <c r="D55" i="7"/>
  <c r="D53" i="17"/>
  <c r="D8" i="13"/>
  <c r="D7" i="13"/>
  <c r="D276" i="28" s="1"/>
  <c r="D14" i="15"/>
  <c r="C167" i="7"/>
  <c r="C168" i="7"/>
  <c r="D15" i="15"/>
  <c r="D156" i="7"/>
  <c r="D15" i="8"/>
  <c r="E24" i="8"/>
  <c r="F8" i="13"/>
  <c r="F7" i="13"/>
  <c r="D83" i="7"/>
  <c r="C286" i="7"/>
  <c r="D49" i="18"/>
  <c r="I49" i="18" s="1"/>
  <c r="K49" i="18" s="1"/>
  <c r="M49" i="18" s="1"/>
  <c r="C166" i="7"/>
  <c r="C125" i="6"/>
  <c r="D9" i="17"/>
  <c r="D9" i="18"/>
  <c r="I9" i="18" s="1"/>
  <c r="K9" i="18" s="1"/>
  <c r="M9" i="18" s="1"/>
  <c r="D7" i="17"/>
  <c r="D7" i="18"/>
  <c r="I7" i="18" s="1"/>
  <c r="K7" i="18" s="1"/>
  <c r="M7" i="18" s="1"/>
  <c r="D6" i="14"/>
  <c r="D181" i="7"/>
  <c r="D34" i="15"/>
  <c r="D5" i="16"/>
  <c r="D4" i="28" s="1"/>
  <c r="C4" i="7"/>
  <c r="D17" i="15"/>
  <c r="C169" i="7"/>
  <c r="D36" i="15"/>
  <c r="G6" i="13"/>
  <c r="B277" i="28" s="1"/>
  <c r="D277" i="28" s="1"/>
  <c r="C84" i="7"/>
  <c r="C126" i="7"/>
  <c r="D9" i="15"/>
  <c r="C163" i="7"/>
  <c r="C49" i="7"/>
  <c r="D54" i="7"/>
  <c r="R122" i="2" l="1"/>
  <c r="S122" i="2" s="1"/>
  <c r="P122" i="2"/>
  <c r="D248" i="7" s="1"/>
  <c r="D189" i="7"/>
  <c r="D204" i="7" s="1"/>
  <c r="D168" i="7"/>
  <c r="D126" i="7"/>
  <c r="D129" i="28"/>
  <c r="D27" i="29"/>
  <c r="D278" i="7"/>
  <c r="D163" i="7"/>
  <c r="D167" i="7"/>
  <c r="D57" i="7"/>
  <c r="D66" i="28"/>
  <c r="D84" i="7"/>
  <c r="D88" i="28"/>
  <c r="D160" i="28"/>
  <c r="D175" i="28" s="1"/>
  <c r="D194" i="7"/>
  <c r="D29" i="29"/>
  <c r="D169" i="7"/>
  <c r="D158" i="7"/>
  <c r="D173" i="7" s="1"/>
  <c r="D25" i="18" s="1"/>
  <c r="D25" i="17" s="1"/>
  <c r="D14" i="13"/>
  <c r="D20" i="15"/>
  <c r="G7" i="13"/>
  <c r="G8" i="13"/>
  <c r="D45" i="15"/>
  <c r="F9" i="13"/>
  <c r="C248" i="7"/>
  <c r="D18" i="10"/>
  <c r="C94" i="7"/>
  <c r="C6" i="11"/>
  <c r="C113" i="28" s="1"/>
  <c r="D127" i="7"/>
  <c r="C127" i="7"/>
  <c r="D4" i="7"/>
  <c r="D192" i="7"/>
  <c r="D9" i="13"/>
  <c r="D171" i="7" l="1"/>
  <c r="D202" i="7"/>
  <c r="D173" i="28"/>
  <c r="D177" i="28" s="1"/>
  <c r="D25" i="29" s="1"/>
  <c r="D23" i="29"/>
  <c r="D94" i="7"/>
  <c r="D98" i="28"/>
  <c r="D15" i="13"/>
  <c r="C18" i="13"/>
  <c r="D18" i="13" s="1"/>
  <c r="F10" i="13"/>
  <c r="F11" i="13" s="1"/>
  <c r="F12" i="13" s="1"/>
  <c r="D29" i="17"/>
  <c r="D29" i="18"/>
  <c r="I29" i="18" s="1"/>
  <c r="K29" i="18" s="1"/>
  <c r="M29" i="18" s="1"/>
  <c r="G9" i="13"/>
  <c r="I25" i="18"/>
  <c r="C109" i="7"/>
  <c r="D6" i="11"/>
  <c r="D113" i="28" s="1"/>
  <c r="D10" i="13"/>
  <c r="D206" i="7" l="1"/>
  <c r="D210" i="7" s="1"/>
  <c r="D175" i="7"/>
  <c r="D177" i="7" s="1"/>
  <c r="F103" i="7"/>
  <c r="D103" i="7" s="1"/>
  <c r="D104" i="7" s="1"/>
  <c r="G12" i="13"/>
  <c r="F13" i="13"/>
  <c r="G13" i="13" s="1"/>
  <c r="D27" i="18"/>
  <c r="D27" i="17" s="1"/>
  <c r="D179" i="28"/>
  <c r="G10" i="13"/>
  <c r="G11" i="13"/>
  <c r="K25" i="18"/>
  <c r="M25" i="18" s="1"/>
  <c r="D31" i="18"/>
  <c r="I31" i="18" s="1"/>
  <c r="K31" i="18" s="1"/>
  <c r="M31" i="18" s="1"/>
  <c r="D31" i="17"/>
  <c r="F16" i="13"/>
  <c r="F17" i="13" s="1"/>
  <c r="F18" i="13" s="1"/>
  <c r="G18" i="13" s="1"/>
  <c r="D109" i="7"/>
  <c r="D11" i="13"/>
  <c r="F14" i="13" l="1"/>
  <c r="G14" i="13" s="1"/>
  <c r="I27" i="18"/>
  <c r="K27" i="18" s="1"/>
  <c r="M27" i="18" s="1"/>
  <c r="G16" i="13"/>
  <c r="D12" i="13"/>
  <c r="F15" i="13" l="1"/>
  <c r="G15" i="13" s="1"/>
  <c r="D16" i="13"/>
  <c r="G17" i="13" l="1"/>
  <c r="D17" i="13" l="1"/>
  <c r="D4" i="8"/>
  <c r="D48" i="7" l="1"/>
  <c r="D57" i="28"/>
  <c r="D5" i="8"/>
  <c r="D58" i="28" s="1"/>
  <c r="D6" i="8" l="1"/>
  <c r="D49" i="7"/>
  <c r="C4" i="5" l="1"/>
  <c r="D4" i="5" l="1"/>
  <c r="C5" i="5"/>
  <c r="H9" i="5"/>
  <c r="H6" i="5"/>
  <c r="H5" i="5"/>
  <c r="C6" i="5" l="1"/>
  <c r="D6" i="5" s="1"/>
  <c r="D5" i="5"/>
  <c r="H7" i="5"/>
  <c r="H8" i="5" s="1"/>
  <c r="H11" i="5" s="1"/>
  <c r="C32" i="5" l="1"/>
  <c r="C49" i="28" s="1"/>
  <c r="B43" i="7"/>
  <c r="D35" i="5"/>
  <c r="D52" i="28" s="1"/>
  <c r="C7" i="5"/>
  <c r="D7" i="5" s="1"/>
  <c r="E156" i="4"/>
  <c r="E155" i="4"/>
  <c r="E153" i="4"/>
  <c r="E152" i="4"/>
  <c r="D43" i="7" l="1"/>
  <c r="D32" i="5"/>
  <c r="D49" i="28" s="1"/>
  <c r="C40" i="7"/>
  <c r="C8" i="5"/>
  <c r="D8" i="5" s="1"/>
  <c r="D40" i="7" l="1"/>
  <c r="D36" i="5"/>
  <c r="C9" i="5"/>
  <c r="D9" i="5" s="1"/>
  <c r="C10" i="5" l="1"/>
  <c r="D10" i="5" s="1"/>
  <c r="C11" i="5" l="1"/>
  <c r="D11" i="5" s="1"/>
  <c r="E138" i="4"/>
  <c r="D148" i="4"/>
  <c r="E147" i="4"/>
  <c r="E146" i="4"/>
  <c r="E145" i="4"/>
  <c r="E143" i="4"/>
  <c r="E142" i="4"/>
  <c r="E136" i="4"/>
  <c r="C12" i="5" l="1"/>
  <c r="C13" i="5" s="1"/>
  <c r="D13" i="5" s="1"/>
  <c r="C141" i="6"/>
  <c r="G249" i="2"/>
  <c r="H249" i="2" s="1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E205" i="2"/>
  <c r="F205" i="2" s="1"/>
  <c r="G205" i="2" s="1"/>
  <c r="H205" i="2" s="1"/>
  <c r="I205" i="2" s="1"/>
  <c r="G204" i="2"/>
  <c r="H204" i="2" s="1"/>
  <c r="E203" i="2"/>
  <c r="F203" i="2" s="1"/>
  <c r="G203" i="2" s="1"/>
  <c r="H203" i="2" s="1"/>
  <c r="I203" i="2" s="1"/>
  <c r="E202" i="2"/>
  <c r="F202" i="2" s="1"/>
  <c r="G202" i="2" s="1"/>
  <c r="H202" i="2" s="1"/>
  <c r="I202" i="2" s="1"/>
  <c r="G201" i="2"/>
  <c r="H201" i="2" s="1"/>
  <c r="E200" i="2"/>
  <c r="F200" i="2" s="1"/>
  <c r="G200" i="2" s="1"/>
  <c r="H200" i="2" s="1"/>
  <c r="I200" i="2" s="1"/>
  <c r="E199" i="2"/>
  <c r="F199" i="2" s="1"/>
  <c r="G199" i="2" s="1"/>
  <c r="H199" i="2" s="1"/>
  <c r="I199" i="2" s="1"/>
  <c r="E198" i="2"/>
  <c r="F198" i="2" s="1"/>
  <c r="G198" i="2" s="1"/>
  <c r="H198" i="2" s="1"/>
  <c r="I198" i="2" s="1"/>
  <c r="E197" i="2"/>
  <c r="F197" i="2" s="1"/>
  <c r="G197" i="2" s="1"/>
  <c r="H197" i="2" s="1"/>
  <c r="E196" i="2"/>
  <c r="F196" i="2" s="1"/>
  <c r="G196" i="2" s="1"/>
  <c r="H196" i="2" s="1"/>
  <c r="I196" i="2" s="1"/>
  <c r="E195" i="2"/>
  <c r="F195" i="2" s="1"/>
  <c r="G195" i="2" s="1"/>
  <c r="H195" i="2" s="1"/>
  <c r="I195" i="2" s="1"/>
  <c r="E194" i="2"/>
  <c r="F194" i="2" s="1"/>
  <c r="G194" i="2" s="1"/>
  <c r="H194" i="2" s="1"/>
  <c r="I194" i="2" s="1"/>
  <c r="E193" i="2"/>
  <c r="F193" i="2" s="1"/>
  <c r="G193" i="2" s="1"/>
  <c r="H193" i="2" s="1"/>
  <c r="I193" i="2" s="1"/>
  <c r="E192" i="2"/>
  <c r="F192" i="2" s="1"/>
  <c r="G192" i="2" s="1"/>
  <c r="H192" i="2" s="1"/>
  <c r="E191" i="2"/>
  <c r="F191" i="2" s="1"/>
  <c r="G191" i="2" s="1"/>
  <c r="H191" i="2" s="1"/>
  <c r="I191" i="2" s="1"/>
  <c r="E190" i="2"/>
  <c r="F190" i="2" s="1"/>
  <c r="G190" i="2" s="1"/>
  <c r="H190" i="2" s="1"/>
  <c r="I190" i="2" s="1"/>
  <c r="E189" i="2"/>
  <c r="F189" i="2" s="1"/>
  <c r="G189" i="2" s="1"/>
  <c r="H189" i="2" s="1"/>
  <c r="I189" i="2" s="1"/>
  <c r="E188" i="2"/>
  <c r="F188" i="2" s="1"/>
  <c r="G188" i="2" s="1"/>
  <c r="H188" i="2" s="1"/>
  <c r="I188" i="2" s="1"/>
  <c r="E187" i="2"/>
  <c r="F187" i="2" s="1"/>
  <c r="G187" i="2" s="1"/>
  <c r="H187" i="2" s="1"/>
  <c r="I187" i="2" s="1"/>
  <c r="E186" i="2"/>
  <c r="F186" i="2" s="1"/>
  <c r="G186" i="2" s="1"/>
  <c r="H186" i="2" s="1"/>
  <c r="I186" i="2" s="1"/>
  <c r="G185" i="2"/>
  <c r="H185" i="2" s="1"/>
  <c r="F184" i="2"/>
  <c r="G184" i="2" s="1"/>
  <c r="H184" i="2" s="1"/>
  <c r="I184" i="2" s="1"/>
  <c r="D184" i="2"/>
  <c r="F183" i="2"/>
  <c r="G183" i="2" s="1"/>
  <c r="H183" i="2" s="1"/>
  <c r="I183" i="2" s="1"/>
  <c r="F182" i="2"/>
  <c r="G182" i="2" s="1"/>
  <c r="H182" i="2" s="1"/>
  <c r="I182" i="2" s="1"/>
  <c r="D182" i="2"/>
  <c r="G181" i="2"/>
  <c r="H181" i="2" s="1"/>
  <c r="F180" i="2"/>
  <c r="G180" i="2" s="1"/>
  <c r="H180" i="2" s="1"/>
  <c r="I180" i="2" s="1"/>
  <c r="F179" i="2"/>
  <c r="G179" i="2" s="1"/>
  <c r="H179" i="2" s="1"/>
  <c r="I179" i="2" s="1"/>
  <c r="D179" i="2"/>
  <c r="D180" i="2" s="1"/>
  <c r="G178" i="2"/>
  <c r="H178" i="2" s="1"/>
  <c r="F177" i="2"/>
  <c r="G177" i="2" s="1"/>
  <c r="H177" i="2" s="1"/>
  <c r="I177" i="2" s="1"/>
  <c r="D177" i="2"/>
  <c r="F176" i="2"/>
  <c r="G176" i="2" s="1"/>
  <c r="H176" i="2" s="1"/>
  <c r="I176" i="2" s="1"/>
  <c r="G175" i="2"/>
  <c r="H175" i="2" s="1"/>
  <c r="F174" i="2"/>
  <c r="G174" i="2" s="1"/>
  <c r="H174" i="2" s="1"/>
  <c r="I174" i="2" s="1"/>
  <c r="F173" i="2"/>
  <c r="G173" i="2" s="1"/>
  <c r="H173" i="2" s="1"/>
  <c r="I173" i="2" s="1"/>
  <c r="G172" i="2"/>
  <c r="H172" i="2" s="1"/>
  <c r="F171" i="2"/>
  <c r="G171" i="2" s="1"/>
  <c r="H171" i="2" s="1"/>
  <c r="I171" i="2" s="1"/>
  <c r="F170" i="2"/>
  <c r="G170" i="2" s="1"/>
  <c r="H170" i="2" s="1"/>
  <c r="I170" i="2" s="1"/>
  <c r="G169" i="2"/>
  <c r="H169" i="2" s="1"/>
  <c r="G168" i="2"/>
  <c r="H168" i="2" s="1"/>
  <c r="F167" i="2"/>
  <c r="G167" i="2" s="1"/>
  <c r="H167" i="2" s="1"/>
  <c r="I167" i="2" s="1"/>
  <c r="F166" i="2"/>
  <c r="G166" i="2" s="1"/>
  <c r="H166" i="2" s="1"/>
  <c r="I166" i="2" s="1"/>
  <c r="G165" i="2"/>
  <c r="H165" i="2" s="1"/>
  <c r="F164" i="2"/>
  <c r="G164" i="2" s="1"/>
  <c r="H164" i="2" s="1"/>
  <c r="I164" i="2" s="1"/>
  <c r="F163" i="2"/>
  <c r="G163" i="2" s="1"/>
  <c r="H163" i="2" s="1"/>
  <c r="I163" i="2" s="1"/>
  <c r="G162" i="2"/>
  <c r="H162" i="2" s="1"/>
  <c r="G161" i="2"/>
  <c r="H161" i="2" s="1"/>
  <c r="G160" i="2"/>
  <c r="H160" i="2" s="1"/>
  <c r="G159" i="2"/>
  <c r="H159" i="2" s="1"/>
  <c r="E158" i="2"/>
  <c r="F158" i="2" s="1"/>
  <c r="G158" i="2" s="1"/>
  <c r="H158" i="2" s="1"/>
  <c r="I158" i="2" s="1"/>
  <c r="E157" i="2"/>
  <c r="F157" i="2" s="1"/>
  <c r="G157" i="2" s="1"/>
  <c r="H157" i="2" s="1"/>
  <c r="E156" i="2"/>
  <c r="F156" i="2" s="1"/>
  <c r="G156" i="2" s="1"/>
  <c r="H156" i="2" s="1"/>
  <c r="I156" i="2" s="1"/>
  <c r="E155" i="2"/>
  <c r="F155" i="2" s="1"/>
  <c r="G155" i="2" s="1"/>
  <c r="H155" i="2" s="1"/>
  <c r="E154" i="2"/>
  <c r="F154" i="2" s="1"/>
  <c r="G154" i="2" s="1"/>
  <c r="H154" i="2" s="1"/>
  <c r="I154" i="2" s="1"/>
  <c r="E153" i="2"/>
  <c r="F153" i="2" s="1"/>
  <c r="G153" i="2" s="1"/>
  <c r="H153" i="2" s="1"/>
  <c r="I153" i="2" s="1"/>
  <c r="E152" i="2"/>
  <c r="F152" i="2" s="1"/>
  <c r="G152" i="2" s="1"/>
  <c r="H152" i="2" s="1"/>
  <c r="I152" i="2" s="1"/>
  <c r="G151" i="2"/>
  <c r="H151" i="2" s="1"/>
  <c r="G150" i="2"/>
  <c r="H150" i="2" s="1"/>
  <c r="G149" i="2"/>
  <c r="H149" i="2" s="1"/>
  <c r="F148" i="2"/>
  <c r="G148" i="2" s="1"/>
  <c r="H148" i="2" s="1"/>
  <c r="I148" i="2" s="1"/>
  <c r="F147" i="2"/>
  <c r="G147" i="2" s="1"/>
  <c r="H147" i="2" s="1"/>
  <c r="I147" i="2" s="1"/>
  <c r="F146" i="2"/>
  <c r="G146" i="2" s="1"/>
  <c r="H146" i="2" s="1"/>
  <c r="F145" i="2"/>
  <c r="G145" i="2" s="1"/>
  <c r="H145" i="2" s="1"/>
  <c r="I145" i="2" s="1"/>
  <c r="G144" i="2"/>
  <c r="H144" i="2" s="1"/>
  <c r="I144" i="2" s="1"/>
  <c r="F143" i="2"/>
  <c r="G143" i="2" s="1"/>
  <c r="H143" i="2" s="1"/>
  <c r="F142" i="2"/>
  <c r="G142" i="2" s="1"/>
  <c r="H142" i="2" s="1"/>
  <c r="F141" i="2"/>
  <c r="G141" i="2" s="1"/>
  <c r="H141" i="2" s="1"/>
  <c r="I141" i="2" s="1"/>
  <c r="F140" i="2"/>
  <c r="G140" i="2" s="1"/>
  <c r="H140" i="2" s="1"/>
  <c r="I140" i="2" s="1"/>
  <c r="G138" i="2"/>
  <c r="H138" i="2" s="1"/>
  <c r="G137" i="2"/>
  <c r="H137" i="2" s="1"/>
  <c r="G136" i="2"/>
  <c r="H136" i="2" s="1"/>
  <c r="I136" i="2" s="1"/>
  <c r="E136" i="2"/>
  <c r="G131" i="2"/>
  <c r="H131" i="2" s="1"/>
  <c r="I131" i="2" s="1"/>
  <c r="E131" i="2"/>
  <c r="G130" i="2"/>
  <c r="H130" i="2" s="1"/>
  <c r="I130" i="2" s="1"/>
  <c r="E130" i="2"/>
  <c r="G129" i="2"/>
  <c r="H129" i="2" s="1"/>
  <c r="I129" i="2" s="1"/>
  <c r="E129" i="2"/>
  <c r="G128" i="2"/>
  <c r="H128" i="2" s="1"/>
  <c r="I128" i="2" s="1"/>
  <c r="G127" i="2"/>
  <c r="H127" i="2" s="1"/>
  <c r="G126" i="2"/>
  <c r="H126" i="2" s="1"/>
  <c r="I126" i="2" s="1"/>
  <c r="E126" i="2"/>
  <c r="G125" i="2"/>
  <c r="H125" i="2" s="1"/>
  <c r="E125" i="2"/>
  <c r="G124" i="2"/>
  <c r="H124" i="2" s="1"/>
  <c r="I124" i="2" s="1"/>
  <c r="E124" i="2"/>
  <c r="G122" i="2"/>
  <c r="H122" i="2" s="1"/>
  <c r="I122" i="2" s="1"/>
  <c r="E122" i="2"/>
  <c r="G121" i="2"/>
  <c r="H121" i="2" s="1"/>
  <c r="I121" i="2" s="1"/>
  <c r="E121" i="2"/>
  <c r="G119" i="2"/>
  <c r="H119" i="2" s="1"/>
  <c r="E119" i="2"/>
  <c r="G118" i="2"/>
  <c r="H118" i="2" s="1"/>
  <c r="E118" i="2"/>
  <c r="G117" i="2"/>
  <c r="H117" i="2" s="1"/>
  <c r="I117" i="2" s="1"/>
  <c r="E117" i="2"/>
  <c r="G116" i="2"/>
  <c r="H116" i="2" s="1"/>
  <c r="G115" i="2"/>
  <c r="H115" i="2" s="1"/>
  <c r="I115" i="2" s="1"/>
  <c r="E115" i="2"/>
  <c r="G114" i="2"/>
  <c r="H114" i="2" s="1"/>
  <c r="I114" i="2" s="1"/>
  <c r="E114" i="2"/>
  <c r="G112" i="2"/>
  <c r="H112" i="2" s="1"/>
  <c r="I112" i="2" s="1"/>
  <c r="G111" i="2"/>
  <c r="H111" i="2" s="1"/>
  <c r="I111" i="2" s="1"/>
  <c r="G102" i="2"/>
  <c r="H102" i="2" s="1"/>
  <c r="E102" i="2"/>
  <c r="G101" i="2"/>
  <c r="H101" i="2" s="1"/>
  <c r="E101" i="2"/>
  <c r="G100" i="2"/>
  <c r="H100" i="2" s="1"/>
  <c r="G99" i="2"/>
  <c r="H99" i="2" s="1"/>
  <c r="G96" i="2"/>
  <c r="H96" i="2" s="1"/>
  <c r="E95" i="2"/>
  <c r="F95" i="2" s="1"/>
  <c r="G95" i="2" s="1"/>
  <c r="H95" i="2" s="1"/>
  <c r="I95" i="2" s="1"/>
  <c r="E94" i="2"/>
  <c r="F94" i="2" s="1"/>
  <c r="G94" i="2" s="1"/>
  <c r="I94" i="2" s="1"/>
  <c r="E93" i="2"/>
  <c r="F93" i="2" s="1"/>
  <c r="G93" i="2" s="1"/>
  <c r="H93" i="2" s="1"/>
  <c r="I93" i="2" s="1"/>
  <c r="E92" i="2"/>
  <c r="F92" i="2" s="1"/>
  <c r="G92" i="2" s="1"/>
  <c r="H92" i="2" s="1"/>
  <c r="I92" i="2" s="1"/>
  <c r="E91" i="2"/>
  <c r="F91" i="2" s="1"/>
  <c r="G91" i="2" s="1"/>
  <c r="H91" i="2" s="1"/>
  <c r="I91" i="2" s="1"/>
  <c r="E90" i="2"/>
  <c r="F90" i="2" s="1"/>
  <c r="G90" i="2" s="1"/>
  <c r="H90" i="2" s="1"/>
  <c r="I90" i="2" s="1"/>
  <c r="E89" i="2"/>
  <c r="F89" i="2" s="1"/>
  <c r="G89" i="2" s="1"/>
  <c r="H89" i="2" s="1"/>
  <c r="I89" i="2" s="1"/>
  <c r="G88" i="2"/>
  <c r="H88" i="2" s="1"/>
  <c r="G87" i="2"/>
  <c r="H87" i="2" s="1"/>
  <c r="G86" i="2"/>
  <c r="G85" i="2"/>
  <c r="I81" i="2"/>
  <c r="E80" i="2"/>
  <c r="E81" i="2" s="1"/>
  <c r="G79" i="2"/>
  <c r="H79" i="2" s="1"/>
  <c r="I79" i="2" s="1"/>
  <c r="E79" i="2"/>
  <c r="G78" i="2"/>
  <c r="H78" i="2" s="1"/>
  <c r="G77" i="2"/>
  <c r="H77" i="2" s="1"/>
  <c r="G76" i="2"/>
  <c r="H76" i="2" s="1"/>
  <c r="G75" i="2"/>
  <c r="G74" i="2"/>
  <c r="G73" i="2"/>
  <c r="I73" i="2" s="1"/>
  <c r="G72" i="2"/>
  <c r="I72" i="2" s="1"/>
  <c r="G71" i="2"/>
  <c r="G70" i="2"/>
  <c r="G69" i="2"/>
  <c r="H69" i="2" s="1"/>
  <c r="G68" i="2"/>
  <c r="G67" i="2"/>
  <c r="G66" i="2"/>
  <c r="G65" i="2"/>
  <c r="I65" i="2" s="1"/>
  <c r="I63" i="2"/>
  <c r="G63" i="2"/>
  <c r="G61" i="2"/>
  <c r="H61" i="2" s="1"/>
  <c r="G60" i="2"/>
  <c r="H60" i="2" s="1"/>
  <c r="G59" i="2"/>
  <c r="H59" i="2" s="1"/>
  <c r="I59" i="2" s="1"/>
  <c r="H57" i="2"/>
  <c r="I57" i="2" s="1"/>
  <c r="G54" i="2"/>
  <c r="H54" i="2" s="1"/>
  <c r="I54" i="2" s="1"/>
  <c r="G52" i="2"/>
  <c r="H52" i="2" s="1"/>
  <c r="I52" i="2" s="1"/>
  <c r="G51" i="2"/>
  <c r="H51" i="2" s="1"/>
  <c r="E51" i="2"/>
  <c r="G50" i="2"/>
  <c r="I50" i="2" s="1"/>
  <c r="E50" i="2"/>
  <c r="G49" i="2"/>
  <c r="I49" i="2" s="1"/>
  <c r="E49" i="2"/>
  <c r="G48" i="2"/>
  <c r="I48" i="2" s="1"/>
  <c r="G45" i="2"/>
  <c r="H45" i="2" s="1"/>
  <c r="I45" i="2" s="1"/>
  <c r="E45" i="2"/>
  <c r="J44" i="2"/>
  <c r="G44" i="2"/>
  <c r="H44" i="2" s="1"/>
  <c r="I44" i="2" s="1"/>
  <c r="E44" i="2"/>
  <c r="J43" i="2"/>
  <c r="G43" i="2"/>
  <c r="H43" i="2" s="1"/>
  <c r="I43" i="2" s="1"/>
  <c r="E43" i="2"/>
  <c r="J42" i="2"/>
  <c r="G42" i="2"/>
  <c r="H42" i="2" s="1"/>
  <c r="I42" i="2" s="1"/>
  <c r="E42" i="2"/>
  <c r="J40" i="2"/>
  <c r="G40" i="2"/>
  <c r="H40" i="2" s="1"/>
  <c r="I40" i="2" s="1"/>
  <c r="E40" i="2"/>
  <c r="J37" i="2"/>
  <c r="G37" i="2"/>
  <c r="H37" i="2" s="1"/>
  <c r="I37" i="2" s="1"/>
  <c r="E37" i="2"/>
  <c r="G36" i="2"/>
  <c r="H36" i="2" s="1"/>
  <c r="G35" i="2"/>
  <c r="H35" i="2" s="1"/>
  <c r="G34" i="2"/>
  <c r="H34" i="2" s="1"/>
  <c r="I34" i="2" s="1"/>
  <c r="G33" i="2"/>
  <c r="H33" i="2" s="1"/>
  <c r="E32" i="2"/>
  <c r="F32" i="2" s="1"/>
  <c r="G32" i="2" s="1"/>
  <c r="H32" i="2" s="1"/>
  <c r="I32" i="2" s="1"/>
  <c r="E31" i="2"/>
  <c r="F31" i="2" s="1"/>
  <c r="G31" i="2" s="1"/>
  <c r="H31" i="2" s="1"/>
  <c r="I31" i="2" s="1"/>
  <c r="G30" i="2"/>
  <c r="H30" i="2" s="1"/>
  <c r="E30" i="2"/>
  <c r="E29" i="2"/>
  <c r="F29" i="2" s="1"/>
  <c r="G29" i="2" s="1"/>
  <c r="H29" i="2" s="1"/>
  <c r="E28" i="2"/>
  <c r="F28" i="2" s="1"/>
  <c r="G28" i="2" s="1"/>
  <c r="H28" i="2" s="1"/>
  <c r="I28" i="2" s="1"/>
  <c r="E27" i="2"/>
  <c r="F27" i="2" s="1"/>
  <c r="G27" i="2" s="1"/>
  <c r="H27" i="2" s="1"/>
  <c r="F26" i="2"/>
  <c r="G26" i="2" s="1"/>
  <c r="H26" i="2" s="1"/>
  <c r="E26" i="2"/>
  <c r="E25" i="2"/>
  <c r="F25" i="2" s="1"/>
  <c r="G25" i="2" s="1"/>
  <c r="H25" i="2" s="1"/>
  <c r="E24" i="2"/>
  <c r="F24" i="2" s="1"/>
  <c r="G24" i="2" s="1"/>
  <c r="H24" i="2" s="1"/>
  <c r="E21" i="2"/>
  <c r="F21" i="2" s="1"/>
  <c r="G21" i="2" s="1"/>
  <c r="H21" i="2" s="1"/>
  <c r="I21" i="2" s="1"/>
  <c r="E11" i="2"/>
  <c r="F11" i="2" s="1"/>
  <c r="G11" i="2" s="1"/>
  <c r="H11" i="2" s="1"/>
  <c r="I11" i="2" s="1"/>
  <c r="B241" i="7" l="1"/>
  <c r="D12" i="5"/>
  <c r="C14" i="5"/>
  <c r="D14" i="5" s="1"/>
  <c r="F80" i="2"/>
  <c r="G80" i="2" s="1"/>
  <c r="H80" i="2" s="1"/>
  <c r="I80" i="2" s="1"/>
  <c r="I75" i="2"/>
  <c r="I118" i="2"/>
  <c r="I71" i="2"/>
  <c r="I68" i="2"/>
  <c r="I143" i="2"/>
  <c r="I66" i="2"/>
  <c r="I30" i="2"/>
  <c r="I24" i="2"/>
  <c r="I29" i="2"/>
  <c r="J49" i="2"/>
  <c r="I25" i="2"/>
  <c r="I157" i="2"/>
  <c r="I26" i="2"/>
  <c r="I125" i="2"/>
  <c r="I33" i="2"/>
  <c r="I102" i="2"/>
  <c r="I155" i="2"/>
  <c r="I27" i="2"/>
  <c r="I67" i="2"/>
  <c r="I70" i="2"/>
  <c r="I101" i="2"/>
  <c r="I192" i="2"/>
  <c r="I197" i="2"/>
  <c r="J50" i="2"/>
  <c r="I119" i="2"/>
  <c r="I127" i="2"/>
  <c r="I146" i="2"/>
  <c r="I142" i="2"/>
  <c r="I74" i="2"/>
  <c r="J51" i="2"/>
  <c r="I51" i="2"/>
  <c r="B240" i="7" l="1"/>
  <c r="B115" i="6"/>
  <c r="O116" i="2" s="1"/>
  <c r="C15" i="5"/>
  <c r="C16" i="5" s="1"/>
  <c r="O115" i="2" l="1"/>
  <c r="C22" i="8"/>
  <c r="C68" i="28" s="1"/>
  <c r="D16" i="5"/>
  <c r="R116" i="2"/>
  <c r="S116" i="2" s="1"/>
  <c r="P116" i="2"/>
  <c r="D240" i="7"/>
  <c r="D15" i="5"/>
  <c r="C242" i="7"/>
  <c r="J6" i="13"/>
  <c r="B280" i="28" s="1"/>
  <c r="D280" i="28" s="1"/>
  <c r="D286" i="28" l="1"/>
  <c r="D242" i="7"/>
  <c r="P115" i="2"/>
  <c r="R115" i="2"/>
  <c r="S115" i="2" s="1"/>
  <c r="D18" i="5"/>
  <c r="D35" i="28" s="1"/>
  <c r="J8" i="13"/>
  <c r="N8" i="13" s="1"/>
  <c r="O8" i="13" s="1"/>
  <c r="J7" i="13"/>
  <c r="N7" i="13" s="1"/>
  <c r="O7" i="13" s="1"/>
  <c r="B289" i="7"/>
  <c r="D289" i="7" s="1"/>
  <c r="N6" i="13"/>
  <c r="O6" i="13" s="1"/>
  <c r="C241" i="7"/>
  <c r="C63" i="7"/>
  <c r="C40" i="8"/>
  <c r="D22" i="8"/>
  <c r="F294" i="7" l="1"/>
  <c r="D294" i="7" s="1"/>
  <c r="D295" i="7" s="1"/>
  <c r="D43" i="29"/>
  <c r="D30" i="8"/>
  <c r="D68" i="28"/>
  <c r="D26" i="7"/>
  <c r="F44" i="7" s="1"/>
  <c r="D44" i="7" s="1"/>
  <c r="D38" i="5"/>
  <c r="P8" i="13"/>
  <c r="Q8" i="13" s="1"/>
  <c r="P7" i="13"/>
  <c r="Q7" i="13" s="1"/>
  <c r="D241" i="7"/>
  <c r="D40" i="8"/>
  <c r="C265" i="7"/>
  <c r="D63" i="7"/>
  <c r="J9" i="13"/>
  <c r="J13" i="13" s="1"/>
  <c r="F70" i="7" l="1"/>
  <c r="D70" i="7" s="1"/>
  <c r="D71" i="7" s="1"/>
  <c r="D45" i="7"/>
  <c r="J14" i="13"/>
  <c r="N13" i="13"/>
  <c r="O13" i="13" s="1"/>
  <c r="P13" i="13" s="1"/>
  <c r="Q13" i="13" s="1"/>
  <c r="D265" i="7"/>
  <c r="J10" i="13"/>
  <c r="N9" i="13"/>
  <c r="O9" i="13" s="1"/>
  <c r="P9" i="13" s="1"/>
  <c r="Q9" i="13" s="1"/>
  <c r="D13" i="18" l="1"/>
  <c r="I13" i="18" s="1"/>
  <c r="K13" i="18" s="1"/>
  <c r="M13" i="18" s="1"/>
  <c r="E140" i="4" s="1"/>
  <c r="D13" i="17"/>
  <c r="J15" i="13"/>
  <c r="N15" i="13" s="1"/>
  <c r="O15" i="13" s="1"/>
  <c r="P15" i="13" s="1"/>
  <c r="Q15" i="13" s="1"/>
  <c r="N14" i="13"/>
  <c r="O14" i="13" s="1"/>
  <c r="P14" i="13" s="1"/>
  <c r="Q14" i="13" s="1"/>
  <c r="J11" i="13"/>
  <c r="N10" i="13"/>
  <c r="O10" i="13" s="1"/>
  <c r="P10" i="13" s="1"/>
  <c r="Q10" i="13" s="1"/>
  <c r="J12" i="13" l="1"/>
  <c r="N11" i="13"/>
  <c r="O11" i="13" s="1"/>
  <c r="P11" i="13" s="1"/>
  <c r="Q11" i="13" s="1"/>
  <c r="J16" i="13" l="1"/>
  <c r="J17" i="13" s="1"/>
  <c r="J18" i="13" s="1"/>
  <c r="N18" i="13" s="1"/>
  <c r="O18" i="13" s="1"/>
  <c r="P18" i="13" s="1"/>
  <c r="Q18" i="13" s="1"/>
  <c r="N12" i="13"/>
  <c r="O12" i="13" s="1"/>
  <c r="P12" i="13" s="1"/>
  <c r="Q12" i="13" s="1"/>
  <c r="N16" i="13" l="1"/>
  <c r="O16" i="13" s="1"/>
  <c r="P16" i="13" l="1"/>
  <c r="Q16" i="13" s="1"/>
  <c r="E175" i="6" s="1"/>
  <c r="B38" i="6"/>
  <c r="F2" i="12" s="1"/>
  <c r="D43" i="18" l="1"/>
  <c r="C15" i="12"/>
  <c r="C137" i="28" s="1"/>
  <c r="N17" i="13"/>
  <c r="O17" i="13" s="1"/>
  <c r="P17" i="13" s="1"/>
  <c r="Q17" i="13" s="1"/>
  <c r="D48" i="15"/>
  <c r="D215" i="28" s="1"/>
  <c r="D49" i="15"/>
  <c r="C7" i="14"/>
  <c r="D214" i="7" l="1"/>
  <c r="D216" i="28"/>
  <c r="D219" i="28" s="1"/>
  <c r="D227" i="28" s="1"/>
  <c r="D45" i="17"/>
  <c r="I43" i="18"/>
  <c r="K43" i="18" s="1"/>
  <c r="M43" i="18" s="1"/>
  <c r="E139" i="4" s="1"/>
  <c r="C134" i="7"/>
  <c r="C18" i="12"/>
  <c r="C140" i="28" s="1"/>
  <c r="C219" i="7"/>
  <c r="C213" i="7"/>
  <c r="D15" i="12"/>
  <c r="D137" i="28" s="1"/>
  <c r="D55" i="15"/>
  <c r="C214" i="7"/>
  <c r="C5" i="12"/>
  <c r="D7" i="14"/>
  <c r="D273" i="28" s="1"/>
  <c r="D41" i="29" s="1"/>
  <c r="C279" i="7"/>
  <c r="D52" i="15"/>
  <c r="D213" i="7"/>
  <c r="D217" i="7" l="1"/>
  <c r="D225" i="7" s="1"/>
  <c r="D33" i="18" s="1"/>
  <c r="I33" i="18" s="1"/>
  <c r="K33" i="18" s="1"/>
  <c r="M33" i="18" s="1"/>
  <c r="D5" i="12"/>
  <c r="D128" i="28" s="1"/>
  <c r="D135" i="28" s="1"/>
  <c r="D148" i="28" s="1"/>
  <c r="C128" i="28"/>
  <c r="D220" i="7"/>
  <c r="D222" i="28"/>
  <c r="D31" i="29"/>
  <c r="D28" i="10"/>
  <c r="D134" i="7"/>
  <c r="D18" i="12"/>
  <c r="C137" i="7"/>
  <c r="D54" i="15"/>
  <c r="C220" i="7"/>
  <c r="C125" i="7"/>
  <c r="D10" i="14"/>
  <c r="D279" i="7"/>
  <c r="D282" i="7" s="1"/>
  <c r="D125" i="7" l="1"/>
  <c r="D132" i="7" s="1"/>
  <c r="D145" i="7" s="1"/>
  <c r="D12" i="12"/>
  <c r="D33" i="17"/>
  <c r="D219" i="7"/>
  <c r="D221" i="28"/>
  <c r="D225" i="28" s="1"/>
  <c r="D229" i="28" s="1"/>
  <c r="D137" i="7"/>
  <c r="D140" i="28"/>
  <c r="D17" i="18"/>
  <c r="D21" i="12"/>
  <c r="D41" i="18"/>
  <c r="I41" i="18" s="1"/>
  <c r="K41" i="18" s="1"/>
  <c r="M41" i="18" s="1"/>
  <c r="D11" i="17"/>
  <c r="D11" i="18"/>
  <c r="D58" i="15"/>
  <c r="D43" i="17"/>
  <c r="D21" i="18" l="1"/>
  <c r="D21" i="17" s="1"/>
  <c r="D223" i="7"/>
  <c r="D227" i="7" s="1"/>
  <c r="D33" i="29"/>
  <c r="D231" i="28"/>
  <c r="D17" i="17"/>
  <c r="I17" i="18"/>
  <c r="K17" i="18" s="1"/>
  <c r="M17" i="18" s="1"/>
  <c r="D23" i="12"/>
  <c r="D22" i="12"/>
  <c r="I11" i="18"/>
  <c r="K11" i="18" s="1"/>
  <c r="M11" i="18" s="1"/>
  <c r="I21" i="18" l="1"/>
  <c r="K21" i="18" s="1"/>
  <c r="M21" i="18" s="1"/>
  <c r="D35" i="17"/>
  <c r="D229" i="7"/>
  <c r="D35" i="18"/>
  <c r="I35" i="18" s="1"/>
  <c r="K35" i="18" s="1"/>
  <c r="M35" i="18" s="1"/>
  <c r="D140" i="7"/>
  <c r="D143" i="28"/>
  <c r="D141" i="7"/>
  <c r="D144" i="28"/>
  <c r="D25" i="12"/>
  <c r="D27" i="12" s="1"/>
  <c r="B238" i="7"/>
  <c r="D143" i="7" l="1"/>
  <c r="D147" i="7" s="1"/>
  <c r="D146" i="28"/>
  <c r="D150" i="28" s="1"/>
  <c r="D238" i="7"/>
  <c r="D150" i="7" l="1"/>
  <c r="D148" i="7"/>
  <c r="D23" i="18"/>
  <c r="D23" i="17" s="1"/>
  <c r="I23" i="18" l="1"/>
  <c r="K23" i="18" s="1"/>
  <c r="M23" i="18" s="1"/>
  <c r="E141" i="4"/>
  <c r="C7" i="16" l="1"/>
  <c r="C254" i="7"/>
  <c r="D7" i="16" l="1"/>
  <c r="D6" i="28" s="1"/>
  <c r="D5" i="29" s="1"/>
  <c r="C6" i="28"/>
  <c r="C6" i="7"/>
  <c r="D6" i="7"/>
  <c r="D9" i="7" s="1"/>
  <c r="D10" i="16"/>
  <c r="C139" i="6" l="1"/>
  <c r="B148" i="4" s="1"/>
  <c r="E148" i="4" s="1"/>
  <c r="D254" i="7"/>
  <c r="D5" i="18"/>
  <c r="D5" i="17"/>
  <c r="G143" i="4" l="1"/>
  <c r="G144" i="4" s="1"/>
  <c r="G145" i="4" s="1"/>
  <c r="G146" i="4" s="1"/>
  <c r="G147" i="4" s="1"/>
  <c r="I5" i="18"/>
  <c r="K5" i="18" l="1"/>
  <c r="M5" i="18" s="1"/>
  <c r="G148" i="4"/>
  <c r="Q119" i="2" l="1"/>
  <c r="R119" i="2" s="1"/>
  <c r="O119" i="2" s="1"/>
  <c r="G254" i="28" s="1"/>
  <c r="H254" i="28" s="1"/>
  <c r="C254" i="28" s="1"/>
  <c r="B254" i="28" s="1"/>
  <c r="D254" i="28" s="1"/>
  <c r="C121" i="6"/>
  <c r="S119" i="2" l="1"/>
  <c r="S138" i="2" s="1"/>
  <c r="S111" i="2" s="1"/>
  <c r="S136" i="2" s="1"/>
  <c r="C43" i="8"/>
  <c r="D263" i="28" s="1"/>
  <c r="F24" i="8"/>
  <c r="C24" i="8" s="1"/>
  <c r="C7" i="11"/>
  <c r="C114" i="28" s="1"/>
  <c r="C245" i="7"/>
  <c r="G258" i="7" s="1"/>
  <c r="H258" i="7" s="1"/>
  <c r="C258" i="7" s="1"/>
  <c r="B258" i="7" s="1"/>
  <c r="D258" i="7" s="1"/>
  <c r="F260" i="7" s="1"/>
  <c r="D260" i="7" s="1"/>
  <c r="P119" i="2"/>
  <c r="D257" i="28" l="1"/>
  <c r="C65" i="7"/>
  <c r="C70" i="28"/>
  <c r="N141" i="2"/>
  <c r="P141" i="2" s="1"/>
  <c r="Q2" i="2"/>
  <c r="C110" i="7"/>
  <c r="D7" i="11"/>
  <c r="D114" i="28" s="1"/>
  <c r="D245" i="7"/>
  <c r="D261" i="7" s="1"/>
  <c r="P138" i="2"/>
  <c r="P111" i="2" s="1"/>
  <c r="D43" i="8"/>
  <c r="D266" i="28" s="1"/>
  <c r="D39" i="29" s="1"/>
  <c r="C268" i="7"/>
  <c r="D37" i="29" l="1"/>
  <c r="D65" i="29" s="1"/>
  <c r="D335" i="28"/>
  <c r="D268" i="7"/>
  <c r="D272" i="7" s="1"/>
  <c r="D47" i="8"/>
  <c r="P136" i="2"/>
  <c r="P2" i="2"/>
  <c r="D37" i="18"/>
  <c r="I37" i="18" s="1"/>
  <c r="K37" i="18" s="1"/>
  <c r="M37" i="18" s="1"/>
  <c r="D39" i="17"/>
  <c r="D110" i="7"/>
  <c r="D121" i="7" s="1"/>
  <c r="D17" i="11"/>
  <c r="P37" i="2"/>
  <c r="D344" i="7" l="1"/>
  <c r="D348" i="7" s="1"/>
  <c r="D339" i="28"/>
  <c r="D337" i="28"/>
  <c r="C122" i="27" s="1"/>
  <c r="D39" i="18"/>
  <c r="I39" i="18" s="1"/>
  <c r="K39" i="18" s="1"/>
  <c r="M39" i="18" s="1"/>
  <c r="D41" i="17"/>
  <c r="D19" i="17"/>
  <c r="D19" i="18"/>
  <c r="C130" i="27" l="1"/>
  <c r="C181" i="6"/>
  <c r="D71" i="17"/>
  <c r="I19" i="18"/>
  <c r="D59" i="18"/>
  <c r="C191" i="6" l="1"/>
  <c r="I59" i="18"/>
  <c r="K59" i="18" s="1"/>
  <c r="M59" i="18" s="1"/>
  <c r="K19" i="18"/>
  <c r="M19" i="18" s="1"/>
  <c r="E149" i="4" l="1"/>
  <c r="D346" i="7"/>
  <c r="D350" i="7" s="1"/>
  <c r="D349" i="7" l="1"/>
  <c r="D342" i="28"/>
  <c r="D340" i="28"/>
  <c r="D341" i="28"/>
  <c r="D351" i="7"/>
  <c r="D344" i="28" l="1"/>
  <c r="E344" i="28" s="1"/>
  <c r="B130" i="27" s="1"/>
  <c r="D353" i="7"/>
  <c r="E353" i="7" s="1"/>
  <c r="B191" i="6" l="1"/>
</calcChain>
</file>

<file path=xl/sharedStrings.xml><?xml version="1.0" encoding="utf-8"?>
<sst xmlns="http://schemas.openxmlformats.org/spreadsheetml/2006/main" count="1777" uniqueCount="1146">
  <si>
    <t>CUSTOMER NAME:</t>
  </si>
  <si>
    <t>PERMIT TOTAL</t>
  </si>
  <si>
    <t>TOTAL COST:</t>
  </si>
  <si>
    <t>Base</t>
  </si>
  <si>
    <t>Spa</t>
  </si>
  <si>
    <t>Misc</t>
  </si>
  <si>
    <t>1"</t>
  </si>
  <si>
    <t>1.5"</t>
  </si>
  <si>
    <t>2.5"</t>
  </si>
  <si>
    <t>AutoFill</t>
  </si>
  <si>
    <t>Skimmer</t>
  </si>
  <si>
    <t>3/4"</t>
  </si>
  <si>
    <t>Perimeter</t>
  </si>
  <si>
    <t>Surface</t>
  </si>
  <si>
    <t>Shallow</t>
  </si>
  <si>
    <t>Deep</t>
  </si>
  <si>
    <t>Retail</t>
  </si>
  <si>
    <t>UPDATED:</t>
  </si>
  <si>
    <t>HAY-25-1559</t>
  </si>
  <si>
    <t>Paramount Venturi Skimmer</t>
  </si>
  <si>
    <t>Vac Lock for Vac Line</t>
  </si>
  <si>
    <t>HAY-20-518</t>
  </si>
  <si>
    <t>Polaris 360 - Standard</t>
  </si>
  <si>
    <t>POL-20-520</t>
  </si>
  <si>
    <t>Polaris 360 - Black</t>
  </si>
  <si>
    <t>POL-20-531</t>
  </si>
  <si>
    <t>Cost</t>
  </si>
  <si>
    <t>Difference</t>
  </si>
  <si>
    <t>Polaris 280 w/ Booster</t>
  </si>
  <si>
    <t>Pool rx</t>
  </si>
  <si>
    <t>Vac Breaker</t>
  </si>
  <si>
    <t>WRD-56-4204</t>
  </si>
  <si>
    <t>Premier Clean In-Floor System</t>
  </si>
  <si>
    <t>Chlorine Floater</t>
  </si>
  <si>
    <t>RAI-45-804</t>
  </si>
  <si>
    <t>In-Line Chlorinator</t>
  </si>
  <si>
    <t>RAI-45-806</t>
  </si>
  <si>
    <t>Polaris 9650 Robotic Cleaner</t>
  </si>
  <si>
    <t>Nature 2 Fusion Cartridge</t>
  </si>
  <si>
    <t>FOU-45-133</t>
  </si>
  <si>
    <t>2.0 HP Blower</t>
  </si>
  <si>
    <t>POL-85-8013</t>
  </si>
  <si>
    <t>TR36P</t>
  </si>
  <si>
    <t>Upgrade</t>
  </si>
  <si>
    <t>Polaris 9650</t>
  </si>
  <si>
    <t>Pumps</t>
  </si>
  <si>
    <t>Flo-Pro Variable Speed Pump</t>
  </si>
  <si>
    <t>TLD-10-2006</t>
  </si>
  <si>
    <t>SHPF1.5-2 STEALTH </t>
  </si>
  <si>
    <t>PUMP 1.5HP 2SP HH FR 230V </t>
  </si>
  <si>
    <t>No Auxiliary Pump</t>
  </si>
  <si>
    <t>No Auxiliary Pump Selected</t>
  </si>
  <si>
    <t>TLS-10-2000</t>
  </si>
  <si>
    <t>SHPF.75 STEALTH</t>
  </si>
  <si>
    <t>PUMP 3/4HP 115/230V</t>
  </si>
  <si>
    <t>TLD-10-2001 </t>
  </si>
  <si>
    <t>SHPF1.0 STEALTH </t>
  </si>
  <si>
    <t>PUMP 1HP HH FR 208-230/115V </t>
  </si>
  <si>
    <t>TLD-10-2002 </t>
  </si>
  <si>
    <t>SHPF1.5 STEALTH </t>
  </si>
  <si>
    <t>PUMP 1.5HP HH FR 208-230/115V </t>
  </si>
  <si>
    <t>TLD-10-2003 </t>
  </si>
  <si>
    <t>SHPF2.0 STEALTH </t>
  </si>
  <si>
    <t>PUMP 2HP HH FR 208-230V </t>
  </si>
  <si>
    <t>TLD-10-2004 </t>
  </si>
  <si>
    <t>SHPF3.0 STEALTH </t>
  </si>
  <si>
    <t>PUMP 3HP HH FR 208-230V </t>
  </si>
  <si>
    <t>TLD-10-2024</t>
  </si>
  <si>
    <t>PlusHP</t>
  </si>
  <si>
    <t>TLD-10-2050</t>
  </si>
  <si>
    <t>PUMP 80GPM MH UR 230/115V WATER FEATURE</t>
  </si>
  <si>
    <t>TLD-10-2051</t>
  </si>
  <si>
    <t>PUMP 120GPM MH UR 230/115V WATER FEATURE</t>
  </si>
  <si>
    <t>SWF 125</t>
  </si>
  <si>
    <t>TLD-10-2126</t>
  </si>
  <si>
    <t>Variable Speed</t>
  </si>
  <si>
    <t>TLD-10-2070</t>
  </si>
  <si>
    <t>JEP1.5</t>
  </si>
  <si>
    <t>1.5 HP Variable Speed Pump</t>
  </si>
  <si>
    <t>TLD-10-2071</t>
  </si>
  <si>
    <t>JEP2.0</t>
  </si>
  <si>
    <t>2.0 HP Variable Speed Pump</t>
  </si>
  <si>
    <t>TLD-10-2084</t>
  </si>
  <si>
    <t>VS-FHP1.0</t>
  </si>
  <si>
    <t>Filters</t>
  </si>
  <si>
    <t>TLD-05-105</t>
  </si>
  <si>
    <t>CS100 CS Series</t>
  </si>
  <si>
    <t>150 SF Cartridge Filter</t>
  </si>
  <si>
    <t>TLD-05-108</t>
  </si>
  <si>
    <t>CS250 CS Series</t>
  </si>
  <si>
    <t>250 SF Cartridge Filter</t>
  </si>
  <si>
    <t>TLD-05-114 </t>
  </si>
  <si>
    <t>CL340 CL SERIES </t>
  </si>
  <si>
    <t>FILTER CARTRIDGE 340 SQFT </t>
  </si>
  <si>
    <t>TLD-05-115 </t>
  </si>
  <si>
    <t>CL460 CL SERIES </t>
  </si>
  <si>
    <t>FILTER CARTRIDGE 460 SQFT </t>
  </si>
  <si>
    <t>TLD-05-113 </t>
  </si>
  <si>
    <t>CL580 CL SERIES </t>
  </si>
  <si>
    <t>FILTER CARTRIDGE 580 SQFT </t>
  </si>
  <si>
    <t>340 SQFT Cartridge Filter</t>
  </si>
  <si>
    <t>http://www.jandy.com/en/products/filters/cv</t>
  </si>
  <si>
    <t>460 SQFT Cartridge Filter</t>
  </si>
  <si>
    <t>JDY-27-1700</t>
  </si>
  <si>
    <t>1201C</t>
  </si>
  <si>
    <t>WATERFALL 1' BACK FEED EXT LIP </t>
  </si>
  <si>
    <t>580 SQFT Cartridge Filter</t>
  </si>
  <si>
    <t>JDY-27-1708</t>
  </si>
  <si>
    <t>12018C</t>
  </si>
  <si>
    <t>WATERFALL 18" BACK FEED EXT LIP </t>
  </si>
  <si>
    <t>JDY-27-1701</t>
  </si>
  <si>
    <t>1202C</t>
  </si>
  <si>
    <t>WATERFALL 2' BACK FEED EXT LIP </t>
  </si>
  <si>
    <t>JDY-27-1702</t>
  </si>
  <si>
    <t>1203C</t>
  </si>
  <si>
    <t>WATERFALL 3' BACK FEED EXT LIP </t>
  </si>
  <si>
    <t>4.9 SQFT Sand Filter</t>
  </si>
  <si>
    <t>http://www.jandy.com/en/products/filters/js</t>
  </si>
  <si>
    <t>JDY-27-1703</t>
  </si>
  <si>
    <t>1204C</t>
  </si>
  <si>
    <t>WATERFALL 4' BACK FEED EXT LIP </t>
  </si>
  <si>
    <t>60 SQFT DE Filter</t>
  </si>
  <si>
    <t>http://www.jandy.com/en/products/filters/dev</t>
  </si>
  <si>
    <t>JDY-27-1704</t>
  </si>
  <si>
    <t>1205C</t>
  </si>
  <si>
    <t>WATERFALL 5' BACK FEED EXT LIP </t>
  </si>
  <si>
    <t>No Sanitation</t>
  </si>
  <si>
    <t>Heaters</t>
  </si>
  <si>
    <t>In-Line Chlorine Feeder</t>
  </si>
  <si>
    <t>Mineral Sanitizer</t>
  </si>
  <si>
    <t>LXI250N</t>
  </si>
  <si>
    <t>HEATER 250BTU LX NG LN </t>
  </si>
  <si>
    <t>400K JXI N/G HEATER - NO BYPASS</t>
  </si>
  <si>
    <t>400K JXI N/G HEATER - WITH BYPASS</t>
  </si>
  <si>
    <t>Salt Systems</t>
  </si>
  <si>
    <t>Cascading Water Feature</t>
  </si>
  <si>
    <t>JDY-45-1400 </t>
  </si>
  <si>
    <t>APURE1400 AQUAPURE </t>
  </si>
  <si>
    <t>CHLORINE GENERATOR 14 BLADE </t>
  </si>
  <si>
    <t>No Sheer Descent</t>
  </si>
  <si>
    <t>JDY-45-1500</t>
  </si>
  <si>
    <t>APUREM POWER PACK</t>
  </si>
  <si>
    <t>POWER PACK FOR AQUAPURE</t>
  </si>
  <si>
    <t>12" Sheer Descent</t>
  </si>
  <si>
    <t>JDY-45-0705 </t>
  </si>
  <si>
    <t>PLC700 PURELINK </t>
  </si>
  <si>
    <t>CELL KIT 7 BLADE </t>
  </si>
  <si>
    <t>18" Sheer Descent</t>
  </si>
  <si>
    <t>JDY-45-1405 </t>
  </si>
  <si>
    <t>PLC1400 PURELINK </t>
  </si>
  <si>
    <t>CELL KIT 14 BLADE </t>
  </si>
  <si>
    <t>2' Sheer Descent</t>
  </si>
  <si>
    <t>CLW-45-1033</t>
  </si>
  <si>
    <t>NATURE 2 FUSION SOFT 700</t>
  </si>
  <si>
    <t>UP TO 25K GALLONS</t>
  </si>
  <si>
    <t>3' Sheer Descent</t>
  </si>
  <si>
    <t>CLW-45-1034</t>
  </si>
  <si>
    <t>NATURE 2 FUSION SOFT 1400</t>
  </si>
  <si>
    <t>UP TO 40K GALLONS</t>
  </si>
  <si>
    <t>4' Sheer Descent</t>
  </si>
  <si>
    <t>CLW-451-1050</t>
  </si>
  <si>
    <t>FUSION M POWER PACK</t>
  </si>
  <si>
    <t>IF NO AUTOMATION</t>
  </si>
  <si>
    <t>Automation</t>
  </si>
  <si>
    <t>JDY-30-3014 </t>
  </si>
  <si>
    <t>PDA-P4 </t>
  </si>
  <si>
    <t>PDA POOL ONLY P4 </t>
  </si>
  <si>
    <t>JDY-30-3018 </t>
  </si>
  <si>
    <t>PDA-P8 </t>
  </si>
  <si>
    <t>PDA POOL ONLY P8 </t>
  </si>
  <si>
    <t>JDY-30-3004 </t>
  </si>
  <si>
    <t>PDA-PS4 </t>
  </si>
  <si>
    <t>PDA POOL/SPA COMBO PS4 </t>
  </si>
  <si>
    <t>JDY-30-3008 </t>
  </si>
  <si>
    <t>PDA-PS8 </t>
  </si>
  <si>
    <t>PDA POOL/SPA COMBO PS8 </t>
  </si>
  <si>
    <t>JDY-30-1700</t>
  </si>
  <si>
    <t>RS-P4</t>
  </si>
  <si>
    <t>Jandy RS Pool Only P4</t>
  </si>
  <si>
    <t>iAqualink Only P-4 (H.O. To Provide WiFi)</t>
  </si>
  <si>
    <t>Zodiac iAqualink P-4 (No Handheld)</t>
  </si>
  <si>
    <t>JDY-30-1702</t>
  </si>
  <si>
    <t>RS-P8</t>
  </si>
  <si>
    <t>Jandy RS Pool Only P8</t>
  </si>
  <si>
    <t>Zodiac iAqualink P-8 (No Handheld)</t>
  </si>
  <si>
    <t>iAqualink Only PS-6 (H.O. To Provide WiFi)</t>
  </si>
  <si>
    <t>Zodiac iAqualink PS-6 (No Handheld)</t>
  </si>
  <si>
    <t>JDY-30-1704</t>
  </si>
  <si>
    <t>RS-PS4</t>
  </si>
  <si>
    <t>Jandy RS Pool &amp; Spa PS4</t>
  </si>
  <si>
    <t>iAqualink Only PS-8 (H.O. To Provide WiFi)</t>
  </si>
  <si>
    <t>Zodiac iAqualink PS-8 (No Handheld)</t>
  </si>
  <si>
    <t>JDY-30-1705</t>
  </si>
  <si>
    <t>RS-PS6</t>
  </si>
  <si>
    <t>Jandy RS Pool &amp; Spa PS6</t>
  </si>
  <si>
    <t>JDY-30-1706</t>
  </si>
  <si>
    <t>RS-PS8</t>
  </si>
  <si>
    <t>Jandy RS Pool &amp; Spa PS8</t>
  </si>
  <si>
    <t>POL-30-9200</t>
  </si>
  <si>
    <t>iAqualink w/ Rev. R</t>
  </si>
  <si>
    <t>iAqualink Controller - New Install</t>
  </si>
  <si>
    <t>POL-30-9201</t>
  </si>
  <si>
    <t>iAqualink RS Upgrade</t>
  </si>
  <si>
    <t>iAqualink Controller - RS Upgrade</t>
  </si>
  <si>
    <t>POL-30-9202</t>
  </si>
  <si>
    <t>iAqualink PDA Upgrade</t>
  </si>
  <si>
    <t>iAqualink Controller - PDA Upgrade</t>
  </si>
  <si>
    <t>POL-30-9203</t>
  </si>
  <si>
    <t>iAqualink P4 Bundle</t>
  </si>
  <si>
    <t>iAqualink Controller &amp; RS-P4</t>
  </si>
  <si>
    <t>POL-30-9204</t>
  </si>
  <si>
    <t>iAqualink PS4 Bundle</t>
  </si>
  <si>
    <t>iAqualink Controller &amp; RS-PS4</t>
  </si>
  <si>
    <t>JDY-30-6614</t>
  </si>
  <si>
    <t>6614 AQUALINK </t>
  </si>
  <si>
    <t>POWER CENTER SUB PANEL 24VAC </t>
  </si>
  <si>
    <t xml:space="preserve"> </t>
  </si>
  <si>
    <t>JDY-30-1412</t>
  </si>
  <si>
    <t>6614AP-L</t>
  </si>
  <si>
    <t>SUB PANEL POWER CNTR 14 BLADE </t>
  </si>
  <si>
    <t>JDY-30-6397 </t>
  </si>
  <si>
    <t>6796 AQUALINK </t>
  </si>
  <si>
    <t>RELAY KIT 2 SPEED (RS) </t>
  </si>
  <si>
    <t>JDY-30-0000 </t>
  </si>
  <si>
    <t>AQPLM AQUALINK </t>
  </si>
  <si>
    <t>AQUA PALM REMOTE KIT </t>
  </si>
  <si>
    <t>JDY-30-6324</t>
  </si>
  <si>
    <t>4424-2444 </t>
  </si>
  <si>
    <t>JVA 2440 ACTUATOR </t>
  </si>
  <si>
    <t>IQ20-A</t>
  </si>
  <si>
    <t>Color Lights</t>
  </si>
  <si>
    <t>JDY-30-2421</t>
  </si>
  <si>
    <t>CPHVLEDS50</t>
  </si>
  <si>
    <t>LIGHT POOL 50W 120V 50'CD </t>
  </si>
  <si>
    <t>JDY-30-2423</t>
  </si>
  <si>
    <t>CPHVLEDS100</t>
  </si>
  <si>
    <t>LIGHT POOL 50W 120V 100'CD </t>
  </si>
  <si>
    <t>JDY-30-2441</t>
  </si>
  <si>
    <t>CSHVLEDS50</t>
  </si>
  <si>
    <t>LIGHT SPA 50W 120V 50'CD </t>
  </si>
  <si>
    <t>JDY-30-2443</t>
  </si>
  <si>
    <t>CSHVLEDS100</t>
  </si>
  <si>
    <t>LIGHT SPA 50W 120V 100'CD </t>
  </si>
  <si>
    <t>JANDY HYDROCOOL 24W</t>
  </si>
  <si>
    <t>JDY-30-2486</t>
  </si>
  <si>
    <t>N/L LED - 20 Watt</t>
  </si>
  <si>
    <t>JDY-30-2489</t>
  </si>
  <si>
    <t>N/L LED - 30 Watt</t>
  </si>
  <si>
    <t>INT-30-749</t>
  </si>
  <si>
    <t>Nicheless Transformer - 100 Watt</t>
  </si>
  <si>
    <t>INT-30-745</t>
  </si>
  <si>
    <t>Nicheless Transformer - 300 Watt</t>
  </si>
  <si>
    <t>White Lights</t>
  </si>
  <si>
    <t>JDY-30-2501</t>
  </si>
  <si>
    <t>300w White 50' Cord</t>
  </si>
  <si>
    <t>JDY-30-2504</t>
  </si>
  <si>
    <t>300w White 100' Cord</t>
  </si>
  <si>
    <t>JDY-30-2511</t>
  </si>
  <si>
    <t>500w White 50' Cord</t>
  </si>
  <si>
    <t>JDY-30-2514</t>
  </si>
  <si>
    <t>500w White 100' Cord</t>
  </si>
  <si>
    <t>JDY-30-2541</t>
  </si>
  <si>
    <t>WSHV100WS50</t>
  </si>
  <si>
    <t>LIGHT SPA 100W 120V 50'CD SS FACERING</t>
  </si>
  <si>
    <t>JDY-30-2544</t>
  </si>
  <si>
    <t>WSHV100WS100</t>
  </si>
  <si>
    <t>LIGHT SPA 100W 120V 100'CD SS FACERING</t>
  </si>
  <si>
    <t>Pool Niche</t>
  </si>
  <si>
    <t>6' Baja - White</t>
  </si>
  <si>
    <t>Jig</t>
  </si>
  <si>
    <t>Board</t>
  </si>
  <si>
    <t>HRL-35-845</t>
  </si>
  <si>
    <t>Base w/ Spring</t>
  </si>
  <si>
    <t>HRL-35-848</t>
  </si>
  <si>
    <t>6' Baja - Tan</t>
  </si>
  <si>
    <t>HRL-35-939</t>
  </si>
  <si>
    <t>HRL-35-1008</t>
  </si>
  <si>
    <t>6' Duro Spring - White</t>
  </si>
  <si>
    <t>HRL-35-781</t>
  </si>
  <si>
    <t>HRL-35-788</t>
  </si>
  <si>
    <t>6' Duro Spring - Tan</t>
  </si>
  <si>
    <t>HRL-35-782</t>
  </si>
  <si>
    <t>HRL-35-783</t>
  </si>
  <si>
    <t>8' La Mesa - White</t>
  </si>
  <si>
    <t>8' La Mesa - Tan</t>
  </si>
  <si>
    <t>Diving Board Install</t>
  </si>
  <si>
    <t>Wild Ride Slide</t>
  </si>
  <si>
    <t>HRL-35-967</t>
  </si>
  <si>
    <t>Slide Install</t>
  </si>
  <si>
    <t>Sand &amp; DE Filters</t>
  </si>
  <si>
    <t>PAC-05-351</t>
  </si>
  <si>
    <t>Pentair TR60 3.14 SF 325# Sand</t>
  </si>
  <si>
    <t>PAC-05-142</t>
  </si>
  <si>
    <t>Pentair TR100 4.91 SF 600# Sand</t>
  </si>
  <si>
    <t>PAC-05-346</t>
  </si>
  <si>
    <t>Pentair TR140 7.06 SF 925# Sand</t>
  </si>
  <si>
    <t>PAC-06-275</t>
  </si>
  <si>
    <t>2" Backwash Valve</t>
  </si>
  <si>
    <t>Backwash Valve</t>
  </si>
  <si>
    <t>TLD-05-1200</t>
  </si>
  <si>
    <t>Jandy SFTM 22</t>
  </si>
  <si>
    <t>2.64 SF 250# Sand</t>
  </si>
  <si>
    <t>TLD-05-1201</t>
  </si>
  <si>
    <t>Jandy SFTM 25</t>
  </si>
  <si>
    <t>3.30 SF 350# Sand</t>
  </si>
  <si>
    <t>TLD-05-1250</t>
  </si>
  <si>
    <t>Jandy JS100-SM</t>
  </si>
  <si>
    <t>4.9 SF Side Mount Sand Filter 600# Sand</t>
  </si>
  <si>
    <t>TLD-06-114</t>
  </si>
  <si>
    <t>8034J</t>
  </si>
  <si>
    <t>Backwash Valve w/ Unions</t>
  </si>
  <si>
    <t>Sand Material</t>
  </si>
  <si>
    <t>AAA-06-200</t>
  </si>
  <si>
    <t>50# Bag</t>
  </si>
  <si>
    <t>Sand Change Labor</t>
  </si>
  <si>
    <t>TLD-05-125</t>
  </si>
  <si>
    <t>DEV 48 DE SERIES </t>
  </si>
  <si>
    <t>FILTER DE 48 SQFT </t>
  </si>
  <si>
    <t>TLD-05-126</t>
  </si>
  <si>
    <t>DEV 60 DE SERIES </t>
  </si>
  <si>
    <t>FILTER DE 60 SQFT </t>
  </si>
  <si>
    <t>TLD-06-130</t>
  </si>
  <si>
    <t>2-IN-1 BACKWASH VALVE</t>
  </si>
  <si>
    <t>BACKWASH VALVE FOR DEV 48</t>
  </si>
  <si>
    <t>DE Material</t>
  </si>
  <si>
    <t>AAA-06-210</t>
  </si>
  <si>
    <t>10# Bag</t>
  </si>
  <si>
    <t>DE Change Labor</t>
  </si>
  <si>
    <t>Vac Alert</t>
  </si>
  <si>
    <t>VAI-42-100</t>
  </si>
  <si>
    <t>SVRS10ADJ</t>
  </si>
  <si>
    <t>VSI-42-1001</t>
  </si>
  <si>
    <t>Jandy Laminar LED</t>
  </si>
  <si>
    <t>JLLED</t>
  </si>
  <si>
    <t>JDY-27-0050</t>
  </si>
  <si>
    <t>2020 SCP PRICING</t>
  </si>
  <si>
    <t>QTY</t>
  </si>
  <si>
    <t>COST</t>
  </si>
  <si>
    <t>RETAIL</t>
  </si>
  <si>
    <t>Lights:</t>
  </si>
  <si>
    <t>Sheer</t>
  </si>
  <si>
    <t>Valve</t>
  </si>
  <si>
    <t>Install</t>
  </si>
  <si>
    <t>Heater:</t>
  </si>
  <si>
    <t>MX6 Suction Cleaner</t>
  </si>
  <si>
    <t>Cleaners</t>
  </si>
  <si>
    <t>Jandy PlusHP Variable Speed</t>
  </si>
  <si>
    <t>Jandy WFTR80</t>
  </si>
  <si>
    <t>Jandy WFTR120</t>
  </si>
  <si>
    <t>No Auxilary Pump</t>
  </si>
  <si>
    <t>Delivery - First Wok</t>
  </si>
  <si>
    <t>Delivery - Each Additional</t>
  </si>
  <si>
    <t>Materials</t>
  </si>
  <si>
    <t>Laminar Jet</t>
  </si>
  <si>
    <t>Deck Jet</t>
  </si>
  <si>
    <t>Automation:</t>
  </si>
  <si>
    <t>No Automation</t>
  </si>
  <si>
    <t>Base White Goods:</t>
  </si>
  <si>
    <t>Layout Paint</t>
  </si>
  <si>
    <t>Valves</t>
  </si>
  <si>
    <t>Gift Basket</t>
  </si>
  <si>
    <t xml:space="preserve">Proposal &amp; Specifications  </t>
  </si>
  <si>
    <t>Dimensions</t>
  </si>
  <si>
    <t>Length</t>
  </si>
  <si>
    <t>Width</t>
  </si>
  <si>
    <t>Premier Advantage</t>
  </si>
  <si>
    <t>Notes:</t>
  </si>
  <si>
    <t>Steps &amp; Benches</t>
  </si>
  <si>
    <t>One set of shallow-end access steps</t>
  </si>
  <si>
    <t>Deep-end loveseat bench</t>
  </si>
  <si>
    <t>For safety and relaxing</t>
  </si>
  <si>
    <t>Plans, Permits &amp; Insurance</t>
  </si>
  <si>
    <t>Detailed construction plans in advance for approval prior to excavation</t>
  </si>
  <si>
    <t>Engineered structural plans</t>
  </si>
  <si>
    <t>Certificates available upon request</t>
  </si>
  <si>
    <t>All required building permits</t>
  </si>
  <si>
    <t>Underground services alert called prior to excavation</t>
  </si>
  <si>
    <t xml:space="preserve">All work and vehicles are covered by commercial liability and auto insurance </t>
  </si>
  <si>
    <t>All employees are covered by Workers Compensation Insurance</t>
  </si>
  <si>
    <t>Taxes on all materials and equipment included in contract price</t>
  </si>
  <si>
    <t>Lien releases are available throughout construction</t>
  </si>
  <si>
    <t>Premier is licensed and bonded in accordance with State Contractors Board Regulations</t>
  </si>
  <si>
    <t>Excavation</t>
  </si>
  <si>
    <t>Pool layout prior to excavation</t>
  </si>
  <si>
    <t>Pool is painted on ground for visual approval by homeowner</t>
  </si>
  <si>
    <t>Pool hand contoured</t>
  </si>
  <si>
    <t>Hand trimming assures uniform wall and floor thickness with proper cove radius</t>
  </si>
  <si>
    <t>Steel</t>
  </si>
  <si>
    <t>Plumbing</t>
  </si>
  <si>
    <t>2 ½ inch suction line</t>
  </si>
  <si>
    <t>Premier Stealth Series pump</t>
  </si>
  <si>
    <t>2 ½ inch suction line for all pump motors larger than 1.0 HP</t>
  </si>
  <si>
    <t>Premier High-Performance circulation pump</t>
  </si>
  <si>
    <t>2 inch return line (to 1st tee)</t>
  </si>
  <si>
    <t xml:space="preserve">Premier booster pump </t>
  </si>
  <si>
    <t>When possible 45-degree elbows used rather than 90-degree to improve efficiency and performance</t>
  </si>
  <si>
    <t>Heavy duty surface skimmer</t>
  </si>
  <si>
    <t>Jandy Ball Valves</t>
  </si>
  <si>
    <t>Hose bib at pad for draining pool</t>
  </si>
  <si>
    <t>All circulation lines are under pressure test throughout construction to ensure no leaks in the system</t>
  </si>
  <si>
    <t>Electric</t>
  </si>
  <si>
    <t>Breakers at pad included</t>
  </si>
  <si>
    <t>Protected outlet for homeowner convenience</t>
  </si>
  <si>
    <t>110 volt GFI protected light circuit with outlet</t>
  </si>
  <si>
    <t>220 volt pump circuit</t>
  </si>
  <si>
    <t>Bonding as per N.E.C. Code</t>
  </si>
  <si>
    <t>(2) Low-voltage Premier Colored LED Lights</t>
  </si>
  <si>
    <t>Shotcrete</t>
  </si>
  <si>
    <t>Tile &amp; Masonary</t>
  </si>
  <si>
    <t>Coping / Decking</t>
  </si>
  <si>
    <t>Equipment</t>
  </si>
  <si>
    <r>
      <t xml:space="preserve">3-Year </t>
    </r>
    <r>
      <rPr>
        <b/>
        <sz val="8"/>
        <color theme="1"/>
        <rFont val="Open Sans"/>
        <family val="2"/>
      </rPr>
      <t>NO-FAULT</t>
    </r>
    <r>
      <rPr>
        <sz val="8"/>
        <color theme="1"/>
        <rFont val="Open Sans"/>
        <family val="2"/>
      </rPr>
      <t xml:space="preserve"> Warranty on all Jandy Equipment</t>
    </r>
  </si>
  <si>
    <t>Clean Up &amp; Interior</t>
  </si>
  <si>
    <t>All Trenches filled and yard rough graded</t>
  </si>
  <si>
    <t>All construction debris hauled away</t>
  </si>
  <si>
    <t>VGB compliant Main Drain Covers</t>
  </si>
  <si>
    <t>Start Up &amp; Orientation</t>
  </si>
  <si>
    <t>Equipment turned on and started-up</t>
  </si>
  <si>
    <t>Pool Maintenance &amp; Equipment fully explained</t>
  </si>
  <si>
    <t>Intial chemical balance</t>
  </si>
  <si>
    <t>Program cycles set for ideal run times</t>
  </si>
  <si>
    <t>"Pool School" / Orientation</t>
  </si>
  <si>
    <t>Report Card allows you to provide feeback</t>
  </si>
  <si>
    <t>Total Price &amp; Options</t>
  </si>
  <si>
    <t>Summary</t>
  </si>
  <si>
    <t>Retail Price</t>
  </si>
  <si>
    <t>Savings</t>
  </si>
  <si>
    <t>Sale Price</t>
  </si>
  <si>
    <t>Notes</t>
  </si>
  <si>
    <t>Base Pool Price:</t>
  </si>
  <si>
    <t>Options - Not Included in Estimate</t>
  </si>
  <si>
    <t>N/A</t>
  </si>
  <si>
    <t>Prepared by:</t>
  </si>
  <si>
    <t>Total Price:</t>
  </si>
  <si>
    <t>Separate skimmer and main drain suction - allows for maximimum performance</t>
  </si>
  <si>
    <t>SQFT</t>
  </si>
  <si>
    <t>Payment Schedule</t>
  </si>
  <si>
    <t>10% Deposit:</t>
  </si>
  <si>
    <t>Total Payments:</t>
  </si>
  <si>
    <t>Ensures clear understanding of project details</t>
  </si>
  <si>
    <t>Rockwork</t>
  </si>
  <si>
    <t>Per 3"</t>
  </si>
  <si>
    <t>Per Yard</t>
  </si>
  <si>
    <t>Min Depth</t>
  </si>
  <si>
    <t>Max Depth</t>
  </si>
  <si>
    <t>Dig</t>
  </si>
  <si>
    <t>Avg Depth</t>
  </si>
  <si>
    <t>Yardage Removed:</t>
  </si>
  <si>
    <t>0-400</t>
  </si>
  <si>
    <t>401-450</t>
  </si>
  <si>
    <t>451-500</t>
  </si>
  <si>
    <t>501-550</t>
  </si>
  <si>
    <t>551-600</t>
  </si>
  <si>
    <t>601-650</t>
  </si>
  <si>
    <t>651-700</t>
  </si>
  <si>
    <t>701-750</t>
  </si>
  <si>
    <t>751-800</t>
  </si>
  <si>
    <t>801-850</t>
  </si>
  <si>
    <t>851-900</t>
  </si>
  <si>
    <t>901-950</t>
  </si>
  <si>
    <t>951-1000</t>
  </si>
  <si>
    <t>1000+</t>
  </si>
  <si>
    <t>Perimeter:</t>
  </si>
  <si>
    <t>Surface Area:</t>
  </si>
  <si>
    <t>Shallow Depth:</t>
  </si>
  <si>
    <t>End Depth:</t>
  </si>
  <si>
    <t>( 1 for Round, 2 for Square )</t>
  </si>
  <si>
    <t>( 1 for Yes, 0 for No)</t>
  </si>
  <si>
    <t>LNFT</t>
  </si>
  <si>
    <t>Add'l Site Prep:</t>
  </si>
  <si>
    <t>Hours</t>
  </si>
  <si>
    <t>Gravel Install:</t>
  </si>
  <si>
    <t>Dirt Haul:</t>
  </si>
  <si>
    <t>Add'l Bench:</t>
  </si>
  <si>
    <t>Automatic Cover:</t>
  </si>
  <si>
    <t>EXCAVATION</t>
  </si>
  <si>
    <t>Spa:</t>
  </si>
  <si>
    <t>Base Spa:</t>
  </si>
  <si>
    <t>Raised Spa?:</t>
  </si>
  <si>
    <t>Spa Perimeter:</t>
  </si>
  <si>
    <t>(Raised Spa = +18")</t>
  </si>
  <si>
    <t>Cover Box:</t>
  </si>
  <si>
    <t>Per Ft</t>
  </si>
  <si>
    <t>Max Length:</t>
  </si>
  <si>
    <t>Max Width:</t>
  </si>
  <si>
    <t>Misc:</t>
  </si>
  <si>
    <t>Travel:</t>
  </si>
  <si>
    <t>Base Excavation:</t>
  </si>
  <si>
    <t>Add'l 6" Depth:</t>
  </si>
  <si>
    <t>RBB:</t>
  </si>
  <si>
    <t>Raise Spa:</t>
  </si>
  <si>
    <t>Gravel:</t>
  </si>
  <si>
    <t>Size over 1000</t>
  </si>
  <si>
    <t>MAY 2020</t>
  </si>
  <si>
    <t>PLUMBING</t>
  </si>
  <si>
    <t>Add'l Skimmer:</t>
  </si>
  <si>
    <t>Skimmer Run:</t>
  </si>
  <si>
    <t>Total - All Skimmers</t>
  </si>
  <si>
    <t>Main Drain Run:</t>
  </si>
  <si>
    <t>Main Drain to EQ</t>
  </si>
  <si>
    <t>(1) is Included</t>
  </si>
  <si>
    <t>Auto-Fill Run:</t>
  </si>
  <si>
    <t>Hose Bibb to AWL</t>
  </si>
  <si>
    <t>Gas Run:</t>
  </si>
  <si>
    <t>Meter to Heater</t>
  </si>
  <si>
    <t>Spa Run:</t>
  </si>
  <si>
    <t>Spa to EQ</t>
  </si>
  <si>
    <t>1/2"</t>
  </si>
  <si>
    <t>2.0"</t>
  </si>
  <si>
    <t>3.0"</t>
  </si>
  <si>
    <t>Add'l Main Drain:</t>
  </si>
  <si>
    <t>Cleaner Run:</t>
  </si>
  <si>
    <t>Pool Center to EQ</t>
  </si>
  <si>
    <t>Manifold:</t>
  </si>
  <si>
    <t>Infloor:</t>
  </si>
  <si>
    <t>I/F Valve to Pool:</t>
  </si>
  <si>
    <t>EQ SET</t>
  </si>
  <si>
    <t>Add'l Pump(s):</t>
  </si>
  <si>
    <t>Pool Bonding:</t>
  </si>
  <si>
    <t>Base Set:</t>
  </si>
  <si>
    <t>PLUMBING TOTAL:</t>
  </si>
  <si>
    <t>EXCAVATION TOTAL:</t>
  </si>
  <si>
    <t>EQUIPMENT SET</t>
  </si>
  <si>
    <t>EQUIPMENT SET TOTAL:</t>
  </si>
  <si>
    <t>STEEL</t>
  </si>
  <si>
    <t>Base:</t>
  </si>
  <si>
    <t>10" OC:</t>
  </si>
  <si>
    <t>Bench:</t>
  </si>
  <si>
    <t>Negative Edge:</t>
  </si>
  <si>
    <t>Conduit:</t>
  </si>
  <si>
    <t>Light Run:</t>
  </si>
  <si>
    <t>Electrical Run:</t>
  </si>
  <si>
    <t>House Panel to EQ</t>
  </si>
  <si>
    <t>All Lights to EQ</t>
  </si>
  <si>
    <t>Per 6"</t>
  </si>
  <si>
    <t>Bonding Lights:</t>
  </si>
  <si>
    <t>STEEL TOTAL:</t>
  </si>
  <si>
    <t>ELECTRICAL</t>
  </si>
  <si>
    <t>Homerun:</t>
  </si>
  <si>
    <t>Included</t>
  </si>
  <si>
    <t>Salt System:</t>
  </si>
  <si>
    <t>SHOTCRETE</t>
  </si>
  <si>
    <t>Minimum Labor:</t>
  </si>
  <si>
    <t>Minimum Labor Yardage</t>
  </si>
  <si>
    <t>Add'l Labor:</t>
  </si>
  <si>
    <t>Pool to Street:</t>
  </si>
  <si>
    <t>Auto Cover:</t>
  </si>
  <si>
    <t>Distance 251 to 300</t>
  </si>
  <si>
    <t>Distance 301 to 350</t>
  </si>
  <si>
    <t>Labor Total:</t>
  </si>
  <si>
    <t>( 1 if 251 to 300, 2 if 300 to 350)</t>
  </si>
  <si>
    <t>SHOTCRETE - LABOR</t>
  </si>
  <si>
    <t>SHOTCRETE -MATERIAL</t>
  </si>
  <si>
    <t>Yardage:</t>
  </si>
  <si>
    <t>Interior Area:</t>
  </si>
  <si>
    <t>Per Yard:</t>
  </si>
  <si>
    <t>Clean-Out:</t>
  </si>
  <si>
    <t>Miscelaneous:</t>
  </si>
  <si>
    <t>Total Shotcrete:</t>
  </si>
  <si>
    <t>ELECTRICAL TOTAL:</t>
  </si>
  <si>
    <t>Total Labor:</t>
  </si>
  <si>
    <t>Material:</t>
  </si>
  <si>
    <t>Material Total:</t>
  </si>
  <si>
    <t>SHOTCRETE TOTAL:</t>
  </si>
  <si>
    <t>INTERIOR</t>
  </si>
  <si>
    <t>Pool Prep</t>
  </si>
  <si>
    <t>Spa Prep</t>
  </si>
  <si>
    <t>Drains</t>
  </si>
  <si>
    <t>Vac</t>
  </si>
  <si>
    <t>Returns</t>
  </si>
  <si>
    <t>Hydro</t>
  </si>
  <si>
    <t>Total</t>
  </si>
  <si>
    <t>INTERIOR FINISH</t>
  </si>
  <si>
    <t>Misc.:</t>
  </si>
  <si>
    <t>Rounded</t>
  </si>
  <si>
    <t>CLEAN-UP</t>
  </si>
  <si>
    <t>Add'l Over 500:</t>
  </si>
  <si>
    <t>CLEAN-UP TOTAL:</t>
  </si>
  <si>
    <t>Labor - Pool:</t>
  </si>
  <si>
    <t>Labor - Spa:</t>
  </si>
  <si>
    <t>Trim Tile - Labor:</t>
  </si>
  <si>
    <t>Trim Tile - Material:</t>
  </si>
  <si>
    <t>TILE</t>
  </si>
  <si>
    <t>Tile Total:</t>
  </si>
  <si>
    <t>Paver Coping:</t>
  </si>
  <si>
    <t>Paver Coping - Labor:</t>
  </si>
  <si>
    <t>COPING &amp; DECKING</t>
  </si>
  <si>
    <t>Concrete Decking:</t>
  </si>
  <si>
    <t>Paver Decking:</t>
  </si>
  <si>
    <t>Decking:</t>
  </si>
  <si>
    <t>FT</t>
  </si>
  <si>
    <t>MILES</t>
  </si>
  <si>
    <t>Enter "1" to Select</t>
  </si>
  <si>
    <t>Paver Decking - Labor:</t>
  </si>
  <si>
    <t>COPING / DECKING - LABOR</t>
  </si>
  <si>
    <t>COPING / DECKING - MATERIAL</t>
  </si>
  <si>
    <t>TILE LABOR TOTAL:</t>
  </si>
  <si>
    <t>TILE MATERIAL TOTAL:</t>
  </si>
  <si>
    <t>TILE TOTAL:</t>
  </si>
  <si>
    <t>SHOTCRETE LABOR TOTAL:</t>
  </si>
  <si>
    <t>SHOTCRETE MATERIAL TOTAL:</t>
  </si>
  <si>
    <t>Travertine Coping  - Labor:</t>
  </si>
  <si>
    <t>Travertine Decking  - Labor:</t>
  </si>
  <si>
    <t>Paver Coping - Material:</t>
  </si>
  <si>
    <t>Paver Decking - Material:</t>
  </si>
  <si>
    <t>COPING / DECKING LABOR TOTAL:</t>
  </si>
  <si>
    <t>COPING / DECKING MATERIAL TOTAL:</t>
  </si>
  <si>
    <t>COPING / DECKING TOTAL:</t>
  </si>
  <si>
    <t>STONE / ROCKWORK</t>
  </si>
  <si>
    <t>Panel Ledge - Labor:</t>
  </si>
  <si>
    <t>Stacked Stone - Labor:</t>
  </si>
  <si>
    <t>Tons</t>
  </si>
  <si>
    <t>Panel Ledge - Material:</t>
  </si>
  <si>
    <t>Stacked Stone - Material:</t>
  </si>
  <si>
    <t>Rockwork - Material:</t>
  </si>
  <si>
    <t>Total Material:</t>
  </si>
  <si>
    <t>STONE &amp; ROCKWORK</t>
  </si>
  <si>
    <t>STONE / ROCKWORK LABOR TOTAL:</t>
  </si>
  <si>
    <t>STONE / ROCKWORK MATERIAL TOTAL:</t>
  </si>
  <si>
    <t>STONE / ROCKWORK TOTAL:</t>
  </si>
  <si>
    <t>INTERIOR FINISH TOTAL:</t>
  </si>
  <si>
    <t>Soil Sample / Engineer</t>
  </si>
  <si>
    <t>PLANS &amp; ENGINEERING</t>
  </si>
  <si>
    <t>Pool Only:</t>
  </si>
  <si>
    <t>Waterfall:</t>
  </si>
  <si>
    <t>Waterfeature:</t>
  </si>
  <si>
    <t>Soil Sample / Engineer:</t>
  </si>
  <si>
    <t>Plans Total:</t>
  </si>
  <si>
    <t>PLANS &amp; ENGINEERING TOTAL</t>
  </si>
  <si>
    <t>LAYOUT</t>
  </si>
  <si>
    <t>Pool Only</t>
  </si>
  <si>
    <t>LAYOUT TOTAL</t>
  </si>
  <si>
    <t>START-UP / ORIENTATION</t>
  </si>
  <si>
    <t>EQUIPMENT ORDERED</t>
  </si>
  <si>
    <t>EQUIPMENT ORDERED TOTAL:</t>
  </si>
  <si>
    <t>START-UP / ORIENTATION TOTAL:</t>
  </si>
  <si>
    <t>PERMIT</t>
  </si>
  <si>
    <t>RETAIL PRICE:</t>
  </si>
  <si>
    <t xml:space="preserve">JOB COST SUMMARY </t>
  </si>
  <si>
    <t>Coumn Width:</t>
  </si>
  <si>
    <t>6" RBB:</t>
  </si>
  <si>
    <t>12" RBB:</t>
  </si>
  <si>
    <t>18" RBB:</t>
  </si>
  <si>
    <t>24" RBB:</t>
  </si>
  <si>
    <t>30" RBB:</t>
  </si>
  <si>
    <t>36" RBB:</t>
  </si>
  <si>
    <t>Column Height:</t>
  </si>
  <si>
    <t>Column Depth:</t>
  </si>
  <si>
    <t>Total SQFT of RBB:</t>
  </si>
  <si>
    <t>SQFT:</t>
  </si>
  <si>
    <t>FACING</t>
  </si>
  <si>
    <t>( 1=Tile / 2=Ledgstone / 3=Stacked Stone)</t>
  </si>
  <si>
    <t>Labor - Other:</t>
  </si>
  <si>
    <t>Raised Spa Facing:</t>
  </si>
  <si>
    <t>SPA FACING</t>
  </si>
  <si>
    <t>Tile:</t>
  </si>
  <si>
    <t>Panel:</t>
  </si>
  <si>
    <t>Stacked:</t>
  </si>
  <si>
    <t>ROCKWORK</t>
  </si>
  <si>
    <t># of Columns</t>
  </si>
  <si>
    <t>TILE - RBB &amp; COLUMNS</t>
  </si>
  <si>
    <t>PANEL LEDGE - RBB &amp; COLUMNS</t>
  </si>
  <si>
    <t>Columns:</t>
  </si>
  <si>
    <t>Spa Length:</t>
  </si>
  <si>
    <t>Spa Width:</t>
  </si>
  <si>
    <t>Spa Shape:</t>
  </si>
  <si>
    <t xml:space="preserve">GAS </t>
  </si>
  <si>
    <t>Add'l Run</t>
  </si>
  <si>
    <t>GAS</t>
  </si>
  <si>
    <t>GAS TOTAL:</t>
  </si>
  <si>
    <t>CITY:</t>
  </si>
  <si>
    <t>DIG COMMISSION:</t>
  </si>
  <si>
    <t>ADMIN FEE:</t>
  </si>
  <si>
    <t>CLOSEOUT COMMISSION:</t>
  </si>
  <si>
    <t>TOTAL COGS:</t>
  </si>
  <si>
    <t>GROSS PROFIT:</t>
  </si>
  <si>
    <t>SALE PRICE:</t>
  </si>
  <si>
    <t>I/F Valve to EQ:</t>
  </si>
  <si>
    <t>Valve to EQ</t>
  </si>
  <si>
    <t>Valve to Pool</t>
  </si>
  <si>
    <t>As-Designed</t>
  </si>
  <si>
    <t>Pool / Spa</t>
  </si>
  <si>
    <t>Spa Base:</t>
  </si>
  <si>
    <t>Retail Difference</t>
  </si>
  <si>
    <t>Additional Size:</t>
  </si>
  <si>
    <t>Additional Depth:</t>
  </si>
  <si>
    <t>EQUIPMENT</t>
  </si>
  <si>
    <t>PUMPS</t>
  </si>
  <si>
    <t>INCLUDED</t>
  </si>
  <si>
    <t>PUMPS / FILTER / CLEANER / HEATER</t>
  </si>
  <si>
    <t>Main Drain</t>
  </si>
  <si>
    <t>FILTERS</t>
  </si>
  <si>
    <t>CLEANERS</t>
  </si>
  <si>
    <t>LIGHTS</t>
  </si>
  <si>
    <t>24 Watt - Jandy Nicheless LED</t>
  </si>
  <si>
    <t>No Additional Lights</t>
  </si>
  <si>
    <t>No Lights</t>
  </si>
  <si>
    <t>HEATERS</t>
  </si>
  <si>
    <t>No Heater</t>
  </si>
  <si>
    <t>No Cleaner</t>
  </si>
  <si>
    <t>SANITATION</t>
  </si>
  <si>
    <t>AUTOMATION</t>
  </si>
  <si>
    <t>Additional JVA</t>
  </si>
  <si>
    <t>WATER FEATURES</t>
  </si>
  <si>
    <t>No Wok Pot</t>
  </si>
  <si>
    <t>No Deck Jet or Laminar Jet</t>
  </si>
  <si>
    <t>Auto Cover</t>
  </si>
  <si>
    <t>Add'l Depth</t>
  </si>
  <si>
    <t>Equipment Selected</t>
  </si>
  <si>
    <t>Base White Goods</t>
  </si>
  <si>
    <t>TOTAL</t>
  </si>
  <si>
    <t>See Bottom for Detail</t>
  </si>
  <si>
    <t>TAX</t>
  </si>
  <si>
    <t>CUSTOM FEATURES</t>
  </si>
  <si>
    <t xml:space="preserve">Material </t>
  </si>
  <si>
    <t xml:space="preserve">Labor </t>
  </si>
  <si>
    <t>Additional Equipment for Proposal:</t>
  </si>
  <si>
    <t>Actual</t>
  </si>
  <si>
    <t>Proposal Amt</t>
  </si>
  <si>
    <t>PREPARED FOR:</t>
  </si>
  <si>
    <t>Pool Dimensions (Feet)</t>
  </si>
  <si>
    <t>Spa Dimensions (Feet)</t>
  </si>
  <si>
    <t>STACKED STONE - RBB &amp; COLUMNS</t>
  </si>
  <si>
    <t>Mystic</t>
  </si>
  <si>
    <t>Royal</t>
  </si>
  <si>
    <t>Shasta</t>
  </si>
  <si>
    <t>SPAS</t>
  </si>
  <si>
    <t>Crystite G2</t>
  </si>
  <si>
    <t>Crystite G3</t>
  </si>
  <si>
    <t>Semi-Circle</t>
  </si>
  <si>
    <t>LARGE POOLS</t>
  </si>
  <si>
    <t>MEDIUM POOLS</t>
  </si>
  <si>
    <t>SMALL POOLS</t>
  </si>
  <si>
    <t>TANNING</t>
  </si>
  <si>
    <t>Shell</t>
  </si>
  <si>
    <t>Freight</t>
  </si>
  <si>
    <t>Shell Total</t>
  </si>
  <si>
    <t>Crane</t>
  </si>
  <si>
    <t>Gravel</t>
  </si>
  <si>
    <t>Crane - Small</t>
  </si>
  <si>
    <t>Crane - Medium</t>
  </si>
  <si>
    <t>Crane - Large</t>
  </si>
  <si>
    <t>Install - Small</t>
  </si>
  <si>
    <t>Install - Large</t>
  </si>
  <si>
    <t>Install - Medium</t>
  </si>
  <si>
    <t>Gravel - Small</t>
  </si>
  <si>
    <t>Gravel - Large</t>
  </si>
  <si>
    <t>Gravel - Medium</t>
  </si>
  <si>
    <t>Freight - Small</t>
  </si>
  <si>
    <t>Freight - Medium</t>
  </si>
  <si>
    <t>Freight - Large</t>
  </si>
  <si>
    <t>Name</t>
  </si>
  <si>
    <t>-</t>
  </si>
  <si>
    <t>Fiberglass - Small</t>
  </si>
  <si>
    <t>Fiberglass - Medium</t>
  </si>
  <si>
    <t>Fiberglass - Large</t>
  </si>
  <si>
    <t>Standard Finish</t>
  </si>
  <si>
    <t>No Spa</t>
  </si>
  <si>
    <t>No Tanning</t>
  </si>
  <si>
    <t>FIBERGLASS SHELL TOTAL:</t>
  </si>
  <si>
    <t>Total:</t>
  </si>
  <si>
    <t>FIBERGLASS INSTALL TOTAL:</t>
  </si>
  <si>
    <t>FIBERGLASS SHELL</t>
  </si>
  <si>
    <t>FIBERGLASS INSTALL</t>
  </si>
  <si>
    <t>Site Prep:</t>
  </si>
  <si>
    <t>Discount</t>
  </si>
  <si>
    <t>Environ / Fuel:</t>
  </si>
  <si>
    <t>MECK:</t>
  </si>
  <si>
    <t>NC:</t>
  </si>
  <si>
    <t>Sub Total:</t>
  </si>
  <si>
    <t>Tax</t>
  </si>
  <si>
    <t>Install - Spa</t>
  </si>
  <si>
    <t>No Crane</t>
  </si>
  <si>
    <t>Crane Required</t>
  </si>
  <si>
    <t>Transformer</t>
  </si>
  <si>
    <t>200 SQFT Cartridge Filter</t>
  </si>
  <si>
    <t>Spillover</t>
  </si>
  <si>
    <t>No Spillover</t>
  </si>
  <si>
    <t>Add Spillover</t>
  </si>
  <si>
    <t>Additional Skimmer</t>
  </si>
  <si>
    <t>Add'l Skimmer</t>
  </si>
  <si>
    <t>Check Valves</t>
  </si>
  <si>
    <t>Check Valve:</t>
  </si>
  <si>
    <t>Enter Cost on Custom Tab</t>
  </si>
  <si>
    <t>Add'l Tile:</t>
  </si>
  <si>
    <t>TILE / COPING / DECKING</t>
  </si>
  <si>
    <t>Bonding:</t>
  </si>
  <si>
    <t>Outlet:</t>
  </si>
  <si>
    <t>Crane - Spa</t>
  </si>
  <si>
    <t>Concrete Decking - Cantilever:</t>
  </si>
  <si>
    <t>Concrete Pump</t>
  </si>
  <si>
    <t>Prep:</t>
  </si>
  <si>
    <t>Fittings:</t>
  </si>
  <si>
    <t>Salt/Automation Credit</t>
  </si>
  <si>
    <t>START-UP</t>
  </si>
  <si>
    <t>Start-Up &amp; 30 Days:</t>
  </si>
  <si>
    <t>CUSTOM FEATURE</t>
  </si>
  <si>
    <t>CUSTOM FEATURE TOTAL:</t>
  </si>
  <si>
    <t>Equipment Pad</t>
  </si>
  <si>
    <t>a passion for splashin'</t>
  </si>
  <si>
    <t>G2</t>
  </si>
  <si>
    <t>Muck Out:</t>
  </si>
  <si>
    <t>Tanning Shelf:</t>
  </si>
  <si>
    <t>1 for Yes, 0 for No</t>
  </si>
  <si>
    <t>4-Bar Beam:</t>
  </si>
  <si>
    <t>Double Curtain:</t>
  </si>
  <si>
    <t>Flagstone Coping - Labor:</t>
  </si>
  <si>
    <t>Permit Box</t>
  </si>
  <si>
    <t>Spillway - Labor:</t>
  </si>
  <si>
    <t>Spillway - Material:</t>
  </si>
  <si>
    <t>Concrete Coping:</t>
  </si>
  <si>
    <t>Flagstone Coping:</t>
  </si>
  <si>
    <t>Concrete Decking - Base:</t>
  </si>
  <si>
    <t>Concrete Decking - Add'l:</t>
  </si>
  <si>
    <t>4' Band on Pool:</t>
  </si>
  <si>
    <t>Add'l</t>
  </si>
  <si>
    <t>Slurry Beam</t>
  </si>
  <si>
    <t>2020</t>
  </si>
  <si>
    <t>2021</t>
  </si>
  <si>
    <t>Flagstone - Material</t>
  </si>
  <si>
    <t>Concrete Band for Fiberglass:</t>
  </si>
  <si>
    <t>( 1=Tile / 2=Panel Ledge / 3=Stacked Stone)</t>
  </si>
  <si>
    <t>Travertine Coping - Level 1:</t>
  </si>
  <si>
    <t>Travertine Decking - Level 1:</t>
  </si>
  <si>
    <t>Travertine Coping - Level 2:</t>
  </si>
  <si>
    <t>Travertine Decking - Level 2:</t>
  </si>
  <si>
    <t>Heatpump:</t>
  </si>
  <si>
    <t>Add'l Heatpump:</t>
  </si>
  <si>
    <t>Heatpump Electical:</t>
  </si>
  <si>
    <t>Total Run</t>
  </si>
  <si>
    <t>No LED Bubbler</t>
  </si>
  <si>
    <t>Step &amp; Bench Detail:</t>
  </si>
  <si>
    <t>Spa Prep:</t>
  </si>
  <si>
    <t>WATER TRUCK</t>
  </si>
  <si>
    <t>Full Truck:</t>
  </si>
  <si>
    <t>7,000 Gallons</t>
  </si>
  <si>
    <t>Approx. Gallons:</t>
  </si>
  <si>
    <t>WATER TRUCK TOTAL:</t>
  </si>
  <si>
    <t>Gallons</t>
  </si>
  <si>
    <t>Gallons:</t>
  </si>
  <si>
    <t>Water Truck - Shotcrete</t>
  </si>
  <si>
    <t>DRAINAGE</t>
  </si>
  <si>
    <t>Backfill:</t>
  </si>
  <si>
    <t>Ozone:</t>
  </si>
  <si>
    <t>Enter LNFT</t>
  </si>
  <si>
    <t>Downspout #2</t>
  </si>
  <si>
    <t>Downspout #3</t>
  </si>
  <si>
    <t>Downspout #4</t>
  </si>
  <si>
    <t>Downspout #1</t>
  </si>
  <si>
    <t>DRAINAGE:</t>
  </si>
  <si>
    <t>Rough Grading</t>
  </si>
  <si>
    <t>Rough Grading:</t>
  </si>
  <si>
    <t>IA</t>
  </si>
  <si>
    <t>Waterproofing:</t>
  </si>
  <si>
    <t>CUSTOMER:</t>
  </si>
  <si>
    <t>IN-HOUSE BILLING</t>
  </si>
  <si>
    <t>Permit Runner:</t>
  </si>
  <si>
    <t>Permit Runner</t>
  </si>
  <si>
    <t>Waterproofing</t>
  </si>
  <si>
    <t>Pool - SQFT:</t>
  </si>
  <si>
    <t>Spa - SQFT:</t>
  </si>
  <si>
    <t>Raised Spa:</t>
  </si>
  <si>
    <t>Premium Start-Up</t>
  </si>
  <si>
    <t>Add Automation:</t>
  </si>
  <si>
    <t>Premium Start-Up:</t>
  </si>
  <si>
    <t>Layout</t>
  </si>
  <si>
    <t>MISC</t>
  </si>
  <si>
    <t>Electric Autofill Run</t>
  </si>
  <si>
    <t>Auto Fill Run:</t>
  </si>
  <si>
    <t>Electrical Auto Fill Run:</t>
  </si>
  <si>
    <t>Heater Set:</t>
  </si>
  <si>
    <t>Spa Overun:</t>
  </si>
  <si>
    <t>Pool Overun:</t>
  </si>
  <si>
    <t>Over 33'</t>
  </si>
  <si>
    <t>Over33'</t>
  </si>
  <si>
    <t>Water Feature (1) Run:</t>
  </si>
  <si>
    <t>Water Feature (2) Run:</t>
  </si>
  <si>
    <t>Water Feature (3) Run:</t>
  </si>
  <si>
    <t>Water Feature (4) Run:</t>
  </si>
  <si>
    <t>W/F (1)</t>
  </si>
  <si>
    <t>W/F (2)</t>
  </si>
  <si>
    <t>W/F (3)</t>
  </si>
  <si>
    <t>W/F (4)</t>
  </si>
  <si>
    <t>Add'l W/F Run:</t>
  </si>
  <si>
    <t>Water Feature to EQ</t>
  </si>
  <si>
    <t>No Auto-Fill</t>
  </si>
  <si>
    <t>Standard Auto-Fill</t>
  </si>
  <si>
    <t>Electronic Auto-Fill</t>
  </si>
  <si>
    <t>PVC</t>
  </si>
  <si>
    <t>STONE</t>
  </si>
  <si>
    <t>WATER</t>
  </si>
  <si>
    <t>LABOR</t>
  </si>
  <si>
    <t>FREIGHT</t>
  </si>
  <si>
    <t>Small</t>
  </si>
  <si>
    <t>Large</t>
  </si>
  <si>
    <t>Spa +$600</t>
  </si>
  <si>
    <t>Water - Small</t>
  </si>
  <si>
    <t>Water - Medium</t>
  </si>
  <si>
    <t>Water - Large</t>
  </si>
  <si>
    <t>Short Stub</t>
  </si>
  <si>
    <t>Over 1,000 SQFT:</t>
  </si>
  <si>
    <t>Skid Steer</t>
  </si>
  <si>
    <t>Hourly Driver</t>
  </si>
  <si>
    <t>Per Load</t>
  </si>
  <si>
    <t>Dirt Haul Actual</t>
  </si>
  <si>
    <t>#4 in Floor:</t>
  </si>
  <si>
    <t>Depth over 8':</t>
  </si>
  <si>
    <t>Spa Double Curtain:</t>
  </si>
  <si>
    <t>Total Step &amp; Bench:</t>
  </si>
  <si>
    <t>Pool Prep up to 1,200:</t>
  </si>
  <si>
    <t>Prep over 1,200:</t>
  </si>
  <si>
    <t>Pebble Sheen  - Level 1</t>
  </si>
  <si>
    <t>Ivory Quartz</t>
  </si>
  <si>
    <t>Add'l Water Truck</t>
  </si>
  <si>
    <t>7,000 gallons INCLUDED  in BASE.  Enter (1) for 7,000 add'l gallons and (2) for 14,000 add'l gallons</t>
  </si>
  <si>
    <t>Base Water Truck:</t>
  </si>
  <si>
    <t>Add'l Truck Loads:</t>
  </si>
  <si>
    <t>Base - 7,000 Gallons</t>
  </si>
  <si>
    <t>Add'l Truck</t>
  </si>
  <si>
    <t>Material - Level 1 - Pool:</t>
  </si>
  <si>
    <t>Material - Level 2 - Pool:</t>
  </si>
  <si>
    <t>Material - Level 3 - Pool:</t>
  </si>
  <si>
    <t>Level 1 Tile</t>
  </si>
  <si>
    <t>Upgrade Tile - Level 2</t>
  </si>
  <si>
    <t>Upgrade Tile - Level 3</t>
  </si>
  <si>
    <t>Material - Level 1 - Spa:</t>
  </si>
  <si>
    <t>Material - Level 2 - Spa:</t>
  </si>
  <si>
    <t>Material - Level 3 - Spa:</t>
  </si>
  <si>
    <t>Material - Level 2 - Other:</t>
  </si>
  <si>
    <t>Material - Level 1 - Other:</t>
  </si>
  <si>
    <t>Material - Level 3 - Other:</t>
  </si>
  <si>
    <t>Add Trim Tile to Steps &amp; Bench</t>
  </si>
  <si>
    <t>Gunite Pools Only</t>
  </si>
  <si>
    <t>Upgrade Heater to VersaFlo</t>
  </si>
  <si>
    <t>2022 Surcharge</t>
  </si>
  <si>
    <t>Surcharge</t>
  </si>
  <si>
    <t>MARCH 2022</t>
  </si>
  <si>
    <t>30" RBB"</t>
  </si>
  <si>
    <t>Rectangle</t>
  </si>
  <si>
    <t>Picasso</t>
  </si>
  <si>
    <t>Genesis</t>
  </si>
  <si>
    <t>Gemini</t>
  </si>
  <si>
    <t>Hermosa</t>
  </si>
  <si>
    <t>Meridian</t>
  </si>
  <si>
    <t>Regal</t>
  </si>
  <si>
    <t>Caeser</t>
  </si>
  <si>
    <t>Belvedere</t>
  </si>
  <si>
    <t>Martinique Grand</t>
  </si>
  <si>
    <t>Noveau 14</t>
  </si>
  <si>
    <t>Renaissance 14</t>
  </si>
  <si>
    <t>Aristocrat</t>
  </si>
  <si>
    <t>Elysium Grand</t>
  </si>
  <si>
    <t>Grand Palace</t>
  </si>
  <si>
    <t>Imperial</t>
  </si>
  <si>
    <t>Oasis 16</t>
  </si>
  <si>
    <t>Versailles</t>
  </si>
  <si>
    <t>Villa Reale</t>
  </si>
  <si>
    <t>A</t>
  </si>
  <si>
    <t>B</t>
  </si>
  <si>
    <t>C</t>
  </si>
  <si>
    <t>D</t>
  </si>
  <si>
    <t>E</t>
  </si>
  <si>
    <t>F</t>
  </si>
  <si>
    <t>G</t>
  </si>
  <si>
    <t>Jandy IQ20 pump controler</t>
  </si>
  <si>
    <t>Control your pump from your phone</t>
  </si>
  <si>
    <t>By request at extra cost for safety and beauty</t>
  </si>
  <si>
    <t>Maintenance Kit includes: Telescoping pole, Brush, Leaf Skimmer, Test Kit and Net</t>
  </si>
  <si>
    <t>LNFT for spillway or infinity edge</t>
  </si>
  <si>
    <t>Jandy 2.7HP Variable Pump</t>
  </si>
  <si>
    <t>Jandy 1.0HP Single Speed Pump</t>
  </si>
  <si>
    <t>Jandy 2.0HP Single Speed Pump</t>
  </si>
  <si>
    <t>Jandy 1.85HP Variable Pump</t>
  </si>
  <si>
    <t>MAY 2022</t>
  </si>
  <si>
    <t>Pebble Sheen -  Level 2</t>
  </si>
  <si>
    <t>Pebble Sheen -  Level 3</t>
  </si>
  <si>
    <t>Pebble Tec  - Level 1</t>
  </si>
  <si>
    <t>Pebble Tec -  Level 3</t>
  </si>
  <si>
    <t>Caribbean Blue / Sandy Beach / Tahoe Blue / White Pearl</t>
  </si>
  <si>
    <t>Crème de Menthe / Emerald Bay / Midnight Blue / Moonlight Grey / Sky Blue / Soft White / Tropical Breeze</t>
  </si>
  <si>
    <t>Bordeaux / Desert Gold / French Grey / Irish Mist / White Diamonds / HighTech Caribbean Blue / High Tech Tahoe Blue</t>
  </si>
  <si>
    <t>No Custom Feature</t>
  </si>
  <si>
    <t>Jandy 1.65HP Variable Pump</t>
  </si>
  <si>
    <t>Free G3</t>
  </si>
  <si>
    <t>Discount:</t>
  </si>
  <si>
    <t>AUGUST 2022</t>
  </si>
  <si>
    <t>6 Watt - Jandy Nicheless LED Spa light</t>
  </si>
  <si>
    <t>6614 APL BASE PANEL</t>
  </si>
  <si>
    <t>Silt Fencing, Etc.</t>
  </si>
  <si>
    <t>Additional Layout:</t>
  </si>
  <si>
    <t>Strip Forms</t>
  </si>
  <si>
    <t>DEMOLITION</t>
  </si>
  <si>
    <t>FEBRUARY 2023</t>
  </si>
  <si>
    <t>Remove &amp; Replace Tile:</t>
  </si>
  <si>
    <t>Chip Out - Existing Interior:</t>
  </si>
  <si>
    <t>Remove Coping:</t>
  </si>
  <si>
    <t>Remove Exsiting Decking:</t>
  </si>
  <si>
    <t>New Decking:</t>
  </si>
  <si>
    <t>`</t>
  </si>
  <si>
    <t>No Filter</t>
  </si>
  <si>
    <t>Remodel</t>
  </si>
  <si>
    <t>NP Upgrade</t>
  </si>
  <si>
    <t>Valve Remodel</t>
  </si>
  <si>
    <t>Remodel Install</t>
  </si>
  <si>
    <t>NP</t>
  </si>
  <si>
    <t>2023 REMODEL PRICING MASTER - MARCH</t>
  </si>
  <si>
    <t>DEMO</t>
  </si>
  <si>
    <t>March 2023</t>
  </si>
  <si>
    <t>Full Chip Out</t>
  </si>
  <si>
    <t>Cut</t>
  </si>
  <si>
    <t>DEMO TOTAL</t>
  </si>
  <si>
    <t>Remove Decking</t>
  </si>
  <si>
    <t>Remove Coping</t>
  </si>
  <si>
    <t>REMODEL</t>
  </si>
  <si>
    <t>Labor - Remove &amp; Replace Tile</t>
  </si>
  <si>
    <t>Skimmers</t>
  </si>
  <si>
    <t>Pool</t>
  </si>
  <si>
    <t>Number of Skimmers:</t>
  </si>
  <si>
    <t>Additional Tile Remove &amp; Replace:</t>
  </si>
  <si>
    <t>Coping:</t>
  </si>
  <si>
    <t>Add'l Over Base</t>
  </si>
  <si>
    <t>Remove Expansion Between Tile &amp; Coping:</t>
  </si>
  <si>
    <t>Remove Joint / Install Caulk</t>
  </si>
  <si>
    <t>Remove Joint / Install Caulking</t>
  </si>
  <si>
    <t>Crack Repair</t>
  </si>
  <si>
    <t>Crack Repair:</t>
  </si>
  <si>
    <t>Rem Retail</t>
  </si>
  <si>
    <t>Remodel Cost</t>
  </si>
  <si>
    <t>Remod Retail</t>
  </si>
  <si>
    <t>Rem Cost</t>
  </si>
  <si>
    <t>Remodel Set:</t>
  </si>
  <si>
    <t>Pump(s):</t>
  </si>
  <si>
    <t>Sanitation(s):</t>
  </si>
  <si>
    <t>Filter:</t>
  </si>
  <si>
    <t>Remodel:</t>
  </si>
  <si>
    <t>Remodel - w/ Deck:</t>
  </si>
  <si>
    <t>Base - No Deck:</t>
  </si>
  <si>
    <t>Base - With Deck:</t>
  </si>
  <si>
    <t>Retaining Walls</t>
  </si>
  <si>
    <t>12" High - Standard</t>
  </si>
  <si>
    <t>24" High - Standard</t>
  </si>
  <si>
    <t>36" High - Standard</t>
  </si>
  <si>
    <t>48" High - Standard</t>
  </si>
  <si>
    <t>AUGUST 2023</t>
  </si>
  <si>
    <t>12" High - CMU - Veneer Facing - 1-Side</t>
  </si>
  <si>
    <t>24" High - CMU - Veneer Facing - 1-Side</t>
  </si>
  <si>
    <t>36" High - CMU - Veneer Facing - 1-Side</t>
  </si>
  <si>
    <t>48" High - CMU - Veneer Facing - 1-Side</t>
  </si>
  <si>
    <t>12" High - CMU - Veneer Facing - 2-Sides</t>
  </si>
  <si>
    <t>24" High - CMU - Veneer Facing - 2-Sides</t>
  </si>
  <si>
    <t>36" High - CMU - Veneer Facing - 2-Sides</t>
  </si>
  <si>
    <t>48" High - CMU - Veneer Facing - 2-Sides</t>
  </si>
  <si>
    <t>No Retaining Wall</t>
  </si>
  <si>
    <t>Includes 12" Footer</t>
  </si>
  <si>
    <t>Total Height</t>
  </si>
  <si>
    <t>$/SQFT</t>
  </si>
  <si>
    <t>$/LNFT</t>
  </si>
  <si>
    <t>MASONRY - RETAINING WALLS</t>
  </si>
  <si>
    <t>MASONRY - RETAINING WALLS TOTAL:</t>
  </si>
  <si>
    <t>LNFT Inlcuded</t>
  </si>
  <si>
    <t>Concrete Steps:</t>
  </si>
  <si>
    <t>LNFT Included</t>
  </si>
  <si>
    <t xml:space="preserve">Add'l </t>
  </si>
  <si>
    <t>Drainage</t>
  </si>
  <si>
    <t xml:space="preserve">Ozone25 System with Degas Vessel </t>
  </si>
  <si>
    <t>Del Ozone with UV AOP unit with Degas</t>
  </si>
  <si>
    <t>DO NOT ADJUST GALLONS HERE!</t>
  </si>
  <si>
    <t>DO NOT CHANGE HERE!</t>
  </si>
  <si>
    <t>ONLY ENTER DATA FOR CUSTOM FEATURES ON CUSTOM TAB!!!!</t>
  </si>
  <si>
    <t>DO NOT ADJUST PRICE HERE!!!</t>
  </si>
  <si>
    <t>Double Bullnose Travertine</t>
  </si>
  <si>
    <t>Double Bullnose</t>
  </si>
  <si>
    <t>lnft</t>
  </si>
  <si>
    <t>2023 Surcharge</t>
  </si>
  <si>
    <t>Silt Fence:</t>
  </si>
  <si>
    <t>"1" if Silt Fence is required</t>
  </si>
  <si>
    <t>Microglass - Shotcrete</t>
  </si>
  <si>
    <t>Salt System - Jandy Tru-Clear</t>
  </si>
  <si>
    <t>Salt/mineral System - Fusion Soft</t>
  </si>
  <si>
    <t>Chlorinator / Mineral Jandy Fusion Inground</t>
  </si>
  <si>
    <t>Lotus 12/Bermuda</t>
  </si>
  <si>
    <t>Gayla 12/Freeport</t>
  </si>
  <si>
    <t>Chateau &amp; Gayla 12</t>
  </si>
  <si>
    <t>Santorini &amp; Bliss 12</t>
  </si>
  <si>
    <t>Lotus 14</t>
  </si>
  <si>
    <t>Belvedere/Olympia 14</t>
  </si>
  <si>
    <t>Sovereign &amp; Gayla 14</t>
  </si>
  <si>
    <t xml:space="preserve"> Keep unless Deck Is Off Contract!</t>
  </si>
  <si>
    <t xml:space="preserve"> Bullnose Labor:</t>
  </si>
  <si>
    <t>Jandy JTR 3000 Heater/Chiller</t>
  </si>
  <si>
    <r>
      <t>iAqualink Only PS-4 (H.O. To Provide WiFi)</t>
    </r>
    <r>
      <rPr>
        <sz val="10"/>
        <color rgb="FFFF0000"/>
        <rFont val="Arial"/>
        <family val="2"/>
      </rPr>
      <t xml:space="preserve"> Only use with Infinite Light System</t>
    </r>
  </si>
  <si>
    <t>Jandy TCX Controler (1 JVA, Lights and Heater Control)</t>
  </si>
  <si>
    <r>
      <t>6' Sheer Descent</t>
    </r>
    <r>
      <rPr>
        <sz val="10"/>
        <color rgb="FFFF0000"/>
        <rFont val="Arial"/>
        <family val="2"/>
      </rPr>
      <t>( Requires 2nd Pump)</t>
    </r>
  </si>
  <si>
    <r>
      <t>5' Sheer Descent</t>
    </r>
    <r>
      <rPr>
        <sz val="10"/>
        <color rgb="FFFF0000"/>
        <rFont val="Arial"/>
        <family val="2"/>
      </rPr>
      <t xml:space="preserve"> Requires 2nd Pump</t>
    </r>
    <r>
      <rPr>
        <sz val="10"/>
        <color theme="1"/>
        <rFont val="Arial"/>
        <family val="2"/>
      </rPr>
      <t>)</t>
    </r>
  </si>
  <si>
    <r>
      <t xml:space="preserve">LED Bubbler, </t>
    </r>
    <r>
      <rPr>
        <sz val="11"/>
        <color rgb="FFFF0000"/>
        <rFont val="Calibri"/>
        <family val="2"/>
        <scheme val="minor"/>
      </rPr>
      <t>Includes Bubbler and Light.  Need light run and water feature run</t>
    </r>
  </si>
  <si>
    <t>2024</t>
  </si>
  <si>
    <t>Lotus XL</t>
  </si>
  <si>
    <t xml:space="preserve">Gayla XDL </t>
  </si>
  <si>
    <t>Gayla 16</t>
  </si>
  <si>
    <t>8" on center in the deep end and coves</t>
  </si>
  <si>
    <t>John Piotrowski</t>
  </si>
  <si>
    <t>980-392-7944</t>
  </si>
  <si>
    <t>jpiotrowski@ppas.com</t>
  </si>
  <si>
    <t>Pebble Tec - Level 2</t>
  </si>
  <si>
    <t>Pebble Fina  - Level 1</t>
  </si>
  <si>
    <t>Pebble Fina - Level 2</t>
  </si>
  <si>
    <t>Pebble Brilliance</t>
  </si>
  <si>
    <t xml:space="preserve">Pebble Breeze </t>
  </si>
  <si>
    <t>Pebble Essence</t>
  </si>
  <si>
    <t>Black Marble / Black Pearl / Blue Lagood / Blue Wave</t>
  </si>
  <si>
    <t>Ivory / Blue / French Grey / Super Blue / Mariner Blue / Tropical Blue / Sky Blue</t>
  </si>
  <si>
    <t>Aqua Blue / Blue Granite / Black Onyx / Blue Surf / Black Eclipse</t>
  </si>
  <si>
    <t>Artic White / Cool Blue / Ocean Blue / Prism Blue / Slate Blue / Turtle Bay</t>
  </si>
  <si>
    <t>Acquos / Bella Blue / Classico / Grigio / Steel Grey</t>
  </si>
  <si>
    <t>Cielo Blue / Egyptian Sand / Fresca Verde</t>
  </si>
  <si>
    <t>All Colors</t>
  </si>
  <si>
    <t>Polaris Epic IQ</t>
  </si>
  <si>
    <t>Polaris Alpha IQ</t>
  </si>
  <si>
    <t>Jandy 400K BTU - VersaFlo</t>
  </si>
  <si>
    <t>Infinite Water Color</t>
  </si>
  <si>
    <r>
      <t xml:space="preserve">1 JVA, Heat, Pump, Lights NO </t>
    </r>
    <r>
      <rPr>
        <sz val="10"/>
        <color rgb="FFFF0000"/>
        <rFont val="Arial"/>
        <family val="2"/>
      </rPr>
      <t>INFINITE WATER COLOR</t>
    </r>
  </si>
  <si>
    <t>IQ Pump 01</t>
  </si>
  <si>
    <t>36" Precast Wok - Fire &amp; Water</t>
  </si>
  <si>
    <t>30" Precast Wok - Fire Only</t>
  </si>
  <si>
    <t>36" Precast Wok - Fire Only</t>
  </si>
  <si>
    <t>30" Precast Wok - Water Only</t>
  </si>
  <si>
    <t>32" Precast Wok - Water Only</t>
  </si>
  <si>
    <t>36" Precast Wok - Water Only</t>
  </si>
  <si>
    <t>Add $500 for Copper</t>
  </si>
  <si>
    <t>Match throw add additional $588, auto add $2134, Add $500 for Copper</t>
  </si>
  <si>
    <t>30" Precast Wok - Fire &amp; Water</t>
  </si>
  <si>
    <t>Ivory, Hazelnut, Noce, Country Classic, Light Noce, Harvest Blend</t>
  </si>
  <si>
    <t>Silver, Silver Vogue, River Silver, Bianco Dolomite, Dianna Royal, Skyline, Alaska Silver, Turkish Carrea</t>
  </si>
  <si>
    <t>Pool filled with water</t>
  </si>
  <si>
    <t>Water Trucks included</t>
  </si>
  <si>
    <t>PAP Discount:</t>
  </si>
  <si>
    <t>2025 PRICING MASTER - September</t>
  </si>
  <si>
    <t xml:space="preserve">Downspout Total LF from all </t>
  </si>
  <si>
    <t xml:space="preserve">Deck Drain Total LF </t>
  </si>
  <si>
    <t>French Drain Total LF</t>
  </si>
  <si>
    <t>Box Drain Total LF</t>
  </si>
  <si>
    <t>x2</t>
  </si>
  <si>
    <t>iAqualink Only PS-4 (H.O. To Provide WiFi) Only use with Infinite Light System</t>
  </si>
  <si>
    <t>travertine cap for raised wall</t>
  </si>
  <si>
    <t>50 ft</t>
  </si>
  <si>
    <t>Daisy Burger no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</si>
</sst>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&quot;$&quot;#,##0"/>
    <numFmt numFmtId="167" formatCode="&quot;$&quot;#,##0.00"/>
    <numFmt numFmtId="168" formatCode="0.0"/>
    <numFmt numFmtId="169" formatCode="_(* #,##0.0_);_(* \(#,##0.0\);_(* &quot;-&quot;??_);_(@_)"/>
    <numFmt numFmtId="170" formatCode="_(* #,##0_);_(* \(#,##0\);_(* &quot;-&quot;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Swis721 BT"/>
      <family val="2"/>
    </font>
    <font>
      <sz val="10"/>
      <color theme="1"/>
      <name val="Arial"/>
      <family val="2"/>
    </font>
    <font>
      <sz val="10"/>
      <color theme="3" tint="0.39997558519241921"/>
      <name val="Arial"/>
      <family val="2"/>
    </font>
    <font>
      <sz val="10"/>
      <color rgb="FFFF0000"/>
      <name val="Arial"/>
      <family val="2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rgb="FFFFFFFF"/>
      <name val="Open Sans"/>
      <family val="2"/>
    </font>
    <font>
      <b/>
      <sz val="8"/>
      <color rgb="FF002D4F"/>
      <name val="Open Sans"/>
      <family val="2"/>
    </font>
    <font>
      <sz val="8"/>
      <color theme="1"/>
      <name val="Open Sans"/>
      <family val="2"/>
    </font>
    <font>
      <sz val="12"/>
      <color theme="1"/>
      <name val="Open Sans"/>
      <family val="2"/>
    </font>
    <font>
      <b/>
      <sz val="8"/>
      <color theme="1"/>
      <name val="Open Sans"/>
      <family val="2"/>
    </font>
    <font>
      <b/>
      <sz val="16"/>
      <name val="Open Sans Bold"/>
    </font>
    <font>
      <b/>
      <sz val="8"/>
      <name val="Open Sans"/>
      <family val="2"/>
    </font>
    <font>
      <sz val="8"/>
      <name val="Open Sans"/>
      <family val="2"/>
    </font>
    <font>
      <sz val="8"/>
      <color rgb="FF000000"/>
      <name val="Open Sans"/>
      <family val="2"/>
    </font>
    <font>
      <b/>
      <sz val="9"/>
      <color theme="1"/>
      <name val="Open Sans"/>
      <family val="2"/>
    </font>
    <font>
      <b/>
      <sz val="12"/>
      <name val="Open Sans"/>
      <family val="2"/>
    </font>
    <font>
      <sz val="9"/>
      <name val="Open Sans"/>
      <family val="2"/>
    </font>
    <font>
      <sz val="9"/>
      <color rgb="FF000000"/>
      <name val="Open Sans"/>
      <family val="2"/>
    </font>
    <font>
      <b/>
      <sz val="5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rgb="FFFFFFFF"/>
      <name val="Open Sans"/>
      <family val="2"/>
    </font>
    <font>
      <b/>
      <sz val="9"/>
      <color theme="1"/>
      <name val="Open Sans"/>
      <family val="2"/>
    </font>
    <font>
      <b/>
      <sz val="9"/>
      <color theme="0"/>
      <name val="Open Sans"/>
      <family val="2"/>
    </font>
    <font>
      <b/>
      <sz val="9"/>
      <color theme="0"/>
      <name val="Open Sans"/>
      <family val="2"/>
    </font>
    <font>
      <b/>
      <sz val="8"/>
      <color theme="0"/>
      <name val="Open Sans"/>
      <family val="2"/>
    </font>
    <font>
      <b/>
      <sz val="10"/>
      <color theme="0"/>
      <name val="Open Sans"/>
      <family val="2"/>
    </font>
    <font>
      <b/>
      <sz val="16"/>
      <color rgb="FFFF0000"/>
      <name val="Calibri"/>
      <family val="2"/>
      <scheme val="minor"/>
    </font>
    <font>
      <b/>
      <sz val="9"/>
      <color rgb="FF000000"/>
      <name val="Open Sans"/>
      <family val="2"/>
    </font>
    <font>
      <sz val="8"/>
      <color theme="0" tint="-0.34998626667073579"/>
      <name val="Open Sans"/>
      <family val="2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9"/>
      <color theme="0" tint="-4.9989318521683403E-2"/>
      <name val="Calibri"/>
      <family val="2"/>
      <scheme val="minor"/>
    </font>
    <font>
      <b/>
      <sz val="10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  <scheme val="minor"/>
    </font>
    <font>
      <sz val="7"/>
      <color theme="1"/>
      <name val="Open Sans"/>
      <family val="2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D4F"/>
        <bgColor indexed="64"/>
      </patternFill>
    </fill>
    <fill>
      <patternFill patternType="solid">
        <fgColor rgb="FF002D4F"/>
        <bgColor rgb="FF000000"/>
      </patternFill>
    </fill>
    <fill>
      <patternFill patternType="solid">
        <fgColor rgb="FF0A3152"/>
        <bgColor indexed="64"/>
      </patternFill>
    </fill>
    <fill>
      <patternFill patternType="solid">
        <fgColor theme="7" tint="0.39997558519241921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A315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1" fillId="0" borderId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668">
    <xf numFmtId="0" fontId="0" fillId="0" borderId="0" xfId="0"/>
    <xf numFmtId="44" fontId="0" fillId="0" borderId="0" xfId="0" applyNumberFormat="1"/>
    <xf numFmtId="44" fontId="0" fillId="0" borderId="0" xfId="2" applyFont="1"/>
    <xf numFmtId="164" fontId="0" fillId="0" borderId="0" xfId="2" applyNumberFormat="1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2" applyNumberFormat="1" applyFont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right"/>
    </xf>
    <xf numFmtId="9" fontId="0" fillId="0" borderId="0" xfId="1" applyFont="1"/>
    <xf numFmtId="165" fontId="0" fillId="0" borderId="0" xfId="1" applyNumberFormat="1" applyFont="1"/>
    <xf numFmtId="0" fontId="2" fillId="0" borderId="0" xfId="0" applyFont="1"/>
    <xf numFmtId="0" fontId="0" fillId="3" borderId="0" xfId="0" applyFill="1"/>
    <xf numFmtId="9" fontId="0" fillId="0" borderId="0" xfId="0" applyNumberFormat="1"/>
    <xf numFmtId="0" fontId="6" fillId="0" borderId="0" xfId="0" applyFont="1"/>
    <xf numFmtId="14" fontId="6" fillId="0" borderId="0" xfId="0" quotePrefix="1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4" applyAlignment="1">
      <alignment horizontal="center"/>
    </xf>
    <xf numFmtId="0" fontId="6" fillId="0" borderId="0" xfId="4" applyAlignment="1">
      <alignment horizontal="center" wrapText="1"/>
    </xf>
    <xf numFmtId="44" fontId="6" fillId="0" borderId="0" xfId="4" applyNumberFormat="1" applyAlignment="1">
      <alignment horizontal="center"/>
    </xf>
    <xf numFmtId="44" fontId="6" fillId="3" borderId="0" xfId="4" applyNumberFormat="1" applyFill="1" applyAlignment="1">
      <alignment horizontal="center"/>
    </xf>
    <xf numFmtId="44" fontId="0" fillId="0" borderId="0" xfId="2" applyFont="1" applyAlignment="1">
      <alignment horizontal="center"/>
    </xf>
    <xf numFmtId="0" fontId="8" fillId="0" borderId="0" xfId="4" applyFont="1" applyAlignment="1">
      <alignment horizontal="center"/>
    </xf>
    <xf numFmtId="0" fontId="8" fillId="3" borderId="0" xfId="4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1" fillId="0" borderId="0" xfId="2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/>
    <xf numFmtId="0" fontId="0" fillId="0" borderId="6" xfId="0" applyBorder="1"/>
    <xf numFmtId="44" fontId="0" fillId="0" borderId="6" xfId="2" applyFont="1" applyBorder="1"/>
    <xf numFmtId="44" fontId="0" fillId="0" borderId="6" xfId="0" applyNumberFormat="1" applyBorder="1"/>
    <xf numFmtId="0" fontId="9" fillId="0" borderId="6" xfId="0" applyFont="1" applyBorder="1" applyAlignment="1">
      <alignment horizontal="center"/>
    </xf>
    <xf numFmtId="0" fontId="5" fillId="0" borderId="6" xfId="3" applyBorder="1" applyAlignment="1" applyProtection="1">
      <alignment horizontal="center"/>
    </xf>
    <xf numFmtId="44" fontId="6" fillId="0" borderId="6" xfId="0" applyNumberFormat="1" applyFont="1" applyBorder="1"/>
    <xf numFmtId="0" fontId="6" fillId="0" borderId="0" xfId="4"/>
    <xf numFmtId="0" fontId="0" fillId="0" borderId="6" xfId="0" applyBorder="1" applyAlignment="1">
      <alignment horizontal="center"/>
    </xf>
    <xf numFmtId="0" fontId="5" fillId="0" borderId="0" xfId="3" applyAlignment="1" applyProtection="1"/>
    <xf numFmtId="0" fontId="5" fillId="0" borderId="6" xfId="3" applyBorder="1" applyAlignment="1" applyProtection="1"/>
    <xf numFmtId="0" fontId="12" fillId="0" borderId="0" xfId="0" applyFont="1"/>
    <xf numFmtId="0" fontId="10" fillId="0" borderId="0" xfId="0" applyFont="1"/>
    <xf numFmtId="44" fontId="10" fillId="0" borderId="0" xfId="2" applyFont="1"/>
    <xf numFmtId="0" fontId="10" fillId="0" borderId="0" xfId="4" applyFont="1"/>
    <xf numFmtId="44" fontId="10" fillId="0" borderId="0" xfId="4" applyNumberFormat="1" applyFont="1" applyAlignment="1">
      <alignment horizontal="center"/>
    </xf>
    <xf numFmtId="0" fontId="10" fillId="0" borderId="6" xfId="0" applyFont="1" applyBorder="1"/>
    <xf numFmtId="44" fontId="10" fillId="0" borderId="6" xfId="2" applyFont="1" applyBorder="1"/>
    <xf numFmtId="0" fontId="6" fillId="5" borderId="0" xfId="4" applyFill="1"/>
    <xf numFmtId="44" fontId="6" fillId="5" borderId="0" xfId="4" applyNumberFormat="1" applyFill="1" applyAlignment="1">
      <alignment horizontal="center"/>
    </xf>
    <xf numFmtId="0" fontId="10" fillId="0" borderId="6" xfId="0" quotePrefix="1" applyFont="1" applyBorder="1"/>
    <xf numFmtId="44" fontId="10" fillId="0" borderId="0" xfId="2" quotePrefix="1" applyFont="1"/>
    <xf numFmtId="44" fontId="6" fillId="6" borderId="0" xfId="4" applyNumberFormat="1" applyFill="1" applyAlignment="1">
      <alignment horizontal="center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/>
    </xf>
    <xf numFmtId="44" fontId="6" fillId="0" borderId="0" xfId="4" applyNumberFormat="1"/>
    <xf numFmtId="0" fontId="10" fillId="0" borderId="0" xfId="5" applyFont="1"/>
    <xf numFmtId="0" fontId="1" fillId="0" borderId="0" xfId="5"/>
    <xf numFmtId="44" fontId="1" fillId="0" borderId="0" xfId="2" applyFont="1"/>
    <xf numFmtId="0" fontId="6" fillId="4" borderId="0" xfId="4" applyFill="1"/>
    <xf numFmtId="44" fontId="6" fillId="4" borderId="0" xfId="4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44" fontId="0" fillId="0" borderId="0" xfId="2" applyFont="1" applyBorder="1"/>
    <xf numFmtId="164" fontId="0" fillId="0" borderId="0" xfId="0" applyNumberFormat="1"/>
    <xf numFmtId="0" fontId="7" fillId="0" borderId="0" xfId="4" applyFont="1" applyAlignment="1">
      <alignment horizontal="center"/>
    </xf>
    <xf numFmtId="0" fontId="6" fillId="4" borderId="0" xfId="0" applyFont="1" applyFill="1"/>
    <xf numFmtId="44" fontId="0" fillId="4" borderId="0" xfId="2" applyFont="1" applyFill="1" applyBorder="1"/>
    <xf numFmtId="44" fontId="0" fillId="4" borderId="0" xfId="2" applyFont="1" applyFill="1"/>
    <xf numFmtId="0" fontId="0" fillId="4" borderId="0" xfId="0" applyFill="1"/>
    <xf numFmtId="44" fontId="0" fillId="4" borderId="0" xfId="0" applyNumberFormat="1" applyFill="1"/>
    <xf numFmtId="44" fontId="0" fillId="2" borderId="6" xfId="2" applyFont="1" applyFill="1" applyBorder="1"/>
    <xf numFmtId="0" fontId="0" fillId="0" borderId="0" xfId="0" applyAlignment="1">
      <alignment vertical="center"/>
    </xf>
    <xf numFmtId="0" fontId="21" fillId="0" borderId="0" xfId="0" applyFont="1" applyAlignment="1">
      <alignment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6" fillId="3" borderId="6" xfId="0" applyFont="1" applyFill="1" applyBorder="1" applyAlignment="1">
      <alignment horizontal="left" vertical="center" wrapText="1"/>
    </xf>
    <xf numFmtId="166" fontId="27" fillId="3" borderId="6" xfId="0" applyNumberFormat="1" applyFont="1" applyFill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166" fontId="27" fillId="0" borderId="6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5" fillId="11" borderId="0" xfId="0" applyFont="1" applyFill="1"/>
    <xf numFmtId="0" fontId="18" fillId="10" borderId="6" xfId="8" applyFont="1" applyFill="1" applyBorder="1" applyAlignment="1">
      <alignment horizontal="center" vertical="center" wrapText="1"/>
    </xf>
    <xf numFmtId="0" fontId="26" fillId="0" borderId="6" xfId="0" quotePrefix="1" applyFont="1" applyBorder="1" applyAlignment="1">
      <alignment horizontal="center" vertical="center" wrapText="1"/>
    </xf>
    <xf numFmtId="167" fontId="30" fillId="0" borderId="6" xfId="0" applyNumberFormat="1" applyFont="1" applyBorder="1" applyAlignment="1">
      <alignment vertical="center" wrapText="1"/>
    </xf>
    <xf numFmtId="167" fontId="26" fillId="0" borderId="6" xfId="7" applyNumberFormat="1" applyFont="1" applyFill="1" applyBorder="1" applyAlignment="1">
      <alignment horizontal="right" vertical="center" wrapText="1"/>
    </xf>
    <xf numFmtId="0" fontId="22" fillId="12" borderId="6" xfId="8" applyFont="1" applyFill="1" applyBorder="1" applyAlignment="1">
      <alignment horizontal="center" vertical="center" wrapText="1"/>
    </xf>
    <xf numFmtId="0" fontId="34" fillId="10" borderId="14" xfId="0" applyFont="1" applyFill="1" applyBorder="1" applyAlignment="1">
      <alignment horizontal="center" vertical="center" wrapText="1"/>
    </xf>
    <xf numFmtId="0" fontId="24" fillId="12" borderId="20" xfId="8" applyFont="1" applyFill="1" applyBorder="1" applyAlignment="1">
      <alignment horizontal="center" vertical="center" wrapText="1"/>
    </xf>
    <xf numFmtId="0" fontId="37" fillId="14" borderId="6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166" fontId="26" fillId="3" borderId="3" xfId="7" applyNumberFormat="1" applyFont="1" applyFill="1" applyBorder="1" applyAlignment="1">
      <alignment horizontal="center" vertical="center" wrapText="1"/>
    </xf>
    <xf numFmtId="166" fontId="26" fillId="0" borderId="3" xfId="7" applyNumberFormat="1" applyFont="1" applyFill="1" applyBorder="1" applyAlignment="1">
      <alignment horizontal="center" vertical="center" wrapText="1"/>
    </xf>
    <xf numFmtId="166" fontId="35" fillId="12" borderId="3" xfId="0" applyNumberFormat="1" applyFont="1" applyFill="1" applyBorder="1" applyAlignment="1">
      <alignment horizontal="center" vertical="center" wrapText="1"/>
    </xf>
    <xf numFmtId="0" fontId="25" fillId="0" borderId="24" xfId="0" quotePrefix="1" applyFont="1" applyBorder="1" applyAlignment="1">
      <alignment vertical="center" wrapText="1"/>
    </xf>
    <xf numFmtId="166" fontId="0" fillId="0" borderId="21" xfId="0" applyNumberFormat="1" applyBorder="1" applyAlignment="1">
      <alignment horizontal="center"/>
    </xf>
    <xf numFmtId="166" fontId="0" fillId="0" borderId="25" xfId="0" applyNumberFormat="1" applyBorder="1" applyAlignment="1">
      <alignment horizontal="center"/>
    </xf>
    <xf numFmtId="0" fontId="25" fillId="0" borderId="23" xfId="0" quotePrefix="1" applyFont="1" applyBorder="1" applyAlignment="1">
      <alignment vertical="center" wrapText="1"/>
    </xf>
    <xf numFmtId="0" fontId="25" fillId="0" borderId="26" xfId="0" applyFont="1" applyBorder="1" applyAlignment="1">
      <alignment vertical="center" wrapText="1"/>
    </xf>
    <xf numFmtId="1" fontId="40" fillId="0" borderId="0" xfId="0" applyNumberFormat="1" applyFont="1" applyAlignment="1">
      <alignment horizontal="center" vertical="center"/>
    </xf>
    <xf numFmtId="0" fontId="0" fillId="0" borderId="3" xfId="0" applyBorder="1"/>
    <xf numFmtId="166" fontId="41" fillId="3" borderId="17" xfId="0" applyNumberFormat="1" applyFont="1" applyFill="1" applyBorder="1" applyAlignment="1">
      <alignment horizontal="center" vertical="center" wrapText="1"/>
    </xf>
    <xf numFmtId="164" fontId="0" fillId="2" borderId="6" xfId="2" applyNumberFormat="1" applyFont="1" applyFill="1" applyBorder="1"/>
    <xf numFmtId="0" fontId="26" fillId="3" borderId="6" xfId="0" quotePrefix="1" applyFont="1" applyFill="1" applyBorder="1" applyAlignment="1">
      <alignment horizontal="center" vertical="center" wrapText="1"/>
    </xf>
    <xf numFmtId="167" fontId="30" fillId="3" borderId="6" xfId="0" applyNumberFormat="1" applyFont="1" applyFill="1" applyBorder="1" applyAlignment="1">
      <alignment vertical="center" wrapText="1"/>
    </xf>
    <xf numFmtId="167" fontId="26" fillId="3" borderId="6" xfId="7" applyNumberFormat="1" applyFont="1" applyFill="1" applyBorder="1" applyAlignment="1">
      <alignment horizontal="right" vertical="center" wrapText="1"/>
    </xf>
    <xf numFmtId="167" fontId="42" fillId="0" borderId="0" xfId="0" applyNumberFormat="1" applyFont="1" applyAlignment="1">
      <alignment horizontal="center" vertical="center" wrapText="1"/>
    </xf>
    <xf numFmtId="0" fontId="0" fillId="0" borderId="0" xfId="0" quotePrefix="1"/>
    <xf numFmtId="164" fontId="3" fillId="8" borderId="16" xfId="0" applyNumberFormat="1" applyFont="1" applyFill="1" applyBorder="1"/>
    <xf numFmtId="44" fontId="0" fillId="2" borderId="0" xfId="2" applyFont="1" applyFill="1" applyAlignment="1">
      <alignment horizontal="center"/>
    </xf>
    <xf numFmtId="44" fontId="0" fillId="2" borderId="6" xfId="2" applyFont="1" applyFill="1" applyBorder="1" applyAlignment="1">
      <alignment horizontal="center"/>
    </xf>
    <xf numFmtId="0" fontId="0" fillId="0" borderId="6" xfId="0" quotePrefix="1" applyBorder="1"/>
    <xf numFmtId="164" fontId="0" fillId="0" borderId="6" xfId="0" applyNumberFormat="1" applyBorder="1"/>
    <xf numFmtId="164" fontId="0" fillId="0" borderId="6" xfId="2" applyNumberFormat="1" applyFont="1" applyBorder="1"/>
    <xf numFmtId="0" fontId="3" fillId="2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3" fillId="2" borderId="16" xfId="0" applyNumberFormat="1" applyFont="1" applyFill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64" fontId="0" fillId="0" borderId="7" xfId="0" applyNumberFormat="1" applyBorder="1"/>
    <xf numFmtId="0" fontId="0" fillId="0" borderId="30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horizontal="center"/>
    </xf>
    <xf numFmtId="0" fontId="0" fillId="0" borderId="35" xfId="0" applyBorder="1"/>
    <xf numFmtId="0" fontId="0" fillId="0" borderId="36" xfId="0" applyBorder="1" applyAlignment="1">
      <alignment horizontal="center"/>
    </xf>
    <xf numFmtId="1" fontId="0" fillId="0" borderId="37" xfId="0" applyNumberFormat="1" applyBorder="1" applyAlignment="1">
      <alignment horizontal="center"/>
    </xf>
    <xf numFmtId="44" fontId="0" fillId="0" borderId="0" xfId="2" applyFont="1" applyFill="1" applyBorder="1"/>
    <xf numFmtId="0" fontId="3" fillId="3" borderId="1" xfId="0" applyFont="1" applyFill="1" applyBorder="1"/>
    <xf numFmtId="0" fontId="3" fillId="3" borderId="29" xfId="0" applyFont="1" applyFill="1" applyBorder="1"/>
    <xf numFmtId="1" fontId="3" fillId="3" borderId="29" xfId="0" applyNumberFormat="1" applyFont="1" applyFill="1" applyBorder="1" applyAlignment="1">
      <alignment horizontal="center"/>
    </xf>
    <xf numFmtId="44" fontId="3" fillId="3" borderId="16" xfId="0" applyNumberFormat="1" applyFont="1" applyFill="1" applyBorder="1"/>
    <xf numFmtId="164" fontId="3" fillId="0" borderId="16" xfId="0" applyNumberFormat="1" applyFont="1" applyBorder="1"/>
    <xf numFmtId="0" fontId="44" fillId="0" borderId="6" xfId="0" applyFont="1" applyBorder="1" applyAlignment="1">
      <alignment horizontal="center"/>
    </xf>
    <xf numFmtId="44" fontId="0" fillId="0" borderId="6" xfId="2" applyFont="1" applyFill="1" applyBorder="1"/>
    <xf numFmtId="44" fontId="0" fillId="0" borderId="7" xfId="0" applyNumberFormat="1" applyBorder="1"/>
    <xf numFmtId="0" fontId="0" fillId="0" borderId="6" xfId="0" applyBorder="1" applyAlignment="1">
      <alignment horizontal="left"/>
    </xf>
    <xf numFmtId="0" fontId="44" fillId="0" borderId="6" xfId="0" quotePrefix="1" applyFont="1" applyBorder="1"/>
    <xf numFmtId="44" fontId="44" fillId="0" borderId="6" xfId="0" applyNumberFormat="1" applyFont="1" applyBorder="1"/>
    <xf numFmtId="44" fontId="44" fillId="2" borderId="6" xfId="2" applyFont="1" applyFill="1" applyBorder="1"/>
    <xf numFmtId="44" fontId="1" fillId="2" borderId="6" xfId="2" applyFont="1" applyFill="1" applyBorder="1"/>
    <xf numFmtId="44" fontId="3" fillId="0" borderId="16" xfId="0" applyNumberFormat="1" applyFont="1" applyBorder="1"/>
    <xf numFmtId="44" fontId="3" fillId="0" borderId="6" xfId="0" applyNumberFormat="1" applyFont="1" applyBorder="1"/>
    <xf numFmtId="44" fontId="3" fillId="0" borderId="0" xfId="2" applyFont="1" applyAlignment="1">
      <alignment horizontal="center"/>
    </xf>
    <xf numFmtId="44" fontId="3" fillId="0" borderId="0" xfId="2" applyFont="1"/>
    <xf numFmtId="0" fontId="0" fillId="0" borderId="8" xfId="0" quotePrefix="1" applyBorder="1"/>
    <xf numFmtId="44" fontId="44" fillId="0" borderId="8" xfId="2" applyFont="1" applyFill="1" applyBorder="1"/>
    <xf numFmtId="0" fontId="0" fillId="0" borderId="8" xfId="0" applyBorder="1" applyAlignment="1">
      <alignment horizontal="center"/>
    </xf>
    <xf numFmtId="44" fontId="0" fillId="0" borderId="8" xfId="0" applyNumberFormat="1" applyBorder="1"/>
    <xf numFmtId="44" fontId="3" fillId="2" borderId="0" xfId="2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44" fillId="0" borderId="0" xfId="0" applyFont="1"/>
    <xf numFmtId="44" fontId="3" fillId="0" borderId="0" xfId="0" applyNumberFormat="1" applyFont="1"/>
    <xf numFmtId="0" fontId="3" fillId="15" borderId="1" xfId="0" applyFont="1" applyFill="1" applyBorder="1"/>
    <xf numFmtId="0" fontId="3" fillId="15" borderId="29" xfId="0" applyFont="1" applyFill="1" applyBorder="1"/>
    <xf numFmtId="1" fontId="3" fillId="15" borderId="29" xfId="0" applyNumberFormat="1" applyFont="1" applyFill="1" applyBorder="1" applyAlignment="1">
      <alignment horizontal="center"/>
    </xf>
    <xf numFmtId="44" fontId="3" fillId="15" borderId="16" xfId="0" applyNumberFormat="1" applyFont="1" applyFill="1" applyBorder="1"/>
    <xf numFmtId="0" fontId="3" fillId="7" borderId="1" xfId="0" applyFont="1" applyFill="1" applyBorder="1"/>
    <xf numFmtId="0" fontId="3" fillId="7" borderId="29" xfId="0" applyFont="1" applyFill="1" applyBorder="1"/>
    <xf numFmtId="1" fontId="3" fillId="7" borderId="29" xfId="0" applyNumberFormat="1" applyFont="1" applyFill="1" applyBorder="1" applyAlignment="1">
      <alignment horizontal="center"/>
    </xf>
    <xf numFmtId="44" fontId="3" fillId="7" borderId="16" xfId="0" applyNumberFormat="1" applyFont="1" applyFill="1" applyBorder="1"/>
    <xf numFmtId="0" fontId="46" fillId="0" borderId="0" xfId="0" applyFont="1" applyAlignment="1">
      <alignment horizontal="center"/>
    </xf>
    <xf numFmtId="0" fontId="46" fillId="0" borderId="39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0" fillId="0" borderId="13" xfId="0" applyBorder="1"/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0" fillId="0" borderId="10" xfId="0" applyBorder="1"/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/>
    </xf>
    <xf numFmtId="0" fontId="46" fillId="0" borderId="29" xfId="0" applyFont="1" applyBorder="1" applyAlignment="1">
      <alignment horizontal="center"/>
    </xf>
    <xf numFmtId="0" fontId="0" fillId="0" borderId="6" xfId="0" applyBorder="1" applyAlignment="1">
      <alignment horizontal="right"/>
    </xf>
    <xf numFmtId="0" fontId="3" fillId="0" borderId="8" xfId="0" applyFont="1" applyBorder="1" applyAlignment="1">
      <alignment horizontal="center"/>
    </xf>
    <xf numFmtId="165" fontId="3" fillId="8" borderId="16" xfId="1" applyNumberFormat="1" applyFont="1" applyFill="1" applyBorder="1" applyAlignment="1">
      <alignment horizontal="center"/>
    </xf>
    <xf numFmtId="10" fontId="3" fillId="8" borderId="16" xfId="1" applyNumberFormat="1" applyFont="1" applyFill="1" applyBorder="1" applyAlignment="1">
      <alignment horizontal="center"/>
    </xf>
    <xf numFmtId="10" fontId="3" fillId="8" borderId="16" xfId="0" applyNumberFormat="1" applyFont="1" applyFill="1" applyBorder="1" applyAlignment="1">
      <alignment horizontal="center"/>
    </xf>
    <xf numFmtId="0" fontId="48" fillId="0" borderId="5" xfId="0" applyFont="1" applyBorder="1"/>
    <xf numFmtId="167" fontId="4" fillId="3" borderId="1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horizontal="center"/>
    </xf>
    <xf numFmtId="44" fontId="0" fillId="0" borderId="0" xfId="2" applyFont="1" applyFill="1" applyAlignment="1">
      <alignment horizontal="center"/>
    </xf>
    <xf numFmtId="165" fontId="0" fillId="8" borderId="0" xfId="1" applyNumberFormat="1" applyFont="1" applyFill="1" applyAlignment="1">
      <alignment horizontal="left"/>
    </xf>
    <xf numFmtId="165" fontId="3" fillId="2" borderId="16" xfId="1" applyNumberFormat="1" applyFont="1" applyFill="1" applyBorder="1" applyAlignment="1">
      <alignment horizontal="center"/>
    </xf>
    <xf numFmtId="44" fontId="0" fillId="2" borderId="0" xfId="2" applyFont="1" applyFill="1"/>
    <xf numFmtId="44" fontId="0" fillId="0" borderId="5" xfId="0" applyNumberFormat="1" applyBorder="1" applyAlignment="1">
      <alignment horizontal="center"/>
    </xf>
    <xf numFmtId="0" fontId="4" fillId="0" borderId="0" xfId="0" applyFont="1"/>
    <xf numFmtId="1" fontId="4" fillId="0" borderId="0" xfId="0" applyNumberFormat="1" applyFont="1" applyAlignment="1">
      <alignment horizontal="center"/>
    </xf>
    <xf numFmtId="44" fontId="4" fillId="0" borderId="0" xfId="0" applyNumberFormat="1" applyFont="1"/>
    <xf numFmtId="165" fontId="4" fillId="8" borderId="16" xfId="1" applyNumberFormat="1" applyFont="1" applyFill="1" applyBorder="1" applyAlignment="1">
      <alignment horizontal="center"/>
    </xf>
    <xf numFmtId="9" fontId="0" fillId="2" borderId="16" xfId="1" applyFont="1" applyFill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44" fontId="3" fillId="3" borderId="6" xfId="0" applyNumberFormat="1" applyFont="1" applyFill="1" applyBorder="1"/>
    <xf numFmtId="44" fontId="0" fillId="2" borderId="6" xfId="0" applyNumberFormat="1" applyFill="1" applyBorder="1"/>
    <xf numFmtId="0" fontId="8" fillId="3" borderId="6" xfId="0" applyFont="1" applyFill="1" applyBorder="1"/>
    <xf numFmtId="0" fontId="3" fillId="3" borderId="16" xfId="0" applyFont="1" applyFill="1" applyBorder="1" applyAlignment="1">
      <alignment horizontal="center"/>
    </xf>
    <xf numFmtId="0" fontId="6" fillId="0" borderId="8" xfId="0" applyFont="1" applyBorder="1"/>
    <xf numFmtId="0" fontId="10" fillId="0" borderId="8" xfId="0" applyFont="1" applyBorder="1"/>
    <xf numFmtId="0" fontId="3" fillId="3" borderId="23" xfId="0" applyFont="1" applyFill="1" applyBorder="1" applyAlignment="1">
      <alignment horizontal="center"/>
    </xf>
    <xf numFmtId="44" fontId="10" fillId="0" borderId="6" xfId="0" applyNumberFormat="1" applyFont="1" applyBorder="1"/>
    <xf numFmtId="44" fontId="11" fillId="0" borderId="6" xfId="0" applyNumberFormat="1" applyFont="1" applyBorder="1"/>
    <xf numFmtId="44" fontId="10" fillId="0" borderId="6" xfId="0" applyNumberFormat="1" applyFont="1" applyBorder="1" applyAlignment="1">
      <alignment horizontal="center"/>
    </xf>
    <xf numFmtId="44" fontId="10" fillId="2" borderId="6" xfId="0" applyNumberFormat="1" applyFont="1" applyFill="1" applyBorder="1"/>
    <xf numFmtId="44" fontId="1" fillId="0" borderId="6" xfId="2" applyFill="1" applyBorder="1"/>
    <xf numFmtId="44" fontId="1" fillId="0" borderId="6" xfId="2" applyBorder="1"/>
    <xf numFmtId="0" fontId="6" fillId="0" borderId="6" xfId="0" quotePrefix="1" applyFont="1" applyBorder="1"/>
    <xf numFmtId="1" fontId="6" fillId="0" borderId="6" xfId="0" applyNumberFormat="1" applyFont="1" applyBorder="1" applyAlignment="1">
      <alignment horizontal="center"/>
    </xf>
    <xf numFmtId="44" fontId="6" fillId="2" borderId="6" xfId="0" applyNumberFormat="1" applyFont="1" applyFill="1" applyBorder="1"/>
    <xf numFmtId="44" fontId="0" fillId="0" borderId="6" xfId="2" applyFont="1" applyBorder="1" applyAlignment="1">
      <alignment horizontal="center"/>
    </xf>
    <xf numFmtId="0" fontId="3" fillId="15" borderId="3" xfId="0" applyFont="1" applyFill="1" applyBorder="1" applyAlignment="1">
      <alignment horizontal="center"/>
    </xf>
    <xf numFmtId="0" fontId="9" fillId="0" borderId="6" xfId="0" applyFont="1" applyBorder="1"/>
    <xf numFmtId="1" fontId="0" fillId="0" borderId="6" xfId="0" applyNumberFormat="1" applyBorder="1"/>
    <xf numFmtId="0" fontId="5" fillId="0" borderId="6" xfId="3" applyFill="1" applyBorder="1" applyAlignment="1" applyProtection="1"/>
    <xf numFmtId="0" fontId="9" fillId="0" borderId="6" xfId="0" applyFont="1" applyBorder="1" applyAlignment="1">
      <alignment horizontal="left"/>
    </xf>
    <xf numFmtId="0" fontId="3" fillId="15" borderId="6" xfId="0" applyFont="1" applyFill="1" applyBorder="1" applyAlignment="1">
      <alignment horizontal="center"/>
    </xf>
    <xf numFmtId="0" fontId="0" fillId="0" borderId="8" xfId="0" applyBorder="1"/>
    <xf numFmtId="44" fontId="10" fillId="2" borderId="6" xfId="2" applyFont="1" applyFill="1" applyBorder="1"/>
    <xf numFmtId="44" fontId="0" fillId="0" borderId="0" xfId="2" applyFont="1" applyFill="1" applyBorder="1" applyAlignment="1">
      <alignment horizontal="center"/>
    </xf>
    <xf numFmtId="44" fontId="10" fillId="0" borderId="6" xfId="2" applyFont="1" applyFill="1" applyBorder="1"/>
    <xf numFmtId="9" fontId="0" fillId="0" borderId="0" xfId="1" applyFont="1" applyBorder="1"/>
    <xf numFmtId="165" fontId="0" fillId="0" borderId="0" xfId="1" applyNumberFormat="1" applyFont="1" applyBorder="1"/>
    <xf numFmtId="17" fontId="4" fillId="3" borderId="16" xfId="0" quotePrefix="1" applyNumberFormat="1" applyFont="1" applyFill="1" applyBorder="1" applyAlignment="1">
      <alignment horizontal="center"/>
    </xf>
    <xf numFmtId="1" fontId="3" fillId="0" borderId="28" xfId="0" applyNumberFormat="1" applyFont="1" applyBorder="1" applyAlignment="1">
      <alignment horizontal="center"/>
    </xf>
    <xf numFmtId="0" fontId="4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64" fontId="3" fillId="3" borderId="16" xfId="0" applyNumberFormat="1" applyFont="1" applyFill="1" applyBorder="1"/>
    <xf numFmtId="164" fontId="3" fillId="3" borderId="16" xfId="0" applyNumberFormat="1" applyFont="1" applyFill="1" applyBorder="1" applyAlignment="1">
      <alignment horizontal="center"/>
    </xf>
    <xf numFmtId="165" fontId="0" fillId="2" borderId="16" xfId="1" applyNumberFormat="1" applyFont="1" applyFill="1" applyBorder="1" applyAlignment="1">
      <alignment horizontal="center"/>
    </xf>
    <xf numFmtId="164" fontId="3" fillId="3" borderId="23" xfId="0" applyNumberFormat="1" applyFont="1" applyFill="1" applyBorder="1"/>
    <xf numFmtId="164" fontId="0" fillId="0" borderId="6" xfId="2" applyNumberFormat="1" applyFont="1" applyFill="1" applyBorder="1"/>
    <xf numFmtId="1" fontId="0" fillId="0" borderId="6" xfId="2" applyNumberFormat="1" applyFont="1" applyFill="1" applyBorder="1" applyAlignment="1">
      <alignment horizontal="center"/>
    </xf>
    <xf numFmtId="1" fontId="0" fillId="0" borderId="6" xfId="2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164" fontId="0" fillId="3" borderId="6" xfId="2" applyNumberFormat="1" applyFont="1" applyFill="1" applyBorder="1"/>
    <xf numFmtId="0" fontId="0" fillId="3" borderId="33" xfId="0" applyFill="1" applyBorder="1" applyAlignment="1">
      <alignment horizontal="center"/>
    </xf>
    <xf numFmtId="1" fontId="0" fillId="3" borderId="6" xfId="2" applyNumberFormat="1" applyFont="1" applyFill="1" applyBorder="1" applyAlignment="1">
      <alignment horizontal="center"/>
    </xf>
    <xf numFmtId="164" fontId="0" fillId="0" borderId="34" xfId="0" applyNumberFormat="1" applyBorder="1" applyAlignment="1">
      <alignment horizontal="center"/>
    </xf>
    <xf numFmtId="164" fontId="0" fillId="3" borderId="6" xfId="0" applyNumberFormat="1" applyFill="1" applyBorder="1"/>
    <xf numFmtId="0" fontId="0" fillId="3" borderId="6" xfId="0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165" fontId="1" fillId="15" borderId="29" xfId="1" applyNumberFormat="1" applyFont="1" applyFill="1" applyBorder="1" applyAlignment="1">
      <alignment horizontal="center"/>
    </xf>
    <xf numFmtId="165" fontId="0" fillId="2" borderId="6" xfId="1" applyNumberFormat="1" applyFont="1" applyFill="1" applyBorder="1"/>
    <xf numFmtId="0" fontId="8" fillId="0" borderId="6" xfId="0" applyFont="1" applyBorder="1"/>
    <xf numFmtId="0" fontId="20" fillId="0" borderId="6" xfId="0" applyFont="1" applyBorder="1" applyAlignment="1">
      <alignment vertical="center" wrapText="1"/>
    </xf>
    <xf numFmtId="0" fontId="18" fillId="9" borderId="6" xfId="0" applyFont="1" applyFill="1" applyBorder="1" applyAlignment="1">
      <alignment vertical="center" wrapText="1"/>
    </xf>
    <xf numFmtId="1" fontId="0" fillId="0" borderId="0" xfId="2" applyNumberFormat="1" applyFont="1" applyFill="1" applyBorder="1" applyAlignment="1">
      <alignment horizontal="center"/>
    </xf>
    <xf numFmtId="17" fontId="4" fillId="0" borderId="0" xfId="0" quotePrefix="1" applyNumberFormat="1" applyFont="1" applyAlignment="1">
      <alignment horizontal="center"/>
    </xf>
    <xf numFmtId="164" fontId="0" fillId="2" borderId="6" xfId="2" applyNumberFormat="1" applyFont="1" applyFill="1" applyBorder="1" applyAlignment="1">
      <alignment horizontal="center"/>
    </xf>
    <xf numFmtId="164" fontId="0" fillId="2" borderId="36" xfId="2" applyNumberFormat="1" applyFont="1" applyFill="1" applyBorder="1"/>
    <xf numFmtId="164" fontId="0" fillId="2" borderId="31" xfId="2" applyNumberFormat="1" applyFont="1" applyFill="1" applyBorder="1"/>
    <xf numFmtId="164" fontId="0" fillId="0" borderId="0" xfId="2" applyNumberFormat="1" applyFont="1" applyFill="1" applyBorder="1"/>
    <xf numFmtId="164" fontId="0" fillId="3" borderId="6" xfId="0" applyNumberFormat="1" applyFill="1" applyBorder="1" applyAlignment="1">
      <alignment horizontal="center"/>
    </xf>
    <xf numFmtId="164" fontId="0" fillId="3" borderId="6" xfId="2" applyNumberFormat="1" applyFont="1" applyFill="1" applyBorder="1" applyAlignment="1">
      <alignment horizontal="center"/>
    </xf>
    <xf numFmtId="164" fontId="0" fillId="3" borderId="37" xfId="0" applyNumberFormat="1" applyFill="1" applyBorder="1" applyAlignment="1">
      <alignment horizontal="center"/>
    </xf>
    <xf numFmtId="164" fontId="0" fillId="0" borderId="9" xfId="2" applyNumberFormat="1" applyFont="1" applyFill="1" applyBorder="1"/>
    <xf numFmtId="164" fontId="0" fillId="0" borderId="6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164" fontId="0" fillId="3" borderId="31" xfId="0" applyNumberFormat="1" applyFill="1" applyBorder="1" applyAlignment="1">
      <alignment horizontal="center"/>
    </xf>
    <xf numFmtId="164" fontId="0" fillId="3" borderId="32" xfId="0" applyNumberFormat="1" applyFill="1" applyBorder="1" applyAlignment="1">
      <alignment horizontal="center"/>
    </xf>
    <xf numFmtId="0" fontId="0" fillId="3" borderId="33" xfId="0" quotePrefix="1" applyFill="1" applyBorder="1" applyAlignment="1">
      <alignment horizontal="center"/>
    </xf>
    <xf numFmtId="0" fontId="0" fillId="0" borderId="33" xfId="0" quotePrefix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30" xfId="0" quotePrefix="1" applyBorder="1" applyAlignment="1">
      <alignment horizontal="center"/>
    </xf>
    <xf numFmtId="0" fontId="0" fillId="0" borderId="49" xfId="0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0" fontId="4" fillId="0" borderId="0" xfId="0" applyFont="1" applyAlignment="1">
      <alignment horizontal="center" vertical="center" textRotation="89"/>
    </xf>
    <xf numFmtId="164" fontId="0" fillId="0" borderId="51" xfId="0" applyNumberFormat="1" applyBorder="1" applyAlignment="1">
      <alignment horizontal="center"/>
    </xf>
    <xf numFmtId="0" fontId="0" fillId="3" borderId="30" xfId="0" quotePrefix="1" applyFill="1" applyBorder="1" applyAlignment="1">
      <alignment horizontal="center"/>
    </xf>
    <xf numFmtId="164" fontId="0" fillId="3" borderId="31" xfId="2" applyNumberFormat="1" applyFont="1" applyFill="1" applyBorder="1"/>
    <xf numFmtId="164" fontId="0" fillId="3" borderId="31" xfId="2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 textRotation="90"/>
    </xf>
    <xf numFmtId="0" fontId="0" fillId="3" borderId="52" xfId="0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0" fillId="0" borderId="9" xfId="2" applyNumberFormat="1" applyFont="1" applyFill="1" applyBorder="1" applyAlignment="1">
      <alignment horizontal="center"/>
    </xf>
    <xf numFmtId="164" fontId="0" fillId="0" borderId="50" xfId="0" applyNumberFormat="1" applyBorder="1" applyAlignment="1">
      <alignment horizontal="center"/>
    </xf>
    <xf numFmtId="44" fontId="1" fillId="0" borderId="0" xfId="2" applyFont="1" applyFill="1" applyBorder="1"/>
    <xf numFmtId="1" fontId="1" fillId="0" borderId="0" xfId="2" applyNumberFormat="1" applyFon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horizontal="left"/>
    </xf>
    <xf numFmtId="0" fontId="0" fillId="0" borderId="35" xfId="0" quotePrefix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64" fontId="0" fillId="3" borderId="23" xfId="0" applyNumberForma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4" xfId="0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0" fontId="0" fillId="0" borderId="9" xfId="0" quotePrefix="1" applyBorder="1" applyAlignment="1">
      <alignment horizontal="center"/>
    </xf>
    <xf numFmtId="1" fontId="0" fillId="3" borderId="31" xfId="0" applyNumberFormat="1" applyFill="1" applyBorder="1" applyAlignment="1">
      <alignment horizontal="center"/>
    </xf>
    <xf numFmtId="0" fontId="0" fillId="0" borderId="9" xfId="0" quotePrefix="1" applyBorder="1"/>
    <xf numFmtId="10" fontId="0" fillId="2" borderId="6" xfId="1" applyNumberFormat="1" applyFont="1" applyFill="1" applyBorder="1"/>
    <xf numFmtId="10" fontId="0" fillId="0" borderId="0" xfId="2" applyNumberFormat="1" applyFont="1"/>
    <xf numFmtId="164" fontId="0" fillId="3" borderId="53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2" borderId="8" xfId="2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64" fontId="0" fillId="3" borderId="45" xfId="0" applyNumberFormat="1" applyFill="1" applyBorder="1" applyAlignment="1">
      <alignment horizontal="center"/>
    </xf>
    <xf numFmtId="17" fontId="0" fillId="0" borderId="46" xfId="0" quotePrefix="1" applyNumberFormat="1" applyBorder="1" applyAlignment="1">
      <alignment horizontal="center" vertical="center"/>
    </xf>
    <xf numFmtId="17" fontId="0" fillId="0" borderId="47" xfId="0" quotePrefix="1" applyNumberFormat="1" applyBorder="1" applyAlignment="1">
      <alignment horizontal="center" vertical="center"/>
    </xf>
    <xf numFmtId="17" fontId="0" fillId="0" borderId="48" xfId="0" quotePrefix="1" applyNumberFormat="1" applyBorder="1" applyAlignment="1">
      <alignment horizontal="center" vertical="center"/>
    </xf>
    <xf numFmtId="17" fontId="0" fillId="0" borderId="29" xfId="0" quotePrefix="1" applyNumberFormat="1" applyBorder="1" applyAlignment="1">
      <alignment horizontal="center" vertical="center"/>
    </xf>
    <xf numFmtId="17" fontId="3" fillId="0" borderId="54" xfId="0" applyNumberFormat="1" applyFont="1" applyBorder="1" applyAlignment="1">
      <alignment horizontal="center" vertic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1" fontId="0" fillId="3" borderId="8" xfId="0" applyNumberFormat="1" applyFill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9" fontId="0" fillId="2" borderId="0" xfId="1" applyFont="1" applyFill="1" applyBorder="1" applyAlignment="1">
      <alignment horizontal="center"/>
    </xf>
    <xf numFmtId="44" fontId="10" fillId="2" borderId="8" xfId="0" applyNumberFormat="1" applyFont="1" applyFill="1" applyBorder="1"/>
    <xf numFmtId="44" fontId="10" fillId="0" borderId="8" xfId="0" applyNumberFormat="1" applyFont="1" applyBorder="1" applyAlignment="1">
      <alignment horizontal="center"/>
    </xf>
    <xf numFmtId="44" fontId="10" fillId="0" borderId="8" xfId="0" applyNumberFormat="1" applyFont="1" applyBorder="1"/>
    <xf numFmtId="44" fontId="10" fillId="0" borderId="0" xfId="0" applyNumberFormat="1" applyFont="1"/>
    <xf numFmtId="1" fontId="0" fillId="3" borderId="4" xfId="0" applyNumberFormat="1" applyFill="1" applyBorder="1" applyAlignment="1">
      <alignment horizontal="center"/>
    </xf>
    <xf numFmtId="1" fontId="0" fillId="0" borderId="49" xfId="0" applyNumberFormat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0" fillId="3" borderId="16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6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" fontId="3" fillId="3" borderId="6" xfId="0" applyNumberFormat="1" applyFont="1" applyFill="1" applyBorder="1" applyAlignment="1">
      <alignment horizontal="center"/>
    </xf>
    <xf numFmtId="2" fontId="3" fillId="2" borderId="16" xfId="0" applyNumberFormat="1" applyFont="1" applyFill="1" applyBorder="1" applyAlignment="1">
      <alignment horizontal="center"/>
    </xf>
    <xf numFmtId="9" fontId="3" fillId="0" borderId="0" xfId="1" applyFont="1" applyAlignment="1">
      <alignment horizontal="center"/>
    </xf>
    <xf numFmtId="2" fontId="20" fillId="0" borderId="6" xfId="0" applyNumberFormat="1" applyFont="1" applyBorder="1" applyAlignment="1">
      <alignment horizontal="center" vertical="center" wrapText="1"/>
    </xf>
    <xf numFmtId="164" fontId="3" fillId="3" borderId="28" xfId="0" applyNumberFormat="1" applyFont="1" applyFill="1" applyBorder="1"/>
    <xf numFmtId="164" fontId="3" fillId="0" borderId="0" xfId="0" applyNumberFormat="1" applyFont="1"/>
    <xf numFmtId="0" fontId="50" fillId="0" borderId="55" xfId="0" applyFont="1" applyBorder="1" applyAlignment="1">
      <alignment horizontal="center"/>
    </xf>
    <xf numFmtId="164" fontId="3" fillId="0" borderId="56" xfId="2" applyNumberFormat="1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51" fillId="3" borderId="30" xfId="0" applyFon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164" fontId="0" fillId="3" borderId="31" xfId="0" applyNumberFormat="1" applyFill="1" applyBorder="1"/>
    <xf numFmtId="44" fontId="0" fillId="0" borderId="0" xfId="2" applyFont="1" applyBorder="1" applyAlignment="1">
      <alignment horizontal="center"/>
    </xf>
    <xf numFmtId="0" fontId="3" fillId="0" borderId="3" xfId="0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3" fillId="15" borderId="16" xfId="0" applyFont="1" applyFill="1" applyBorder="1" applyAlignment="1">
      <alignment horizontal="center"/>
    </xf>
    <xf numFmtId="0" fontId="54" fillId="0" borderId="0" xfId="0" applyFont="1" applyAlignment="1">
      <alignment horizontal="center"/>
    </xf>
    <xf numFmtId="168" fontId="55" fillId="3" borderId="2" xfId="0" applyNumberFormat="1" applyFont="1" applyFill="1" applyBorder="1" applyAlignment="1">
      <alignment horizontal="center" vertical="center"/>
    </xf>
    <xf numFmtId="9" fontId="0" fillId="2" borderId="6" xfId="1" applyFont="1" applyFill="1" applyBorder="1" applyAlignment="1">
      <alignment horizontal="center"/>
    </xf>
    <xf numFmtId="1" fontId="49" fillId="0" borderId="0" xfId="0" applyNumberFormat="1" applyFont="1" applyAlignment="1">
      <alignment horizontal="center"/>
    </xf>
    <xf numFmtId="0" fontId="49" fillId="0" borderId="0" xfId="0" applyFont="1"/>
    <xf numFmtId="0" fontId="0" fillId="0" borderId="36" xfId="0" applyBorder="1"/>
    <xf numFmtId="0" fontId="0" fillId="0" borderId="37" xfId="0" applyBorder="1"/>
    <xf numFmtId="0" fontId="32" fillId="11" borderId="0" xfId="0" applyFont="1" applyFill="1" applyAlignment="1">
      <alignment vertical="center" wrapText="1"/>
    </xf>
    <xf numFmtId="0" fontId="3" fillId="7" borderId="3" xfId="0" applyFont="1" applyFill="1" applyBorder="1" applyAlignment="1">
      <alignment horizontal="center"/>
    </xf>
    <xf numFmtId="17" fontId="0" fillId="0" borderId="54" xfId="0" quotePrefix="1" applyNumberFormat="1" applyBorder="1" applyAlignment="1">
      <alignment horizontal="center" vertical="center"/>
    </xf>
    <xf numFmtId="164" fontId="0" fillId="0" borderId="13" xfId="2" applyNumberFormat="1" applyFont="1" applyFill="1" applyBorder="1"/>
    <xf numFmtId="1" fontId="3" fillId="2" borderId="23" xfId="0" applyNumberFormat="1" applyFont="1" applyFill="1" applyBorder="1" applyAlignment="1">
      <alignment horizontal="center"/>
    </xf>
    <xf numFmtId="164" fontId="3" fillId="15" borderId="16" xfId="0" applyNumberFormat="1" applyFont="1" applyFill="1" applyBorder="1"/>
    <xf numFmtId="0" fontId="4" fillId="18" borderId="1" xfId="0" applyFont="1" applyFill="1" applyBorder="1"/>
    <xf numFmtId="0" fontId="4" fillId="18" borderId="29" xfId="0" applyFont="1" applyFill="1" applyBorder="1"/>
    <xf numFmtId="1" fontId="4" fillId="18" borderId="29" xfId="0" applyNumberFormat="1" applyFont="1" applyFill="1" applyBorder="1" applyAlignment="1">
      <alignment horizontal="center"/>
    </xf>
    <xf numFmtId="164" fontId="4" fillId="18" borderId="16" xfId="0" applyNumberFormat="1" applyFont="1" applyFill="1" applyBorder="1"/>
    <xf numFmtId="0" fontId="0" fillId="0" borderId="58" xfId="0" applyBorder="1" applyAlignment="1">
      <alignment horizontal="center"/>
    </xf>
    <xf numFmtId="164" fontId="0" fillId="2" borderId="7" xfId="2" applyNumberFormat="1" applyFont="1" applyFill="1" applyBorder="1"/>
    <xf numFmtId="1" fontId="0" fillId="0" borderId="7" xfId="0" applyNumberFormat="1" applyBorder="1" applyAlignment="1">
      <alignment horizontal="center"/>
    </xf>
    <xf numFmtId="1" fontId="0" fillId="3" borderId="52" xfId="0" applyNumberFormat="1" applyFill="1" applyBorder="1" applyAlignment="1">
      <alignment horizontal="center"/>
    </xf>
    <xf numFmtId="0" fontId="3" fillId="0" borderId="0" xfId="0" applyFont="1" applyAlignment="1">
      <alignment vertical="center"/>
    </xf>
    <xf numFmtId="170" fontId="0" fillId="0" borderId="0" xfId="6" applyNumberFormat="1" applyFont="1" applyAlignment="1">
      <alignment horizontal="center"/>
    </xf>
    <xf numFmtId="165" fontId="3" fillId="0" borderId="28" xfId="1" applyNumberFormat="1" applyFont="1" applyBorder="1" applyAlignment="1">
      <alignment horizontal="center"/>
    </xf>
    <xf numFmtId="164" fontId="3" fillId="0" borderId="6" xfId="0" applyNumberFormat="1" applyFont="1" applyBorder="1"/>
    <xf numFmtId="164" fontId="0" fillId="2" borderId="0" xfId="2" applyNumberFormat="1" applyFont="1" applyFill="1" applyAlignment="1">
      <alignment horizontal="center"/>
    </xf>
    <xf numFmtId="164" fontId="3" fillId="0" borderId="0" xfId="2" applyNumberFormat="1" applyFont="1" applyAlignment="1">
      <alignment horizontal="center"/>
    </xf>
    <xf numFmtId="164" fontId="3" fillId="2" borderId="0" xfId="2" applyNumberFormat="1" applyFont="1" applyFill="1" applyAlignment="1">
      <alignment horizontal="center"/>
    </xf>
    <xf numFmtId="164" fontId="3" fillId="2" borderId="0" xfId="2" applyNumberFormat="1" applyFont="1" applyFill="1"/>
    <xf numFmtId="164" fontId="3" fillId="0" borderId="7" xfId="0" applyNumberFormat="1" applyFont="1" applyBorder="1"/>
    <xf numFmtId="170" fontId="3" fillId="2" borderId="16" xfId="6" applyNumberFormat="1" applyFont="1" applyFill="1" applyBorder="1" applyAlignment="1">
      <alignment horizontal="center"/>
    </xf>
    <xf numFmtId="0" fontId="3" fillId="0" borderId="30" xfId="0" applyFont="1" applyBorder="1"/>
    <xf numFmtId="0" fontId="0" fillId="0" borderId="31" xfId="0" applyBorder="1"/>
    <xf numFmtId="169" fontId="0" fillId="0" borderId="31" xfId="0" applyNumberFormat="1" applyBorder="1" applyAlignment="1">
      <alignment horizontal="center"/>
    </xf>
    <xf numFmtId="44" fontId="0" fillId="2" borderId="36" xfId="2" applyFont="1" applyFill="1" applyBorder="1"/>
    <xf numFmtId="169" fontId="0" fillId="0" borderId="36" xfId="0" applyNumberFormat="1" applyBorder="1" applyAlignment="1">
      <alignment horizontal="center"/>
    </xf>
    <xf numFmtId="44" fontId="0" fillId="0" borderId="36" xfId="2" applyFont="1" applyBorder="1"/>
    <xf numFmtId="0" fontId="0" fillId="0" borderId="37" xfId="0" applyBorder="1" applyAlignment="1">
      <alignment horizontal="left"/>
    </xf>
    <xf numFmtId="170" fontId="0" fillId="0" borderId="32" xfId="6" applyNumberFormat="1" applyFont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1" fontId="0" fillId="3" borderId="9" xfId="0" applyNumberFormat="1" applyFill="1" applyBorder="1" applyAlignment="1">
      <alignment horizontal="center"/>
    </xf>
    <xf numFmtId="170" fontId="1" fillId="3" borderId="6" xfId="6" applyNumberFormat="1" applyFont="1" applyFill="1" applyBorder="1" applyAlignment="1">
      <alignment horizontal="center"/>
    </xf>
    <xf numFmtId="170" fontId="0" fillId="3" borderId="23" xfId="6" applyNumberFormat="1" applyFont="1" applyFill="1" applyBorder="1" applyAlignment="1">
      <alignment horizontal="center"/>
    </xf>
    <xf numFmtId="170" fontId="0" fillId="0" borderId="0" xfId="6" applyNumberFormat="1" applyFont="1" applyFill="1" applyBorder="1" applyAlignment="1">
      <alignment horizontal="center"/>
    </xf>
    <xf numFmtId="164" fontId="0" fillId="0" borderId="0" xfId="0" applyNumberFormat="1" applyAlignment="1">
      <alignment horizontal="right"/>
    </xf>
    <xf numFmtId="0" fontId="58" fillId="0" borderId="0" xfId="0" applyFont="1"/>
    <xf numFmtId="0" fontId="57" fillId="0" borderId="0" xfId="0" applyFont="1"/>
    <xf numFmtId="44" fontId="58" fillId="0" borderId="16" xfId="0" applyNumberFormat="1" applyFont="1" applyBorder="1"/>
    <xf numFmtId="170" fontId="0" fillId="0" borderId="0" xfId="6" applyNumberFormat="1" applyFont="1" applyBorder="1" applyAlignment="1">
      <alignment horizontal="center"/>
    </xf>
    <xf numFmtId="1" fontId="0" fillId="0" borderId="0" xfId="0" applyNumberFormat="1" applyAlignment="1">
      <alignment horizontal="right"/>
    </xf>
    <xf numFmtId="170" fontId="0" fillId="0" borderId="6" xfId="0" applyNumberFormat="1" applyBorder="1" applyAlignment="1">
      <alignment horizontal="center"/>
    </xf>
    <xf numFmtId="0" fontId="0" fillId="0" borderId="32" xfId="0" applyBorder="1"/>
    <xf numFmtId="44" fontId="0" fillId="0" borderId="34" xfId="2" applyFont="1" applyBorder="1"/>
    <xf numFmtId="0" fontId="0" fillId="0" borderId="59" xfId="0" applyBorder="1" applyAlignment="1">
      <alignment horizontal="center"/>
    </xf>
    <xf numFmtId="44" fontId="0" fillId="0" borderId="51" xfId="2" applyFont="1" applyBorder="1"/>
    <xf numFmtId="0" fontId="0" fillId="0" borderId="16" xfId="0" applyBorder="1" applyAlignment="1">
      <alignment horizontal="center"/>
    </xf>
    <xf numFmtId="0" fontId="0" fillId="0" borderId="0" xfId="0" applyAlignment="1">
      <alignment horizontal="center" wrapText="1"/>
    </xf>
    <xf numFmtId="0" fontId="59" fillId="0" borderId="0" xfId="0" applyFont="1"/>
    <xf numFmtId="1" fontId="60" fillId="2" borderId="16" xfId="0" applyNumberFormat="1" applyFont="1" applyFill="1" applyBorder="1" applyAlignment="1">
      <alignment horizontal="center"/>
    </xf>
    <xf numFmtId="0" fontId="0" fillId="17" borderId="58" xfId="0" applyFill="1" applyBorder="1" applyAlignment="1">
      <alignment horizontal="center"/>
    </xf>
    <xf numFmtId="164" fontId="0" fillId="17" borderId="7" xfId="2" applyNumberFormat="1" applyFont="1" applyFill="1" applyBorder="1"/>
    <xf numFmtId="1" fontId="0" fillId="17" borderId="7" xfId="2" applyNumberFormat="1" applyFont="1" applyFill="1" applyBorder="1" applyAlignment="1">
      <alignment horizontal="center"/>
    </xf>
    <xf numFmtId="164" fontId="0" fillId="17" borderId="6" xfId="0" applyNumberFormat="1" applyFill="1" applyBorder="1"/>
    <xf numFmtId="164" fontId="0" fillId="17" borderId="6" xfId="2" applyNumberFormat="1" applyFont="1" applyFill="1" applyBorder="1"/>
    <xf numFmtId="1" fontId="0" fillId="17" borderId="6" xfId="0" applyNumberFormat="1" applyFill="1" applyBorder="1" applyAlignment="1">
      <alignment horizontal="center"/>
    </xf>
    <xf numFmtId="164" fontId="0" fillId="17" borderId="34" xfId="0" applyNumberFormat="1" applyFill="1" applyBorder="1" applyAlignment="1">
      <alignment horizontal="center"/>
    </xf>
    <xf numFmtId="164" fontId="0" fillId="0" borderId="36" xfId="2" applyNumberFormat="1" applyFont="1" applyFill="1" applyBorder="1"/>
    <xf numFmtId="1" fontId="0" fillId="0" borderId="36" xfId="2" applyNumberFormat="1" applyFont="1" applyFill="1" applyBorder="1" applyAlignment="1">
      <alignment horizontal="center"/>
    </xf>
    <xf numFmtId="44" fontId="49" fillId="0" borderId="0" xfId="0" applyNumberFormat="1" applyFont="1"/>
    <xf numFmtId="0" fontId="61" fillId="0" borderId="6" xfId="0" applyFont="1" applyBorder="1" applyAlignment="1">
      <alignment horizontal="left"/>
    </xf>
    <xf numFmtId="9" fontId="0" fillId="0" borderId="0" xfId="1" applyFont="1" applyFill="1" applyBorder="1" applyAlignment="1">
      <alignment horizontal="center"/>
    </xf>
    <xf numFmtId="44" fontId="0" fillId="2" borderId="4" xfId="0" applyNumberFormat="1" applyFill="1" applyBorder="1"/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0" xfId="2" applyNumberFormat="1" applyFont="1" applyAlignment="1">
      <alignment horizontal="center"/>
    </xf>
    <xf numFmtId="1" fontId="0" fillId="0" borderId="0" xfId="6" applyNumberFormat="1" applyFont="1" applyAlignment="1">
      <alignment horizontal="center"/>
    </xf>
    <xf numFmtId="164" fontId="0" fillId="0" borderId="0" xfId="2" applyNumberFormat="1" applyFont="1" applyFill="1" applyAlignment="1">
      <alignment horizontal="center"/>
    </xf>
    <xf numFmtId="1" fontId="60" fillId="0" borderId="0" xfId="0" applyNumberFormat="1" applyFont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3" fillId="0" borderId="6" xfId="0" applyFont="1" applyBorder="1"/>
    <xf numFmtId="169" fontId="0" fillId="0" borderId="0" xfId="0" applyNumberFormat="1" applyAlignment="1">
      <alignment horizontal="center"/>
    </xf>
    <xf numFmtId="1" fontId="3" fillId="0" borderId="39" xfId="0" applyNumberFormat="1" applyFont="1" applyBorder="1" applyAlignment="1">
      <alignment horizontal="center"/>
    </xf>
    <xf numFmtId="1" fontId="3" fillId="2" borderId="28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164" fontId="0" fillId="0" borderId="56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70" fontId="0" fillId="3" borderId="16" xfId="6" applyNumberFormat="1" applyFont="1" applyFill="1" applyBorder="1" applyAlignment="1">
      <alignment horizontal="center"/>
    </xf>
    <xf numFmtId="44" fontId="0" fillId="8" borderId="16" xfId="0" applyNumberFormat="1" applyFill="1" applyBorder="1"/>
    <xf numFmtId="0" fontId="0" fillId="0" borderId="0" xfId="0" applyAlignment="1">
      <alignment vertical="top" wrapText="1"/>
    </xf>
    <xf numFmtId="0" fontId="0" fillId="0" borderId="13" xfId="0" applyBorder="1" applyAlignment="1">
      <alignment horizontal="center"/>
    </xf>
    <xf numFmtId="0" fontId="0" fillId="0" borderId="61" xfId="0" applyBorder="1" applyAlignment="1">
      <alignment horizontal="center"/>
    </xf>
    <xf numFmtId="164" fontId="0" fillId="2" borderId="8" xfId="2" applyNumberFormat="1" applyFont="1" applyFill="1" applyBorder="1"/>
    <xf numFmtId="1" fontId="0" fillId="0" borderId="56" xfId="0" applyNumberFormat="1" applyBorder="1" applyAlignment="1">
      <alignment horizontal="center"/>
    </xf>
    <xf numFmtId="164" fontId="0" fillId="3" borderId="57" xfId="0" applyNumberFormat="1" applyFill="1" applyBorder="1" applyAlignment="1">
      <alignment horizontal="center"/>
    </xf>
    <xf numFmtId="164" fontId="0" fillId="3" borderId="63" xfId="0" applyNumberForma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3" borderId="28" xfId="0" applyNumberFormat="1" applyFill="1" applyBorder="1" applyAlignment="1">
      <alignment horizontal="center"/>
    </xf>
    <xf numFmtId="164" fontId="0" fillId="3" borderId="64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70" fontId="1" fillId="3" borderId="8" xfId="6" applyNumberFormat="1" applyFont="1" applyFill="1" applyBorder="1" applyAlignment="1">
      <alignment horizontal="center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44" fontId="0" fillId="2" borderId="0" xfId="0" applyNumberFormat="1" applyFill="1"/>
    <xf numFmtId="44" fontId="0" fillId="0" borderId="6" xfId="0" applyNumberFormat="1" applyBorder="1" applyAlignment="1">
      <alignment horizontal="center"/>
    </xf>
    <xf numFmtId="1" fontId="0" fillId="7" borderId="6" xfId="0" applyNumberFormat="1" applyFill="1" applyBorder="1" applyAlignment="1">
      <alignment horizontal="center"/>
    </xf>
    <xf numFmtId="44" fontId="3" fillId="15" borderId="1" xfId="0" applyNumberFormat="1" applyFont="1" applyFill="1" applyBorder="1"/>
    <xf numFmtId="9" fontId="0" fillId="0" borderId="6" xfId="1" applyFont="1" applyBorder="1" applyAlignment="1">
      <alignment horizontal="center"/>
    </xf>
    <xf numFmtId="167" fontId="0" fillId="0" borderId="0" xfId="0" applyNumberFormat="1"/>
    <xf numFmtId="164" fontId="0" fillId="2" borderId="56" xfId="2" applyNumberFormat="1" applyFont="1" applyFill="1" applyBorder="1"/>
    <xf numFmtId="164" fontId="0" fillId="2" borderId="62" xfId="2" applyNumberFormat="1" applyFont="1" applyFill="1" applyBorder="1"/>
    <xf numFmtId="1" fontId="0" fillId="0" borderId="9" xfId="0" applyNumberFormat="1" applyBorder="1" applyAlignment="1">
      <alignment horizontal="center"/>
    </xf>
    <xf numFmtId="0" fontId="3" fillId="0" borderId="41" xfId="0" applyFont="1" applyBorder="1" applyAlignment="1">
      <alignment horizontal="center"/>
    </xf>
    <xf numFmtId="44" fontId="0" fillId="0" borderId="8" xfId="2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1" fillId="0" borderId="6" xfId="2" applyNumberFormat="1" applyFont="1" applyFill="1" applyBorder="1" applyAlignment="1">
      <alignment horizontal="center"/>
    </xf>
    <xf numFmtId="0" fontId="3" fillId="0" borderId="0" xfId="0" applyFont="1" applyAlignment="1">
      <alignment horizontal="left"/>
    </xf>
    <xf numFmtId="44" fontId="0" fillId="18" borderId="6" xfId="0" applyNumberFormat="1" applyFill="1" applyBorder="1"/>
    <xf numFmtId="0" fontId="0" fillId="0" borderId="3" xfId="0" applyBorder="1" applyAlignment="1">
      <alignment horizontal="left"/>
    </xf>
    <xf numFmtId="0" fontId="0" fillId="0" borderId="4" xfId="0" applyBorder="1"/>
    <xf numFmtId="44" fontId="0" fillId="19" borderId="6" xfId="0" applyNumberFormat="1" applyFill="1" applyBorder="1"/>
    <xf numFmtId="43" fontId="0" fillId="0" borderId="6" xfId="0" applyNumberFormat="1" applyBorder="1"/>
    <xf numFmtId="9" fontId="0" fillId="2" borderId="2" xfId="1" applyFont="1" applyFill="1" applyBorder="1" applyAlignment="1">
      <alignment horizontal="center"/>
    </xf>
    <xf numFmtId="44" fontId="0" fillId="0" borderId="8" xfId="2" applyFont="1" applyBorder="1"/>
    <xf numFmtId="44" fontId="10" fillId="2" borderId="3" xfId="0" applyNumberFormat="1" applyFont="1" applyFill="1" applyBorder="1"/>
    <xf numFmtId="44" fontId="10" fillId="0" borderId="15" xfId="0" applyNumberFormat="1" applyFont="1" applyBorder="1"/>
    <xf numFmtId="44" fontId="0" fillId="18" borderId="0" xfId="0" applyNumberFormat="1" applyFill="1" applyAlignment="1">
      <alignment horizontal="center"/>
    </xf>
    <xf numFmtId="167" fontId="0" fillId="18" borderId="0" xfId="0" applyNumberFormat="1" applyFill="1"/>
    <xf numFmtId="168" fontId="3" fillId="2" borderId="16" xfId="0" applyNumberFormat="1" applyFont="1" applyFill="1" applyBorder="1" applyAlignment="1">
      <alignment horizontal="center"/>
    </xf>
    <xf numFmtId="164" fontId="0" fillId="18" borderId="0" xfId="2" applyNumberFormat="1" applyFont="1" applyFill="1"/>
    <xf numFmtId="0" fontId="0" fillId="18" borderId="0" xfId="0" applyFill="1" applyAlignment="1">
      <alignment horizontal="center"/>
    </xf>
    <xf numFmtId="44" fontId="0" fillId="0" borderId="6" xfId="2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62" fillId="0" borderId="0" xfId="0" applyFont="1"/>
    <xf numFmtId="1" fontId="3" fillId="0" borderId="1" xfId="0" applyNumberFormat="1" applyFont="1" applyBorder="1" applyAlignment="1">
      <alignment horizontal="center"/>
    </xf>
    <xf numFmtId="44" fontId="1" fillId="0" borderId="6" xfId="2" applyFont="1" applyFill="1" applyBorder="1"/>
    <xf numFmtId="0" fontId="5" fillId="0" borderId="0" xfId="3"/>
    <xf numFmtId="1" fontId="44" fillId="0" borderId="0" xfId="0" applyNumberFormat="1" applyFont="1" applyAlignment="1">
      <alignment horizontal="center"/>
    </xf>
    <xf numFmtId="44" fontId="44" fillId="0" borderId="0" xfId="0" applyNumberFormat="1" applyFont="1"/>
    <xf numFmtId="165" fontId="0" fillId="0" borderId="6" xfId="1" applyNumberFormat="1" applyFont="1" applyBorder="1" applyAlignment="1">
      <alignment horizontal="center"/>
    </xf>
    <xf numFmtId="44" fontId="44" fillId="0" borderId="0" xfId="2" applyFont="1"/>
    <xf numFmtId="165" fontId="44" fillId="0" borderId="6" xfId="1" applyNumberFormat="1" applyFont="1" applyBorder="1" applyAlignment="1">
      <alignment horizontal="center"/>
    </xf>
    <xf numFmtId="0" fontId="46" fillId="16" borderId="1" xfId="0" applyFont="1" applyFill="1" applyBorder="1" applyAlignment="1">
      <alignment horizontal="center"/>
    </xf>
    <xf numFmtId="0" fontId="46" fillId="16" borderId="29" xfId="0" applyFont="1" applyFill="1" applyBorder="1" applyAlignment="1">
      <alignment horizontal="center"/>
    </xf>
    <xf numFmtId="0" fontId="46" fillId="16" borderId="2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43" fillId="0" borderId="13" xfId="0" applyFont="1" applyBorder="1" applyAlignment="1">
      <alignment horizontal="left"/>
    </xf>
    <xf numFmtId="0" fontId="43" fillId="0" borderId="0" xfId="0" applyFont="1" applyAlignment="1">
      <alignment horizontal="left"/>
    </xf>
    <xf numFmtId="44" fontId="0" fillId="0" borderId="3" xfId="2" applyFont="1" applyBorder="1" applyAlignment="1">
      <alignment horizontal="center"/>
    </xf>
    <xf numFmtId="44" fontId="0" fillId="0" borderId="4" xfId="2" applyFont="1" applyBorder="1" applyAlignment="1">
      <alignment horizontal="center"/>
    </xf>
    <xf numFmtId="0" fontId="0" fillId="0" borderId="0" xfId="0" applyAlignment="1">
      <alignment horizontal="center" vertical="top" wrapText="1"/>
    </xf>
    <xf numFmtId="44" fontId="0" fillId="0" borderId="6" xfId="2" applyFont="1" applyBorder="1" applyAlignment="1">
      <alignment horizontal="center"/>
    </xf>
    <xf numFmtId="4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6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0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0" fontId="0" fillId="0" borderId="42" xfId="0" quotePrefix="1" applyBorder="1" applyAlignment="1">
      <alignment horizontal="center" vertical="center"/>
    </xf>
    <xf numFmtId="0" fontId="0" fillId="0" borderId="27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21" xfId="0" quotePrefix="1" applyBorder="1" applyAlignment="1">
      <alignment horizontal="center" vertical="center"/>
    </xf>
    <xf numFmtId="0" fontId="0" fillId="0" borderId="43" xfId="0" quotePrefix="1" applyBorder="1" applyAlignment="1">
      <alignment horizontal="center" vertical="center"/>
    </xf>
    <xf numFmtId="0" fontId="0" fillId="0" borderId="39" xfId="0" quotePrefix="1" applyBorder="1" applyAlignment="1">
      <alignment horizontal="center" vertical="center"/>
    </xf>
    <xf numFmtId="0" fontId="0" fillId="0" borderId="38" xfId="0" quotePrefix="1" applyBorder="1" applyAlignment="1">
      <alignment horizontal="center" vertical="center"/>
    </xf>
    <xf numFmtId="44" fontId="0" fillId="0" borderId="44" xfId="2" applyFont="1" applyBorder="1" applyAlignment="1">
      <alignment horizontal="center"/>
    </xf>
    <xf numFmtId="44" fontId="0" fillId="0" borderId="17" xfId="2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11" xfId="0" applyBorder="1" applyAlignment="1">
      <alignment horizontal="center"/>
    </xf>
    <xf numFmtId="167" fontId="4" fillId="0" borderId="1" xfId="0" applyNumberFormat="1" applyFont="1" applyBorder="1" applyAlignment="1">
      <alignment horizontal="left" vertical="center"/>
    </xf>
    <xf numFmtId="167" fontId="4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center" wrapText="1"/>
    </xf>
    <xf numFmtId="0" fontId="56" fillId="7" borderId="1" xfId="0" applyFont="1" applyFill="1" applyBorder="1" applyAlignment="1">
      <alignment horizontal="center"/>
    </xf>
    <xf numFmtId="0" fontId="56" fillId="7" borderId="29" xfId="0" applyFont="1" applyFill="1" applyBorder="1" applyAlignment="1">
      <alignment horizontal="center"/>
    </xf>
    <xf numFmtId="0" fontId="56" fillId="7" borderId="2" xfId="0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/>
    </xf>
    <xf numFmtId="167" fontId="4" fillId="2" borderId="2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left" vertical="center"/>
    </xf>
    <xf numFmtId="167" fontId="4" fillId="2" borderId="2" xfId="0" applyNumberFormat="1" applyFont="1" applyFill="1" applyBorder="1" applyAlignment="1">
      <alignment horizontal="left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0" fontId="32" fillId="11" borderId="0" xfId="0" applyFont="1" applyFill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14" fontId="17" fillId="0" borderId="10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20" fillId="0" borderId="3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4" xfId="0" applyFont="1" applyBorder="1" applyAlignment="1">
      <alignment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18" fillId="9" borderId="4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vertical="center" wrapText="1"/>
    </xf>
    <xf numFmtId="0" fontId="20" fillId="0" borderId="12" xfId="0" applyFont="1" applyBorder="1" applyAlignment="1">
      <alignment vertical="center" wrapText="1"/>
    </xf>
    <xf numFmtId="0" fontId="20" fillId="0" borderId="6" xfId="0" applyFont="1" applyBorder="1" applyAlignment="1">
      <alignment horizontal="center" vertical="center" wrapText="1"/>
    </xf>
    <xf numFmtId="0" fontId="19" fillId="13" borderId="6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167" fontId="26" fillId="3" borderId="6" xfId="6" applyNumberFormat="1" applyFont="1" applyFill="1" applyBorder="1" applyAlignment="1">
      <alignment horizontal="center" vertical="center" wrapText="1"/>
    </xf>
    <xf numFmtId="0" fontId="25" fillId="3" borderId="6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9" fillId="13" borderId="10" xfId="0" applyFont="1" applyFill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166" fontId="26" fillId="3" borderId="3" xfId="6" applyNumberFormat="1" applyFont="1" applyFill="1" applyBorder="1" applyAlignment="1">
      <alignment horizontal="center" vertical="center" wrapText="1"/>
    </xf>
    <xf numFmtId="166" fontId="26" fillId="3" borderId="4" xfId="6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167" fontId="26" fillId="0" borderId="6" xfId="6" applyNumberFormat="1" applyFont="1" applyFill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19" fillId="13" borderId="3" xfId="0" applyFont="1" applyFill="1" applyBorder="1" applyAlignment="1">
      <alignment horizontal="center" vertical="center" wrapText="1"/>
    </xf>
    <xf numFmtId="0" fontId="19" fillId="13" borderId="4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/>
    </xf>
    <xf numFmtId="0" fontId="63" fillId="0" borderId="3" xfId="0" applyFont="1" applyBorder="1" applyAlignment="1">
      <alignment vertical="center" wrapText="1"/>
    </xf>
    <xf numFmtId="0" fontId="63" fillId="0" borderId="17" xfId="0" applyFont="1" applyBorder="1" applyAlignment="1">
      <alignment vertical="center" wrapText="1"/>
    </xf>
    <xf numFmtId="0" fontId="63" fillId="0" borderId="4" xfId="0" applyFont="1" applyBorder="1" applyAlignment="1">
      <alignment vertical="center" wrapText="1"/>
    </xf>
    <xf numFmtId="166" fontId="26" fillId="0" borderId="6" xfId="6" applyNumberFormat="1" applyFont="1" applyFill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166" fontId="26" fillId="3" borderId="6" xfId="6" applyNumberFormat="1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/>
    </xf>
    <xf numFmtId="0" fontId="18" fillId="10" borderId="18" xfId="8" applyFont="1" applyFill="1" applyBorder="1" applyAlignment="1">
      <alignment horizontal="center" vertical="center" wrapText="1"/>
    </xf>
    <xf numFmtId="0" fontId="18" fillId="10" borderId="19" xfId="8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38" fillId="11" borderId="22" xfId="8" applyFont="1" applyFill="1" applyBorder="1" applyAlignment="1">
      <alignment horizontal="center" vertical="center" wrapText="1"/>
    </xf>
    <xf numFmtId="0" fontId="38" fillId="11" borderId="0" xfId="8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33" fillId="11" borderId="0" xfId="0" applyFont="1" applyFill="1" applyAlignment="1">
      <alignment horizontal="center"/>
    </xf>
    <xf numFmtId="0" fontId="39" fillId="11" borderId="27" xfId="0" applyFont="1" applyFill="1" applyBorder="1" applyAlignment="1">
      <alignment horizontal="center" vertical="center" wrapText="1"/>
    </xf>
    <xf numFmtId="0" fontId="39" fillId="11" borderId="21" xfId="0" applyFont="1" applyFill="1" applyBorder="1" applyAlignment="1">
      <alignment horizontal="center" vertical="center" wrapText="1"/>
    </xf>
    <xf numFmtId="0" fontId="38" fillId="11" borderId="13" xfId="8" applyFont="1" applyFill="1" applyBorder="1" applyAlignment="1">
      <alignment horizontal="center" vertical="center" wrapText="1"/>
    </xf>
    <xf numFmtId="166" fontId="36" fillId="14" borderId="0" xfId="0" applyNumberFormat="1" applyFont="1" applyFill="1" applyAlignment="1">
      <alignment horizontal="center" vertical="center" wrapText="1"/>
    </xf>
    <xf numFmtId="0" fontId="36" fillId="14" borderId="0" xfId="0" applyFont="1" applyFill="1" applyAlignment="1">
      <alignment horizontal="center" vertical="center" wrapText="1"/>
    </xf>
    <xf numFmtId="166" fontId="28" fillId="0" borderId="0" xfId="2" applyNumberFormat="1" applyFont="1" applyFill="1" applyBorder="1" applyAlignment="1">
      <alignment horizontal="center" vertical="center" wrapText="1"/>
    </xf>
    <xf numFmtId="0" fontId="18" fillId="10" borderId="6" xfId="8" applyFont="1" applyFill="1" applyBorder="1" applyAlignment="1">
      <alignment horizontal="center" vertical="center" wrapText="1"/>
    </xf>
    <xf numFmtId="0" fontId="31" fillId="11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11" borderId="0" xfId="3" quotePrefix="1" applyFill="1" applyAlignment="1">
      <alignment horizontal="center"/>
    </xf>
    <xf numFmtId="0" fontId="33" fillId="11" borderId="0" xfId="0" quotePrefix="1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15" borderId="1" xfId="0" applyFont="1" applyFill="1" applyBorder="1" applyAlignment="1">
      <alignment horizontal="left"/>
    </xf>
    <xf numFmtId="0" fontId="3" fillId="15" borderId="29" xfId="0" applyFont="1" applyFill="1" applyBorder="1" applyAlignment="1">
      <alignment horizontal="left"/>
    </xf>
    <xf numFmtId="0" fontId="3" fillId="15" borderId="2" xfId="0" applyFont="1" applyFill="1" applyBorder="1" applyAlignment="1">
      <alignment horizontal="left"/>
    </xf>
    <xf numFmtId="0" fontId="56" fillId="0" borderId="1" xfId="0" applyFont="1" applyBorder="1" applyAlignment="1">
      <alignment horizontal="center"/>
    </xf>
    <xf numFmtId="0" fontId="56" fillId="0" borderId="29" xfId="0" applyFont="1" applyBorder="1" applyAlignment="1">
      <alignment horizontal="center"/>
    </xf>
    <xf numFmtId="0" fontId="56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7" fillId="0" borderId="1" xfId="0" applyFont="1" applyBorder="1" applyAlignment="1">
      <alignment horizontal="center"/>
    </xf>
    <xf numFmtId="0" fontId="57" fillId="0" borderId="29" xfId="0" applyFont="1" applyBorder="1" applyAlignment="1">
      <alignment horizontal="center"/>
    </xf>
    <xf numFmtId="0" fontId="57" fillId="0" borderId="2" xfId="0" applyFont="1" applyBorder="1" applyAlignment="1">
      <alignment horizontal="center"/>
    </xf>
    <xf numFmtId="17" fontId="4" fillId="3" borderId="0" xfId="0" quotePrefix="1" applyNumberFormat="1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17" fontId="4" fillId="3" borderId="1" xfId="0" quotePrefix="1" applyNumberFormat="1" applyFont="1" applyFill="1" applyBorder="1" applyAlignment="1">
      <alignment horizontal="center"/>
    </xf>
    <xf numFmtId="17" fontId="4" fillId="3" borderId="29" xfId="0" quotePrefix="1" applyNumberFormat="1" applyFont="1" applyFill="1" applyBorder="1" applyAlignment="1">
      <alignment horizontal="center"/>
    </xf>
    <xf numFmtId="17" fontId="4" fillId="3" borderId="2" xfId="0" quotePrefix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6" fillId="15" borderId="1" xfId="0" applyFont="1" applyFill="1" applyBorder="1" applyAlignment="1">
      <alignment horizontal="center"/>
    </xf>
    <xf numFmtId="0" fontId="56" fillId="15" borderId="29" xfId="0" applyFont="1" applyFill="1" applyBorder="1" applyAlignment="1">
      <alignment horizontal="center"/>
    </xf>
    <xf numFmtId="0" fontId="56" fillId="15" borderId="2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4" fillId="17" borderId="23" xfId="0" applyFont="1" applyFill="1" applyBorder="1" applyAlignment="1">
      <alignment horizontal="center" vertical="center" textRotation="90"/>
    </xf>
    <xf numFmtId="0" fontId="4" fillId="17" borderId="24" xfId="0" applyFont="1" applyFill="1" applyBorder="1" applyAlignment="1">
      <alignment horizontal="center" vertical="center" textRotation="90"/>
    </xf>
    <xf numFmtId="0" fontId="4" fillId="17" borderId="28" xfId="0" applyFont="1" applyFill="1" applyBorder="1" applyAlignment="1">
      <alignment horizontal="center" vertical="center" textRotation="90"/>
    </xf>
    <xf numFmtId="0" fontId="17" fillId="0" borderId="23" xfId="0" applyFont="1" applyBorder="1" applyAlignment="1">
      <alignment horizontal="center" vertical="center" textRotation="89"/>
    </xf>
    <xf numFmtId="0" fontId="17" fillId="0" borderId="24" xfId="0" applyFont="1" applyBorder="1" applyAlignment="1">
      <alignment horizontal="center" vertical="center" textRotation="89"/>
    </xf>
    <xf numFmtId="0" fontId="17" fillId="0" borderId="28" xfId="0" applyFont="1" applyBorder="1" applyAlignment="1">
      <alignment horizontal="center" vertical="center" textRotation="89"/>
    </xf>
    <xf numFmtId="0" fontId="17" fillId="3" borderId="23" xfId="0" applyFont="1" applyFill="1" applyBorder="1" applyAlignment="1">
      <alignment horizontal="center" vertical="center" textRotation="90"/>
    </xf>
    <xf numFmtId="0" fontId="17" fillId="3" borderId="24" xfId="0" applyFont="1" applyFill="1" applyBorder="1" applyAlignment="1">
      <alignment horizontal="center" vertical="center" textRotation="90"/>
    </xf>
    <xf numFmtId="0" fontId="17" fillId="3" borderId="28" xfId="0" applyFont="1" applyFill="1" applyBorder="1" applyAlignment="1">
      <alignment horizontal="center" vertical="center" textRotation="90"/>
    </xf>
    <xf numFmtId="0" fontId="4" fillId="3" borderId="23" xfId="0" applyFont="1" applyFill="1" applyBorder="1" applyAlignment="1">
      <alignment horizontal="center" vertical="center" textRotation="90"/>
    </xf>
    <xf numFmtId="0" fontId="4" fillId="3" borderId="24" xfId="0" applyFont="1" applyFill="1" applyBorder="1" applyAlignment="1">
      <alignment horizontal="center" vertical="center" textRotation="90"/>
    </xf>
    <xf numFmtId="0" fontId="4" fillId="3" borderId="28" xfId="0" applyFont="1" applyFill="1" applyBorder="1" applyAlignment="1">
      <alignment horizontal="center" vertical="center" textRotation="90"/>
    </xf>
    <xf numFmtId="0" fontId="4" fillId="17" borderId="40" xfId="0" applyFont="1" applyFill="1" applyBorder="1" applyAlignment="1">
      <alignment horizontal="center" vertical="center" textRotation="90"/>
    </xf>
    <xf numFmtId="0" fontId="4" fillId="17" borderId="27" xfId="0" applyFont="1" applyFill="1" applyBorder="1" applyAlignment="1">
      <alignment horizontal="center" vertical="center" textRotation="90"/>
    </xf>
    <xf numFmtId="0" fontId="4" fillId="17" borderId="43" xfId="0" applyFont="1" applyFill="1" applyBorder="1" applyAlignment="1">
      <alignment horizontal="center" vertical="center" textRotation="90"/>
    </xf>
    <xf numFmtId="17" fontId="4" fillId="3" borderId="3" xfId="0" quotePrefix="1" applyNumberFormat="1" applyFont="1" applyFill="1" applyBorder="1" applyAlignment="1">
      <alignment horizontal="center"/>
    </xf>
    <xf numFmtId="17" fontId="4" fillId="3" borderId="17" xfId="0" quotePrefix="1" applyNumberFormat="1" applyFont="1" applyFill="1" applyBorder="1" applyAlignment="1">
      <alignment horizontal="center"/>
    </xf>
    <xf numFmtId="17" fontId="4" fillId="3" borderId="4" xfId="0" quotePrefix="1" applyNumberFormat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9">
    <cellStyle name="Comma" xfId="6" builtinId="3"/>
    <cellStyle name="Currency" xfId="2" builtinId="4"/>
    <cellStyle name="Currency [0]" xfId="7" builtinId="7"/>
    <cellStyle name="Heading 4" xfId="8" builtinId="19"/>
    <cellStyle name="Hyperlink" xfId="3" builtinId="8"/>
    <cellStyle name="Normal" xfId="0" builtinId="0"/>
    <cellStyle name="Normal 3" xfId="4" xr:uid="{2458EAF3-901D-4989-87B3-6AFAC362EBBE}"/>
    <cellStyle name="Normal 4" xfId="5" xr:uid="{1607E66F-ED17-43A9-8BC8-1BFC106F28A6}"/>
    <cellStyle name="Percent" xfId="1" builtinId="5"/>
  </cellStyles>
  <dxfs count="16"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FF7C80"/>
        </patternFill>
      </fill>
    </dxf>
    <dxf>
      <fill>
        <patternFill>
          <bgColor rgb="FFF85E7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8B8B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  <color rgb="FFFF8B8B"/>
      <color rgb="FFF85E7F"/>
      <color rgb="FFFF6600"/>
      <color rgb="FFFF7C80"/>
      <color rgb="FF0A3152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133350</xdr:rowOff>
    </xdr:from>
    <xdr:to>
      <xdr:col>0</xdr:col>
      <xdr:colOff>1939925</xdr:colOff>
      <xdr:row>5</xdr:row>
      <xdr:rowOff>112041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D70E85-94B5-4147-AD09-8E668AB49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33350"/>
          <a:ext cx="1720850" cy="1007391"/>
        </a:xfrm>
        <a:prstGeom prst="rect">
          <a:avLst/>
        </a:prstGeom>
      </xdr:spPr>
    </xdr:pic>
    <xdr:clientData/>
  </xdr:twoCellAnchor>
  <xdr:oneCellAnchor>
    <xdr:from>
      <xdr:col>0</xdr:col>
      <xdr:colOff>330200</xdr:colOff>
      <xdr:row>126</xdr:row>
      <xdr:rowOff>114300</xdr:rowOff>
    </xdr:from>
    <xdr:ext cx="1720850" cy="1001041"/>
    <xdr:pic>
      <xdr:nvPicPr>
        <xdr:cNvPr id="4" name="Picture 3">
          <a:extLst>
            <a:ext uri="{FF2B5EF4-FFF2-40B4-BE49-F238E27FC236}">
              <a16:creationId xmlns:a16="http://schemas.microsoft.com/office/drawing/2014/main" id="{89C10248-C4E4-4C05-A809-13E1A7F2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27336750"/>
          <a:ext cx="1720850" cy="10010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114300</xdr:rowOff>
    </xdr:from>
    <xdr:to>
      <xdr:col>3</xdr:col>
      <xdr:colOff>333376</xdr:colOff>
      <xdr:row>6</xdr:row>
      <xdr:rowOff>20629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9442A7-8219-42A8-BF60-63836C899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6" y="114300"/>
          <a:ext cx="1828800" cy="10810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piotrowski@ppa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jandy.com/en/products/filters/cv" TargetMode="External"/><Relationship Id="rId2" Type="http://schemas.openxmlformats.org/officeDocument/2006/relationships/hyperlink" Target="http://www.jandy.com/en/products/filters/cv" TargetMode="External"/><Relationship Id="rId1" Type="http://schemas.openxmlformats.org/officeDocument/2006/relationships/hyperlink" Target="http://www.jandy.com/en/products/filters/cv" TargetMode="External"/><Relationship Id="rId6" Type="http://schemas.openxmlformats.org/officeDocument/2006/relationships/printerSettings" Target="../printerSettings/printerSettings11.bin"/><Relationship Id="rId5" Type="http://schemas.openxmlformats.org/officeDocument/2006/relationships/hyperlink" Target="http://www.jandy.com/en/products/filters/dev" TargetMode="External"/><Relationship Id="rId4" Type="http://schemas.openxmlformats.org/officeDocument/2006/relationships/hyperlink" Target="http://www.jandy.com/en/products/filters/js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94450-D395-4BDC-9659-C42CA1809651}">
  <sheetPr codeName="Sheet1">
    <tabColor theme="5" tint="0.59999389629810485"/>
    <pageSetUpPr fitToPage="1"/>
  </sheetPr>
  <dimension ref="A1:N191"/>
  <sheetViews>
    <sheetView topLeftCell="A69" zoomScaleNormal="100" workbookViewId="0">
      <selection activeCell="F82" sqref="F82"/>
    </sheetView>
  </sheetViews>
  <sheetFormatPr defaultRowHeight="14.4"/>
  <cols>
    <col min="1" max="1" width="37.88671875" customWidth="1"/>
    <col min="2" max="2" width="11.44140625" style="4" customWidth="1"/>
    <col min="3" max="3" width="11" customWidth="1"/>
    <col min="4" max="4" width="15.5546875" bestFit="1" customWidth="1"/>
    <col min="5" max="5" width="10.44140625" customWidth="1"/>
    <col min="16" max="16" width="8.5546875" customWidth="1"/>
  </cols>
  <sheetData>
    <row r="1" spans="1:10" ht="24" thickBot="1">
      <c r="A1" s="522" t="s">
        <v>1136</v>
      </c>
      <c r="B1" s="523"/>
      <c r="C1" s="523"/>
      <c r="D1" s="523"/>
      <c r="E1" s="523"/>
      <c r="F1" s="523"/>
      <c r="G1" s="523"/>
      <c r="H1" s="524"/>
    </row>
    <row r="2" spans="1:10" ht="15" thickBot="1"/>
    <row r="3" spans="1:10" ht="15" thickBot="1">
      <c r="A3" s="165" t="s">
        <v>0</v>
      </c>
      <c r="B3" s="503" t="s">
        <v>1145</v>
      </c>
      <c r="C3" s="504"/>
      <c r="D3" s="504"/>
      <c r="E3" s="505"/>
    </row>
    <row r="4" spans="1:10" ht="15" thickBot="1">
      <c r="A4" s="165" t="s">
        <v>670</v>
      </c>
      <c r="B4" s="503"/>
      <c r="C4" s="504"/>
      <c r="D4" s="504"/>
      <c r="E4" s="505"/>
    </row>
    <row r="5" spans="1:10" ht="15" thickBot="1">
      <c r="A5" s="8" t="s">
        <v>1074</v>
      </c>
      <c r="B5" s="403">
        <v>1</v>
      </c>
      <c r="C5" t="s">
        <v>1075</v>
      </c>
    </row>
    <row r="6" spans="1:10" ht="15" thickBot="1"/>
    <row r="7" spans="1:10" ht="15" thickBot="1">
      <c r="A7" s="165" t="s">
        <v>462</v>
      </c>
      <c r="B7" s="113">
        <v>100</v>
      </c>
      <c r="C7" t="s">
        <v>468</v>
      </c>
      <c r="D7" s="165" t="s">
        <v>484</v>
      </c>
      <c r="E7" s="476">
        <v>18</v>
      </c>
      <c r="F7" t="s">
        <v>590</v>
      </c>
      <c r="J7" s="226">
        <f>IF(B$21+B$22+B$23&gt;0,1,0)</f>
        <v>0</v>
      </c>
    </row>
    <row r="8" spans="1:10" ht="15" thickBot="1">
      <c r="A8" s="165" t="s">
        <v>463</v>
      </c>
      <c r="B8" s="113">
        <v>560</v>
      </c>
      <c r="C8" t="s">
        <v>435</v>
      </c>
      <c r="D8" s="165" t="s">
        <v>483</v>
      </c>
      <c r="E8" s="476">
        <v>40</v>
      </c>
      <c r="F8" t="s">
        <v>590</v>
      </c>
      <c r="G8" t="s">
        <v>998</v>
      </c>
    </row>
    <row r="9" spans="1:10" ht="15" thickBot="1">
      <c r="A9" s="165" t="s">
        <v>464</v>
      </c>
      <c r="B9" s="331">
        <v>3.5</v>
      </c>
      <c r="C9" t="s">
        <v>590</v>
      </c>
      <c r="D9" s="165" t="s">
        <v>589</v>
      </c>
      <c r="E9" s="113">
        <v>426</v>
      </c>
      <c r="F9" t="s">
        <v>435</v>
      </c>
    </row>
    <row r="10" spans="1:10" ht="1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0" ht="15" thickBot="1">
      <c r="A11" s="165" t="s">
        <v>908</v>
      </c>
      <c r="B11" s="118">
        <v>52</v>
      </c>
      <c r="C11" t="s">
        <v>468</v>
      </c>
      <c r="D11" s="165" t="s">
        <v>545</v>
      </c>
      <c r="E11" s="113">
        <v>0</v>
      </c>
      <c r="F11" t="s">
        <v>550</v>
      </c>
    </row>
    <row r="12" spans="1:10" ht="1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0" ht="15" thickBot="1">
      <c r="B13" s="115"/>
      <c r="C13" s="115"/>
      <c r="D13" s="165" t="s">
        <v>836</v>
      </c>
      <c r="E13" s="378">
        <f>_xlfn.CEILING.MATH(((B8*((B9+B10)/2))*7.6),10)-(B12*850)</f>
        <v>19370</v>
      </c>
      <c r="F13" s="153" t="s">
        <v>1066</v>
      </c>
    </row>
    <row r="14" spans="1:10" ht="15" thickBot="1">
      <c r="A14" s="165" t="s">
        <v>663</v>
      </c>
      <c r="B14" s="113">
        <v>7</v>
      </c>
    </row>
    <row r="15" spans="1:10" ht="15" thickBot="1">
      <c r="A15" s="165" t="s">
        <v>664</v>
      </c>
      <c r="B15" s="113">
        <v>7</v>
      </c>
      <c r="C15" s="117"/>
      <c r="D15" s="117"/>
      <c r="E15" s="106"/>
    </row>
    <row r="16" spans="1:10" ht="15" thickBot="1">
      <c r="A16" s="165" t="s">
        <v>665</v>
      </c>
      <c r="B16" s="113">
        <v>2</v>
      </c>
      <c r="C16" s="106" t="s">
        <v>466</v>
      </c>
      <c r="D16" s="117"/>
      <c r="E16" s="106"/>
    </row>
    <row r="17" spans="1:8" ht="15" thickBot="1">
      <c r="A17" s="165" t="s">
        <v>479</v>
      </c>
      <c r="B17" s="114">
        <f>ROUNDUP(IF(B16=1,(B14*3.14),(B14*2+B15*2)),0)</f>
        <v>28</v>
      </c>
      <c r="C17" s="153" t="s">
        <v>1067</v>
      </c>
    </row>
    <row r="18" spans="1:8" ht="15" thickBot="1">
      <c r="A18" s="165" t="s">
        <v>478</v>
      </c>
      <c r="B18" s="113">
        <v>1</v>
      </c>
      <c r="C18" s="106" t="s">
        <v>467</v>
      </c>
      <c r="E18" s="106" t="s">
        <v>480</v>
      </c>
    </row>
    <row r="19" spans="1:8" ht="15" thickBot="1">
      <c r="A19" s="8" t="s">
        <v>653</v>
      </c>
      <c r="B19" s="113">
        <v>2</v>
      </c>
      <c r="C19" t="s">
        <v>651</v>
      </c>
    </row>
    <row r="20" spans="1:8" ht="14.4" customHeight="1" thickBot="1">
      <c r="A20" s="8"/>
      <c r="B20" s="174"/>
    </row>
    <row r="21" spans="1:8" ht="14.4" customHeight="1" thickBot="1">
      <c r="A21" s="212" t="s">
        <v>753</v>
      </c>
      <c r="B21" s="113">
        <f>IF(A21="Fiberglass - Small",0,1)</f>
        <v>0</v>
      </c>
    </row>
    <row r="22" spans="1:8" ht="14.4" customHeight="1" thickBot="1">
      <c r="A22" s="212" t="s">
        <v>754</v>
      </c>
      <c r="B22" s="113">
        <v>0</v>
      </c>
    </row>
    <row r="23" spans="1:8" ht="14.4" customHeight="1" thickBot="1">
      <c r="A23" s="212" t="s">
        <v>755</v>
      </c>
      <c r="B23" s="113">
        <f>IF(A23="Fiberglass - Large",0,1)</f>
        <v>0</v>
      </c>
    </row>
    <row r="24" spans="1:8" ht="14.4" customHeight="1" thickBot="1">
      <c r="A24" s="212" t="s">
        <v>728</v>
      </c>
      <c r="B24" s="113">
        <v>0</v>
      </c>
    </row>
    <row r="25" spans="1:8" ht="14.4" customHeight="1" thickBot="1">
      <c r="A25" s="212" t="s">
        <v>757</v>
      </c>
      <c r="B25" s="113">
        <f>IF(A25="No Spa",0,1)</f>
        <v>0</v>
      </c>
    </row>
    <row r="26" spans="1:8" ht="14.4" customHeight="1" thickBot="1">
      <c r="A26" s="212" t="s">
        <v>778</v>
      </c>
      <c r="B26" s="113">
        <v>0</v>
      </c>
    </row>
    <row r="27" spans="1:8" ht="14.4" customHeight="1" thickBot="1">
      <c r="A27" s="212" t="s">
        <v>758</v>
      </c>
      <c r="B27" s="113">
        <f>IF(A27="No Tanning",0,1)</f>
        <v>0</v>
      </c>
      <c r="D27" s="456"/>
    </row>
    <row r="28" spans="1:8" ht="14.4" customHeight="1" thickBot="1">
      <c r="A28" s="356" t="s">
        <v>772</v>
      </c>
      <c r="B28" s="113">
        <f>IF(A28="No Crane",0,1)</f>
        <v>0</v>
      </c>
    </row>
    <row r="29" spans="1:8" ht="15" thickBot="1">
      <c r="B29" s="174"/>
    </row>
    <row r="30" spans="1:8" ht="18" thickBot="1">
      <c r="A30" s="490" t="s">
        <v>475</v>
      </c>
      <c r="B30" s="491"/>
      <c r="C30" s="491"/>
      <c r="D30" s="492"/>
    </row>
    <row r="31" spans="1:8" ht="15" thickBot="1">
      <c r="B31" s="4" t="s">
        <v>468</v>
      </c>
      <c r="C31" s="4" t="s">
        <v>650</v>
      </c>
      <c r="D31" s="4"/>
    </row>
    <row r="32" spans="1:8" ht="15" thickBot="1">
      <c r="A32" s="99" t="s">
        <v>640</v>
      </c>
      <c r="B32" s="113">
        <v>46</v>
      </c>
      <c r="C32" s="113">
        <v>2</v>
      </c>
      <c r="D32" s="506" t="s">
        <v>821</v>
      </c>
      <c r="E32" s="507"/>
      <c r="F32" s="507"/>
      <c r="G32" s="507"/>
      <c r="H32" s="508"/>
    </row>
    <row r="33" spans="1:8" ht="15" thickBot="1">
      <c r="A33" s="99" t="s">
        <v>641</v>
      </c>
      <c r="B33" s="113">
        <v>0</v>
      </c>
      <c r="C33" s="113">
        <v>0</v>
      </c>
      <c r="D33" s="509"/>
      <c r="E33" s="510"/>
      <c r="F33" s="510"/>
      <c r="G33" s="510"/>
      <c r="H33" s="511"/>
    </row>
    <row r="34" spans="1:8" ht="15" thickBot="1">
      <c r="A34" s="99" t="s">
        <v>642</v>
      </c>
      <c r="B34" s="113">
        <v>0</v>
      </c>
      <c r="C34" s="113">
        <v>0</v>
      </c>
      <c r="D34" s="509"/>
      <c r="E34" s="510"/>
      <c r="F34" s="510"/>
      <c r="G34" s="510"/>
      <c r="H34" s="511"/>
    </row>
    <row r="35" spans="1:8" ht="15" thickBot="1">
      <c r="A35" s="99" t="s">
        <v>643</v>
      </c>
      <c r="B35" s="113">
        <v>49</v>
      </c>
      <c r="C35" s="113">
        <v>2</v>
      </c>
      <c r="D35" s="509"/>
      <c r="E35" s="510"/>
      <c r="F35" s="510"/>
      <c r="G35" s="510"/>
      <c r="H35" s="511"/>
    </row>
    <row r="36" spans="1:8" ht="15" thickBot="1">
      <c r="A36" s="99" t="s">
        <v>644</v>
      </c>
      <c r="B36" s="113">
        <v>0</v>
      </c>
      <c r="C36" s="113">
        <v>0</v>
      </c>
      <c r="D36" s="509"/>
      <c r="E36" s="510"/>
      <c r="F36" s="510"/>
      <c r="G36" s="510"/>
      <c r="H36" s="511"/>
    </row>
    <row r="37" spans="1:8" ht="15" thickBot="1">
      <c r="A37" s="170" t="s">
        <v>645</v>
      </c>
      <c r="B37" s="169">
        <v>0</v>
      </c>
      <c r="C37" s="113">
        <v>0</v>
      </c>
      <c r="D37" s="512"/>
      <c r="E37" s="513"/>
      <c r="F37" s="513"/>
      <c r="G37" s="513"/>
      <c r="H37" s="514"/>
    </row>
    <row r="38" spans="1:8" ht="15" thickBot="1">
      <c r="A38" s="99" t="s">
        <v>648</v>
      </c>
      <c r="B38" s="114">
        <f>SHOT!L10</f>
        <v>121</v>
      </c>
      <c r="C38" s="153" t="s">
        <v>1067</v>
      </c>
      <c r="D38" s="4"/>
      <c r="E38" s="4"/>
    </row>
    <row r="39" spans="1:8" ht="15" thickBot="1">
      <c r="A39" s="166"/>
      <c r="B39" s="117"/>
      <c r="C39" s="4" t="s">
        <v>650</v>
      </c>
      <c r="D39" s="117"/>
    </row>
    <row r="40" spans="1:8" ht="15" thickBot="1">
      <c r="A40" s="166" t="s">
        <v>659</v>
      </c>
      <c r="B40" s="113">
        <v>0</v>
      </c>
      <c r="C40" s="113">
        <v>0</v>
      </c>
      <c r="D40" s="503" t="str">
        <f>D32</f>
        <v>( 1=Tile / 2=Panel Ledge / 3=Stacked Stone)</v>
      </c>
      <c r="E40" s="504"/>
      <c r="F40" s="504"/>
      <c r="G40" s="504"/>
      <c r="H40" s="505"/>
    </row>
    <row r="41" spans="1:8" ht="15" thickBot="1">
      <c r="A41" s="166" t="s">
        <v>639</v>
      </c>
      <c r="B41" s="113">
        <v>0</v>
      </c>
      <c r="C41" s="51" t="s">
        <v>590</v>
      </c>
      <c r="D41" s="167"/>
    </row>
    <row r="42" spans="1:8" ht="15" thickBot="1">
      <c r="A42" s="166" t="s">
        <v>647</v>
      </c>
      <c r="B42" s="113">
        <v>0</v>
      </c>
      <c r="C42" s="51" t="s">
        <v>590</v>
      </c>
      <c r="D42" s="167"/>
    </row>
    <row r="43" spans="1:8" ht="15" thickBot="1">
      <c r="A43" s="166" t="s">
        <v>646</v>
      </c>
      <c r="B43" s="113">
        <v>0</v>
      </c>
      <c r="C43" s="51" t="s">
        <v>590</v>
      </c>
      <c r="D43" s="167"/>
    </row>
    <row r="44" spans="1:8" ht="15" thickBot="1">
      <c r="A44" s="153"/>
      <c r="B44" s="168"/>
      <c r="C44" s="167"/>
      <c r="D44" s="153"/>
    </row>
    <row r="45" spans="1:8" ht="15" thickBot="1">
      <c r="A45" s="99" t="s">
        <v>469</v>
      </c>
      <c r="B45" s="113">
        <v>0</v>
      </c>
      <c r="C45" t="s">
        <v>470</v>
      </c>
    </row>
    <row r="46" spans="1:8" ht="15" thickBot="1">
      <c r="A46" s="99" t="s">
        <v>471</v>
      </c>
      <c r="B46" s="113">
        <v>1</v>
      </c>
      <c r="C46" t="s">
        <v>592</v>
      </c>
    </row>
    <row r="47" spans="1:8" ht="15" thickBot="1">
      <c r="A47" s="99" t="s">
        <v>472</v>
      </c>
      <c r="B47" s="113">
        <v>1</v>
      </c>
      <c r="C47" t="s">
        <v>592</v>
      </c>
    </row>
    <row r="48" spans="1:8" ht="15" thickBot="1">
      <c r="A48" s="99" t="s">
        <v>473</v>
      </c>
      <c r="B48" s="114">
        <f>IF(B11&gt;20,B11-20,0)</f>
        <v>32</v>
      </c>
      <c r="C48" s="153" t="s">
        <v>1067</v>
      </c>
    </row>
    <row r="49" spans="1:5" ht="15" thickBot="1">
      <c r="A49" s="99" t="s">
        <v>474</v>
      </c>
      <c r="B49" s="113">
        <v>0</v>
      </c>
      <c r="C49" t="s">
        <v>592</v>
      </c>
    </row>
    <row r="50" spans="1:5" ht="15" thickBot="1">
      <c r="B50" s="117"/>
    </row>
    <row r="51" spans="1:5" ht="15" thickBot="1">
      <c r="A51" s="99" t="s">
        <v>805</v>
      </c>
      <c r="B51" s="113">
        <v>0</v>
      </c>
      <c r="C51" t="s">
        <v>468</v>
      </c>
    </row>
    <row r="52" spans="1:5" ht="15" thickBot="1">
      <c r="B52" s="117"/>
      <c r="C52" s="106"/>
    </row>
    <row r="53" spans="1:5" ht="15" thickBot="1">
      <c r="A53" s="99" t="s">
        <v>621</v>
      </c>
      <c r="B53" s="113">
        <v>0</v>
      </c>
      <c r="C53" t="s">
        <v>592</v>
      </c>
    </row>
    <row r="54" spans="1:5" ht="15" thickBot="1"/>
    <row r="55" spans="1:5" ht="18" thickBot="1">
      <c r="A55" s="490" t="s">
        <v>494</v>
      </c>
      <c r="B55" s="491"/>
      <c r="C55" s="491"/>
      <c r="D55" s="492"/>
    </row>
    <row r="56" spans="1:5" ht="15" thickBot="1"/>
    <row r="57" spans="1:5" ht="15" thickBot="1">
      <c r="A57" s="99" t="s">
        <v>495</v>
      </c>
      <c r="B57" s="118">
        <v>0</v>
      </c>
      <c r="C57" t="s">
        <v>500</v>
      </c>
    </row>
    <row r="58" spans="1:5" ht="15" thickBot="1">
      <c r="A58" s="99" t="s">
        <v>496</v>
      </c>
      <c r="B58" s="118">
        <v>213</v>
      </c>
      <c r="C58" t="s">
        <v>497</v>
      </c>
      <c r="E58" t="s">
        <v>1141</v>
      </c>
    </row>
    <row r="59" spans="1:5" ht="15" thickBot="1">
      <c r="A59" s="99" t="s">
        <v>498</v>
      </c>
      <c r="B59" s="118">
        <v>50</v>
      </c>
      <c r="C59" t="s">
        <v>499</v>
      </c>
    </row>
    <row r="60" spans="1:5" ht="15" thickBot="1">
      <c r="A60" s="99" t="s">
        <v>511</v>
      </c>
      <c r="B60" s="118">
        <v>0</v>
      </c>
      <c r="C60" t="s">
        <v>512</v>
      </c>
    </row>
    <row r="61" spans="1:5" ht="15" thickBot="1">
      <c r="A61" s="99" t="s">
        <v>501</v>
      </c>
      <c r="B61" s="118">
        <v>0</v>
      </c>
      <c r="C61" t="s">
        <v>502</v>
      </c>
    </row>
    <row r="62" spans="1:5" ht="15" thickBot="1">
      <c r="A62" s="99" t="s">
        <v>875</v>
      </c>
      <c r="B62" s="118">
        <v>0</v>
      </c>
      <c r="C62" t="s">
        <v>884</v>
      </c>
    </row>
    <row r="63" spans="1:5" ht="15" thickBot="1">
      <c r="A63" s="99" t="s">
        <v>876</v>
      </c>
      <c r="B63" s="118">
        <v>0</v>
      </c>
      <c r="C63" t="s">
        <v>884</v>
      </c>
    </row>
    <row r="64" spans="1:5" ht="15" thickBot="1">
      <c r="A64" s="99" t="s">
        <v>877</v>
      </c>
      <c r="B64" s="118">
        <v>0</v>
      </c>
      <c r="C64" t="s">
        <v>884</v>
      </c>
    </row>
    <row r="65" spans="1:4" ht="15" thickBot="1">
      <c r="A65" s="99" t="s">
        <v>878</v>
      </c>
      <c r="B65" s="118">
        <v>0</v>
      </c>
      <c r="C65" t="s">
        <v>884</v>
      </c>
    </row>
    <row r="66" spans="1:4" ht="15" thickBot="1">
      <c r="A66" s="99" t="s">
        <v>677</v>
      </c>
      <c r="B66" s="118">
        <v>0</v>
      </c>
      <c r="C66" t="s">
        <v>678</v>
      </c>
    </row>
    <row r="67" spans="1:4" ht="15" thickBot="1">
      <c r="A67" s="99" t="s">
        <v>515</v>
      </c>
      <c r="B67" s="118">
        <v>0</v>
      </c>
      <c r="C67" t="s">
        <v>679</v>
      </c>
    </row>
    <row r="68" spans="1:4" ht="15" thickBot="1">
      <c r="A68" s="344" t="s">
        <v>503</v>
      </c>
      <c r="B68" s="118">
        <v>75</v>
      </c>
      <c r="C68" s="116" t="s">
        <v>504</v>
      </c>
    </row>
    <row r="69" spans="1:4" ht="15" thickBot="1">
      <c r="A69" s="99" t="s">
        <v>505</v>
      </c>
      <c r="B69" s="118">
        <v>110</v>
      </c>
      <c r="C69" t="s">
        <v>506</v>
      </c>
    </row>
    <row r="70" spans="1:4" ht="15" thickBot="1"/>
    <row r="71" spans="1:4" ht="15" thickBot="1">
      <c r="A71" s="99" t="s">
        <v>531</v>
      </c>
      <c r="B71" s="118">
        <v>20</v>
      </c>
      <c r="C71" t="s">
        <v>532</v>
      </c>
    </row>
    <row r="72" spans="1:4" ht="15" thickBot="1">
      <c r="A72" s="99" t="s">
        <v>530</v>
      </c>
      <c r="B72" s="118">
        <v>279</v>
      </c>
      <c r="C72" t="s">
        <v>533</v>
      </c>
    </row>
    <row r="73" spans="1:4" ht="15" thickBot="1">
      <c r="A73" s="99" t="s">
        <v>828</v>
      </c>
      <c r="B73" s="118">
        <v>0</v>
      </c>
      <c r="C73" t="s">
        <v>829</v>
      </c>
    </row>
    <row r="74" spans="1:4" ht="15" thickBot="1"/>
    <row r="75" spans="1:4" ht="18" thickBot="1">
      <c r="A75" s="490" t="s">
        <v>785</v>
      </c>
      <c r="B75" s="491"/>
      <c r="C75" s="491"/>
      <c r="D75" s="492"/>
    </row>
    <row r="76" spans="1:4" ht="15" customHeight="1" thickBot="1">
      <c r="A76" s="163"/>
      <c r="B76" s="164"/>
      <c r="C76" s="163"/>
      <c r="D76" s="163"/>
    </row>
    <row r="77" spans="1:4" ht="15" customHeight="1" thickBot="1">
      <c r="A77" s="99" t="s">
        <v>784</v>
      </c>
      <c r="B77" s="118">
        <v>0</v>
      </c>
      <c r="C77" t="s">
        <v>968</v>
      </c>
      <c r="D77" s="163"/>
    </row>
    <row r="78" spans="1:4" ht="15" customHeight="1" thickBot="1">
      <c r="B78" s="430"/>
      <c r="D78" s="163"/>
    </row>
    <row r="79" spans="1:4" ht="15" customHeight="1" thickBot="1">
      <c r="A79" s="99" t="s">
        <v>931</v>
      </c>
      <c r="B79" s="118">
        <v>0</v>
      </c>
      <c r="C79" s="153" t="s">
        <v>932</v>
      </c>
      <c r="D79" s="163"/>
    </row>
    <row r="80" spans="1:4" ht="15" customHeight="1" thickBot="1">
      <c r="B80" s="430"/>
      <c r="D80" s="163"/>
    </row>
    <row r="81" spans="1:10" ht="15" customHeight="1" thickBot="1">
      <c r="A81" s="99" t="s">
        <v>922</v>
      </c>
      <c r="B81" s="118" t="str">
        <f>IF((B82+B83)=0,"INCLUDED",0)</f>
        <v>INCLUDED</v>
      </c>
      <c r="D81" s="163"/>
    </row>
    <row r="82" spans="1:10" ht="15" customHeight="1" thickBot="1">
      <c r="A82" s="99" t="s">
        <v>923</v>
      </c>
      <c r="B82" s="431">
        <v>0</v>
      </c>
      <c r="D82" s="163"/>
    </row>
    <row r="83" spans="1:10" ht="15" customHeight="1" thickBot="1">
      <c r="A83" s="99" t="s">
        <v>924</v>
      </c>
      <c r="B83" s="431">
        <v>0</v>
      </c>
      <c r="D83" s="163"/>
    </row>
    <row r="84" spans="1:10" ht="15" customHeight="1" thickBot="1">
      <c r="A84" s="163"/>
      <c r="B84" s="164"/>
      <c r="C84" s="163"/>
      <c r="D84" s="163"/>
    </row>
    <row r="85" spans="1:10" ht="15" customHeight="1" thickBot="1">
      <c r="A85" s="99" t="s">
        <v>811</v>
      </c>
      <c r="B85" s="118">
        <v>0</v>
      </c>
      <c r="C85" t="s">
        <v>592</v>
      </c>
      <c r="D85" s="163"/>
    </row>
    <row r="86" spans="1:10" ht="15" customHeight="1" thickBot="1">
      <c r="A86" s="163"/>
      <c r="B86" s="164"/>
      <c r="C86" s="163"/>
      <c r="D86" s="163"/>
    </row>
    <row r="87" spans="1:10" ht="15" thickBot="1">
      <c r="A87" s="170" t="s">
        <v>584</v>
      </c>
      <c r="B87" s="118">
        <v>0</v>
      </c>
      <c r="C87" t="s">
        <v>592</v>
      </c>
    </row>
    <row r="88" spans="1:10" ht="15" thickBot="1">
      <c r="A88" s="99" t="s">
        <v>588</v>
      </c>
      <c r="B88" s="118">
        <v>0</v>
      </c>
      <c r="C88" t="s">
        <v>592</v>
      </c>
    </row>
    <row r="89" spans="1:10" ht="15" thickBot="1">
      <c r="B89" s="152"/>
    </row>
    <row r="90" spans="1:10" ht="15" thickBot="1">
      <c r="A90" s="99" t="s">
        <v>822</v>
      </c>
      <c r="B90" s="118">
        <v>1</v>
      </c>
      <c r="C90" t="s">
        <v>592</v>
      </c>
      <c r="E90" s="68" t="str">
        <f>'TILE COPING'!F30</f>
        <v>Ivory, Hazelnut, Noce, Country Classic, Light Noce, Harvest Blend</v>
      </c>
      <c r="F90" s="369"/>
      <c r="G90" s="369"/>
      <c r="H90" s="369"/>
    </row>
    <row r="91" spans="1:10" ht="15" thickBot="1">
      <c r="A91" s="99" t="s">
        <v>823</v>
      </c>
      <c r="B91" s="118">
        <v>0</v>
      </c>
      <c r="C91" t="s">
        <v>592</v>
      </c>
      <c r="E91" s="68" t="str">
        <f>'TILE COPING'!F31</f>
        <v>Ivory, Hazelnut, Noce, Country Classic, Light Noce, Harvest Blend</v>
      </c>
      <c r="F91" s="369"/>
      <c r="G91" s="369"/>
      <c r="H91" s="369"/>
    </row>
    <row r="92" spans="1:10" ht="15" thickBot="1">
      <c r="B92" s="152"/>
    </row>
    <row r="93" spans="1:10" ht="15.6" customHeight="1" thickBot="1">
      <c r="A93" s="99" t="s">
        <v>824</v>
      </c>
      <c r="B93" s="118">
        <v>0</v>
      </c>
      <c r="C93" t="s">
        <v>592</v>
      </c>
      <c r="E93" s="493" t="str">
        <f>'TILE COPING'!F32</f>
        <v>Silver, Silver Vogue, River Silver, Bianco Dolomite, Dianna Royal, Skyline, Alaska Silver, Turkish Carrea</v>
      </c>
      <c r="F93" s="493"/>
      <c r="G93" s="493"/>
      <c r="H93" s="493"/>
      <c r="I93" s="493"/>
    </row>
    <row r="94" spans="1:10" ht="15.6" customHeight="1" thickBot="1">
      <c r="A94" s="99" t="s">
        <v>825</v>
      </c>
      <c r="B94" s="118">
        <v>0</v>
      </c>
      <c r="C94" t="s">
        <v>592</v>
      </c>
      <c r="E94" s="493" t="str">
        <f>'TILE COPING'!F33</f>
        <v>Silver, Silver Vogue, River Silver, Bianco Dolomite, Dianna Royal, Skyline, Alaska Silver, Turkish Carrea</v>
      </c>
      <c r="F94" s="493"/>
      <c r="G94" s="493"/>
      <c r="H94" s="493"/>
      <c r="I94" s="493"/>
      <c r="J94" s="493"/>
    </row>
    <row r="95" spans="1:10" ht="15" thickBot="1">
      <c r="B95" s="152"/>
    </row>
    <row r="96" spans="1:10" ht="15" thickBot="1">
      <c r="A96" s="99" t="s">
        <v>810</v>
      </c>
      <c r="B96" s="118">
        <v>0</v>
      </c>
      <c r="C96" t="s">
        <v>592</v>
      </c>
    </row>
    <row r="97" spans="1:4" ht="15" thickBot="1">
      <c r="A97" s="99" t="s">
        <v>587</v>
      </c>
      <c r="B97" s="118">
        <v>1</v>
      </c>
      <c r="C97" t="s">
        <v>592</v>
      </c>
    </row>
    <row r="98" spans="1:4" ht="15" thickBot="1">
      <c r="A98" s="99" t="s">
        <v>1060</v>
      </c>
      <c r="B98" s="118">
        <v>0</v>
      </c>
      <c r="C98" t="s">
        <v>468</v>
      </c>
    </row>
    <row r="99" spans="1:4" ht="15" thickBot="1">
      <c r="B99" s="152"/>
    </row>
    <row r="100" spans="1:4" ht="15" thickBot="1">
      <c r="A100" s="405" t="s">
        <v>850</v>
      </c>
      <c r="B100" s="406">
        <v>1</v>
      </c>
      <c r="C100" s="153" t="s">
        <v>1087</v>
      </c>
      <c r="D100" s="153"/>
    </row>
    <row r="101" spans="1:4" ht="15" thickBot="1">
      <c r="B101" s="152"/>
    </row>
    <row r="102" spans="1:4" ht="18" thickBot="1">
      <c r="A102" s="490" t="s">
        <v>841</v>
      </c>
      <c r="B102" s="491"/>
      <c r="C102" s="491"/>
      <c r="D102" s="492"/>
    </row>
    <row r="103" spans="1:4" ht="15" thickBot="1">
      <c r="B103" s="152"/>
    </row>
    <row r="104" spans="1:4" ht="15" thickBot="1">
      <c r="A104" s="99" t="s">
        <v>1137</v>
      </c>
      <c r="B104" s="118">
        <v>0</v>
      </c>
      <c r="C104" t="s">
        <v>844</v>
      </c>
    </row>
    <row r="105" spans="1:4" ht="15" thickBot="1">
      <c r="A105" s="99" t="s">
        <v>1138</v>
      </c>
      <c r="B105" s="118">
        <v>0</v>
      </c>
      <c r="C105" t="s">
        <v>844</v>
      </c>
    </row>
    <row r="106" spans="1:4" ht="15" thickBot="1">
      <c r="A106" s="99" t="s">
        <v>1139</v>
      </c>
      <c r="B106" s="118">
        <v>0</v>
      </c>
      <c r="C106" t="s">
        <v>844</v>
      </c>
    </row>
    <row r="107" spans="1:4" ht="15" thickBot="1">
      <c r="A107" s="99" t="s">
        <v>1140</v>
      </c>
      <c r="B107" s="118">
        <v>0</v>
      </c>
      <c r="C107" t="s">
        <v>844</v>
      </c>
    </row>
    <row r="108" spans="1:4" ht="15" thickBot="1">
      <c r="B108" s="152"/>
    </row>
    <row r="109" spans="1:4" ht="18" thickBot="1">
      <c r="A109" s="490" t="s">
        <v>686</v>
      </c>
      <c r="B109" s="491"/>
      <c r="C109" s="491"/>
      <c r="D109" s="492"/>
    </row>
    <row r="110" spans="1:4" ht="15" thickBot="1">
      <c r="B110" s="152"/>
    </row>
    <row r="111" spans="1:4" ht="18" thickBot="1">
      <c r="A111" s="490" t="s">
        <v>689</v>
      </c>
      <c r="B111" s="491"/>
      <c r="C111" s="491"/>
      <c r="D111" s="492"/>
    </row>
    <row r="112" spans="1:4" ht="15" thickBot="1">
      <c r="B112" s="152"/>
    </row>
    <row r="113" spans="1:11" ht="15" thickBot="1">
      <c r="A113" s="212" t="s">
        <v>969</v>
      </c>
      <c r="B113" s="194">
        <v>1</v>
      </c>
      <c r="C113" s="497">
        <f>VLOOKUP(A113,EQUIP!M15:T17,8,FALSE)</f>
        <v>570</v>
      </c>
      <c r="D113" s="499"/>
    </row>
    <row r="114" spans="1:11" ht="15" thickBot="1">
      <c r="A114" s="212" t="s">
        <v>50</v>
      </c>
      <c r="B114" s="225">
        <f>IF(C114&gt;0,1,0)</f>
        <v>0</v>
      </c>
      <c r="C114" s="497">
        <f>VLOOKUP(A114,EQUIP!M14:S19,7,FALSE)</f>
        <v>0</v>
      </c>
      <c r="D114" s="499"/>
    </row>
    <row r="115" spans="1:11" ht="15" thickBot="1">
      <c r="A115" s="212" t="s">
        <v>50</v>
      </c>
      <c r="B115" s="225">
        <f>IF(C115&gt;0,1,0)</f>
        <v>0</v>
      </c>
      <c r="C115" s="497">
        <f>VLOOKUP(A115,EQUIP!M14:S19,7,FALSE)</f>
        <v>0</v>
      </c>
      <c r="D115" s="499"/>
    </row>
    <row r="116" spans="1:11" ht="15" thickBot="1">
      <c r="A116" s="117"/>
      <c r="B116" s="152"/>
    </row>
    <row r="117" spans="1:11" ht="15" thickBot="1">
      <c r="A117" s="212" t="s">
        <v>102</v>
      </c>
      <c r="B117" s="194">
        <v>1</v>
      </c>
      <c r="C117" s="497">
        <f>VLOOKUP(A117,EQUIP!M23:O28,3,FALSE)</f>
        <v>80</v>
      </c>
      <c r="D117" s="499"/>
    </row>
    <row r="118" spans="1:11" ht="15" thickBot="1">
      <c r="A118" s="117"/>
      <c r="B118" s="152"/>
    </row>
    <row r="119" spans="1:11" ht="15" thickBot="1">
      <c r="A119" s="212" t="s">
        <v>1117</v>
      </c>
      <c r="B119" s="194">
        <v>0</v>
      </c>
      <c r="C119" s="516">
        <f>VLOOKUP(A119,EQUIP!M31:S33,7,FALSE)</f>
        <v>2000</v>
      </c>
      <c r="D119" s="497"/>
    </row>
    <row r="120" spans="1:11" ht="15" thickBot="1">
      <c r="A120" s="117"/>
      <c r="B120" s="152"/>
      <c r="C120" s="343"/>
      <c r="D120" s="343"/>
    </row>
    <row r="121" spans="1:11" ht="15" thickBot="1">
      <c r="A121" s="212" t="s">
        <v>1118</v>
      </c>
      <c r="B121" s="118">
        <v>1</v>
      </c>
      <c r="C121" s="516">
        <f>VLOOKUP(A121,EQUIP!M36:S39,7,FALSE)</f>
        <v>4710</v>
      </c>
      <c r="D121" s="497"/>
      <c r="E121" s="494" t="str">
        <f>IF(A121="Jandy 260K BTU - JXI Heater", "CANNOT BE USED TO HEAT A SPA","")</f>
        <v/>
      </c>
      <c r="F121" s="495"/>
      <c r="G121" s="495"/>
      <c r="H121" s="495"/>
    </row>
    <row r="122" spans="1:11" ht="16.2" thickBot="1">
      <c r="A122" s="432" t="s">
        <v>933</v>
      </c>
      <c r="B122" s="482">
        <v>0</v>
      </c>
      <c r="C122" s="496">
        <f>B122*EQUIP!S39</f>
        <v>0</v>
      </c>
      <c r="D122" s="497"/>
      <c r="E122" s="502" t="str">
        <f>IF(B14&gt;0,"PROJECT HAS A SPA - SELECT YOUR HEATER","")</f>
        <v>PROJECT HAS A SPA - SELECT YOUR HEATER</v>
      </c>
      <c r="F122" s="502"/>
      <c r="G122" s="502"/>
      <c r="H122" s="502"/>
      <c r="I122" s="502"/>
      <c r="J122" s="502"/>
      <c r="K122" s="502"/>
    </row>
    <row r="123" spans="1:11" ht="16.2" thickBot="1">
      <c r="A123" s="117"/>
      <c r="B123" s="152"/>
      <c r="E123" s="481"/>
    </row>
    <row r="124" spans="1:11" ht="15" thickBot="1">
      <c r="A124" s="212" t="s">
        <v>694</v>
      </c>
      <c r="B124" s="359">
        <v>3</v>
      </c>
      <c r="C124" s="497">
        <f>IF(B124=2,"INCLUDED",IF(B124=1,-EQUIP!S121,((B124-2)*EQUIP!S45)))</f>
        <v>860</v>
      </c>
      <c r="D124" s="499"/>
    </row>
    <row r="125" spans="1:11" ht="16.2" thickBot="1">
      <c r="A125" s="212" t="s">
        <v>986</v>
      </c>
      <c r="B125" s="118">
        <f>EXC!C27</f>
        <v>1</v>
      </c>
      <c r="C125" s="500">
        <f>B125*EQUIP!S43</f>
        <v>755</v>
      </c>
      <c r="D125" s="501"/>
      <c r="E125" s="502" t="str">
        <f>IF(B14&gt;0,"PROJECT HAS A SPA - ADD SPA LIGHT","")</f>
        <v>PROJECT HAS A SPA - ADD SPA LIGHT</v>
      </c>
      <c r="F125" s="502"/>
      <c r="G125" s="502"/>
      <c r="H125" s="502"/>
      <c r="I125" s="502"/>
      <c r="J125" s="502"/>
      <c r="K125" s="502"/>
    </row>
    <row r="126" spans="1:11" ht="15" thickBot="1">
      <c r="B126" s="152"/>
    </row>
    <row r="127" spans="1:11" ht="15" thickBot="1">
      <c r="A127" s="217" t="s">
        <v>1078</v>
      </c>
      <c r="B127" s="194">
        <f>IF(C127&gt;0,1,0)</f>
        <v>1</v>
      </c>
      <c r="C127" s="497">
        <f>VLOOKUP(A127,EQUIP!M49:S57,7,FALSE)+(H127*EQUIP!S58)</f>
        <v>980</v>
      </c>
      <c r="D127" s="499"/>
      <c r="E127" s="226">
        <f>IF(C127=1280,1,0)</f>
        <v>0</v>
      </c>
      <c r="F127" s="226">
        <f>IF(A127=EQUIP!M57,1,0)</f>
        <v>1</v>
      </c>
      <c r="G127" s="351">
        <f>B131</f>
        <v>1</v>
      </c>
      <c r="H127" s="226">
        <f>F127*G127</f>
        <v>1</v>
      </c>
    </row>
    <row r="128" spans="1:11" ht="15" thickBot="1">
      <c r="A128" s="217" t="s">
        <v>126</v>
      </c>
      <c r="B128" s="194">
        <f>IF(C128&gt;0,1,0)</f>
        <v>0</v>
      </c>
      <c r="C128" s="497">
        <f>VLOOKUP(A128,EQUIP!M49:S57,7,FALSE)+(H128*EQUIP!S58)</f>
        <v>0</v>
      </c>
      <c r="D128" s="499"/>
      <c r="E128" s="226">
        <f>IF(C128=1280,1,0)</f>
        <v>0</v>
      </c>
      <c r="F128" s="226">
        <f>IF(A128=EQUIP!M57,1,0)</f>
        <v>0</v>
      </c>
      <c r="G128" s="351">
        <f>B131</f>
        <v>1</v>
      </c>
      <c r="H128" s="226">
        <f>F128*G128</f>
        <v>0</v>
      </c>
    </row>
    <row r="129" spans="1:11" ht="15" thickBot="1">
      <c r="A129" s="217" t="s">
        <v>126</v>
      </c>
      <c r="B129" s="194">
        <f>IF(C129&gt;0,1,0)</f>
        <v>0</v>
      </c>
      <c r="C129" s="497">
        <f>VLOOKUP(A129,EQUIP!M49:S57,7,FALSE)+(H129*EQUIP!S58)</f>
        <v>0</v>
      </c>
      <c r="D129" s="499"/>
      <c r="E129" s="226">
        <f>IF(C129=1280,1,0)</f>
        <v>0</v>
      </c>
      <c r="F129" s="226">
        <f>IF(A129=EQUIP!M57,1,0)</f>
        <v>0</v>
      </c>
      <c r="G129" s="351">
        <f>B131</f>
        <v>1</v>
      </c>
      <c r="H129" s="226">
        <f>F129*G129</f>
        <v>0</v>
      </c>
    </row>
    <row r="130" spans="1:11" ht="15" thickBot="1">
      <c r="B130" s="152"/>
      <c r="F130" s="352"/>
      <c r="G130" s="352"/>
      <c r="H130" s="352"/>
    </row>
    <row r="131" spans="1:11" ht="16.2" thickBot="1">
      <c r="A131" s="212" t="s">
        <v>1142</v>
      </c>
      <c r="B131" s="118">
        <v>1</v>
      </c>
      <c r="C131" s="515">
        <f>VLOOKUP(A131,EQUIP!M63:S72,7,FALSE)</f>
        <v>4033.3333333333335</v>
      </c>
      <c r="D131" s="497"/>
      <c r="E131" s="502" t="str">
        <f>IF(B14&gt;0,"PROJECT HAS A SPA - SELECT AUTOMATION","")</f>
        <v>PROJECT HAS A SPA - SELECT AUTOMATION</v>
      </c>
      <c r="F131" s="502"/>
      <c r="G131" s="502"/>
      <c r="H131" s="502"/>
      <c r="I131" s="502"/>
      <c r="J131" s="502"/>
      <c r="K131" s="502"/>
    </row>
    <row r="132" spans="1:11" ht="15" thickBot="1">
      <c r="B132" s="152"/>
    </row>
    <row r="133" spans="1:11" ht="15" thickBot="1">
      <c r="A133" s="212" t="s">
        <v>885</v>
      </c>
      <c r="B133" s="194">
        <f>IF(A133=EQUIP!M105,0,1)</f>
        <v>0</v>
      </c>
      <c r="C133" s="516">
        <f>VLOOKUP(A133,EQUIP!M105:S107,7,FALSE)+(ELEC!E15)</f>
        <v>0</v>
      </c>
      <c r="D133" s="497"/>
    </row>
    <row r="134" spans="1:11" ht="15" thickBot="1">
      <c r="A134" s="117" t="s">
        <v>867</v>
      </c>
      <c r="B134" s="194">
        <v>0</v>
      </c>
      <c r="C134" s="517" t="s">
        <v>468</v>
      </c>
      <c r="D134" s="518"/>
    </row>
    <row r="135" spans="1:11" ht="15" thickBot="1">
      <c r="B135" s="152"/>
    </row>
    <row r="136" spans="1:11" ht="18" thickBot="1">
      <c r="A136" s="490" t="s">
        <v>703</v>
      </c>
      <c r="B136" s="491"/>
      <c r="C136" s="491"/>
      <c r="D136" s="492"/>
    </row>
    <row r="137" spans="1:11" ht="15" thickBot="1">
      <c r="B137" s="152"/>
    </row>
    <row r="138" spans="1:11" ht="15" thickBot="1">
      <c r="A138" s="217" t="s">
        <v>139</v>
      </c>
      <c r="B138" s="194">
        <v>0</v>
      </c>
      <c r="C138" s="499">
        <f>EQUIP!S128</f>
        <v>0</v>
      </c>
      <c r="D138" s="499"/>
    </row>
    <row r="139" spans="1:11" ht="15" thickBot="1">
      <c r="A139" s="217" t="s">
        <v>139</v>
      </c>
      <c r="B139" s="194">
        <v>0</v>
      </c>
      <c r="C139" s="499">
        <f>EQUIP!S129</f>
        <v>0</v>
      </c>
      <c r="D139" s="499"/>
    </row>
    <row r="140" spans="1:11" ht="15" thickBot="1">
      <c r="A140" s="117"/>
      <c r="B140" s="152"/>
    </row>
    <row r="141" spans="1:11" ht="15" thickBot="1">
      <c r="A141" s="217" t="s">
        <v>704</v>
      </c>
      <c r="B141" s="194">
        <v>0</v>
      </c>
      <c r="C141" s="499">
        <f>VLOOKUP(A141,EQUIP!M130:S130,7,FALSE)</f>
        <v>0</v>
      </c>
      <c r="D141" s="499"/>
    </row>
    <row r="142" spans="1:11" ht="15" thickBot="1">
      <c r="A142" s="117"/>
      <c r="B142" s="152"/>
    </row>
    <row r="143" spans="1:11" ht="15" thickBot="1">
      <c r="A143" s="217" t="s">
        <v>705</v>
      </c>
      <c r="B143" s="194">
        <v>0</v>
      </c>
      <c r="C143" s="515">
        <f>VLOOKUP(A143,EQUIP!M131:S131,7,FALSE)</f>
        <v>0</v>
      </c>
      <c r="D143" s="497"/>
    </row>
    <row r="144" spans="1:11" ht="15" thickBot="1">
      <c r="A144" s="117"/>
      <c r="B144" s="152"/>
      <c r="C144" s="343"/>
      <c r="D144" s="343"/>
    </row>
    <row r="145" spans="1:5" ht="15" thickBot="1">
      <c r="A145" s="212" t="s">
        <v>830</v>
      </c>
      <c r="B145" s="194">
        <v>0</v>
      </c>
      <c r="C145" s="515">
        <f>VLOOKUP(A145,EQUIP!M132:S132,7,FALSE)</f>
        <v>0</v>
      </c>
      <c r="D145" s="497"/>
    </row>
    <row r="146" spans="1:5" ht="15" thickBot="1">
      <c r="B146" s="152"/>
    </row>
    <row r="147" spans="1:5" ht="18" thickBot="1">
      <c r="A147" s="490" t="s">
        <v>713</v>
      </c>
      <c r="B147" s="491"/>
      <c r="C147" s="491"/>
      <c r="D147" s="492"/>
      <c r="E147" s="153" t="s">
        <v>1068</v>
      </c>
    </row>
    <row r="148" spans="1:5" ht="15" thickBot="1">
      <c r="B148" s="152"/>
    </row>
    <row r="149" spans="1:5" ht="15" thickBot="1">
      <c r="A149" s="212" t="str">
        <f>CUSTOM!A3</f>
        <v>travertine cap for raised wall</v>
      </c>
      <c r="B149" s="194">
        <f>IF(C149&gt;0,1,0)</f>
        <v>1</v>
      </c>
      <c r="C149" s="497">
        <f>CUSTOM!G3</f>
        <v>1642.8571428571429</v>
      </c>
      <c r="D149" s="499"/>
      <c r="E149" t="s">
        <v>783</v>
      </c>
    </row>
    <row r="150" spans="1:5" ht="9.75" customHeight="1" thickBot="1">
      <c r="B150" s="152"/>
    </row>
    <row r="151" spans="1:5" ht="15" thickBot="1">
      <c r="A151" s="212" t="str">
        <f>CUSTOM!A5</f>
        <v>No Custom Feature</v>
      </c>
      <c r="B151" s="194">
        <f>IF(C151&gt;0,1,0)</f>
        <v>0</v>
      </c>
      <c r="C151" s="497">
        <f>CUSTOM!G5</f>
        <v>0</v>
      </c>
      <c r="D151" s="499"/>
      <c r="E151" t="s">
        <v>783</v>
      </c>
    </row>
    <row r="152" spans="1:5" ht="9.75" customHeight="1" thickBot="1">
      <c r="A152" s="117"/>
      <c r="B152" s="152"/>
      <c r="C152" s="343"/>
      <c r="D152" s="343"/>
    </row>
    <row r="153" spans="1:5" ht="15" thickBot="1">
      <c r="A153" s="212" t="str">
        <f>CUSTOM!A7</f>
        <v>No Custom Feature</v>
      </c>
      <c r="B153" s="194">
        <f>IF(C153&gt;0,1,0)</f>
        <v>0</v>
      </c>
      <c r="C153" s="497">
        <f>CUSTOM!G7</f>
        <v>0</v>
      </c>
      <c r="D153" s="499"/>
      <c r="E153" t="s">
        <v>783</v>
      </c>
    </row>
    <row r="154" spans="1:5" ht="9.75" customHeight="1" thickBot="1">
      <c r="A154" s="117"/>
      <c r="B154" s="152"/>
      <c r="C154" s="343"/>
      <c r="D154" s="343"/>
    </row>
    <row r="155" spans="1:5" ht="15" thickBot="1">
      <c r="A155" s="212" t="str">
        <f>CUSTOM!A9</f>
        <v>No Custom Feature</v>
      </c>
      <c r="B155" s="194">
        <f>IF(C155&gt;0,1,0)</f>
        <v>0</v>
      </c>
      <c r="C155" s="497">
        <f>CUSTOM!G9</f>
        <v>0</v>
      </c>
      <c r="D155" s="499"/>
      <c r="E155" t="s">
        <v>783</v>
      </c>
    </row>
    <row r="156" spans="1:5" ht="9.75" customHeight="1" thickBot="1">
      <c r="A156" s="117"/>
      <c r="B156" s="152"/>
      <c r="C156" s="343"/>
      <c r="D156" s="343"/>
    </row>
    <row r="157" spans="1:5" ht="15" thickBot="1">
      <c r="A157" s="212" t="str">
        <f>CUSTOM!A11</f>
        <v>No Custom Feature</v>
      </c>
      <c r="B157" s="194">
        <f>IF(C157&gt;0,1,0)</f>
        <v>0</v>
      </c>
      <c r="C157" s="497">
        <f>CUSTOM!G11</f>
        <v>0</v>
      </c>
      <c r="D157" s="499"/>
      <c r="E157" t="s">
        <v>783</v>
      </c>
    </row>
    <row r="158" spans="1:5" ht="9.75" customHeight="1" thickBot="1">
      <c r="B158" s="152"/>
    </row>
    <row r="159" spans="1:5" ht="15" thickBot="1">
      <c r="A159" s="212" t="str">
        <f>CUSTOM!A13</f>
        <v>No Custom Feature</v>
      </c>
      <c r="B159" s="194">
        <f>IF(C159&gt;0,1,0)</f>
        <v>0</v>
      </c>
      <c r="C159" s="497">
        <f>CUSTOM!G13</f>
        <v>0</v>
      </c>
      <c r="D159" s="499"/>
      <c r="E159" t="s">
        <v>783</v>
      </c>
    </row>
    <row r="160" spans="1:5" ht="9.75" customHeight="1" thickBot="1">
      <c r="A160" s="117"/>
      <c r="B160" s="152"/>
      <c r="C160" s="343"/>
      <c r="D160" s="343"/>
    </row>
    <row r="161" spans="1:14" ht="15" thickBot="1">
      <c r="A161" s="212" t="str">
        <f>CUSTOM!A15</f>
        <v>No Custom Feature</v>
      </c>
      <c r="B161" s="194">
        <f>IF(C161&gt;0,1,0)</f>
        <v>0</v>
      </c>
      <c r="C161" s="497">
        <f>CUSTOM!G15</f>
        <v>0</v>
      </c>
      <c r="D161" s="499"/>
      <c r="E161" t="s">
        <v>783</v>
      </c>
    </row>
    <row r="162" spans="1:14" ht="9.75" customHeight="1" thickBot="1">
      <c r="A162" s="117"/>
      <c r="B162" s="152"/>
      <c r="C162" s="343"/>
      <c r="D162" s="343"/>
    </row>
    <row r="163" spans="1:14" ht="15" thickBot="1">
      <c r="A163" s="212" t="str">
        <f>CUSTOM!A17</f>
        <v>No Custom Feature</v>
      </c>
      <c r="B163" s="194">
        <f>IF(C163&gt;0,1,0)</f>
        <v>0</v>
      </c>
      <c r="C163" s="497">
        <f>CUSTOM!G17</f>
        <v>0</v>
      </c>
      <c r="D163" s="499"/>
      <c r="E163" t="s">
        <v>783</v>
      </c>
    </row>
    <row r="164" spans="1:14" ht="15" thickBot="1">
      <c r="B164" s="152"/>
    </row>
    <row r="165" spans="1:14" ht="18" thickBot="1">
      <c r="A165" s="490" t="s">
        <v>1070</v>
      </c>
      <c r="B165" s="491"/>
      <c r="C165" s="491"/>
      <c r="D165" s="492"/>
    </row>
    <row r="166" spans="1:14" ht="15" customHeight="1" thickBot="1">
      <c r="A166" s="163"/>
      <c r="B166" s="175"/>
      <c r="C166" s="163"/>
      <c r="D166" s="163"/>
    </row>
    <row r="167" spans="1:14" ht="15" thickBot="1">
      <c r="A167" s="99" t="s">
        <v>1071</v>
      </c>
      <c r="B167" s="118">
        <v>28</v>
      </c>
      <c r="C167" t="s">
        <v>468</v>
      </c>
    </row>
    <row r="168" spans="1:14" ht="15" thickBot="1">
      <c r="B168" s="152"/>
    </row>
    <row r="169" spans="1:14" ht="18" thickBot="1">
      <c r="A169" s="490" t="s">
        <v>1057</v>
      </c>
      <c r="B169" s="491"/>
      <c r="C169" s="491"/>
      <c r="D169" s="492"/>
    </row>
    <row r="170" spans="1:14" ht="18" thickBot="1">
      <c r="A170" s="163"/>
      <c r="B170" s="175"/>
      <c r="C170" s="163"/>
      <c r="D170" s="163"/>
    </row>
    <row r="171" spans="1:14" ht="15" thickBot="1">
      <c r="A171" s="99" t="s">
        <v>1052</v>
      </c>
      <c r="B171" s="118">
        <v>0</v>
      </c>
      <c r="C171" t="s">
        <v>468</v>
      </c>
    </row>
    <row r="172" spans="1:14" ht="15" thickBot="1">
      <c r="B172" s="152"/>
    </row>
    <row r="173" spans="1:14" ht="18" thickBot="1">
      <c r="A173" s="490" t="s">
        <v>572</v>
      </c>
      <c r="B173" s="491"/>
      <c r="C173" s="491"/>
      <c r="D173" s="492"/>
    </row>
    <row r="174" spans="1:14" ht="15" thickBot="1"/>
    <row r="175" spans="1:14" ht="15.75" customHeight="1" thickBot="1">
      <c r="A175" s="347" t="s">
        <v>976</v>
      </c>
      <c r="B175" s="194">
        <v>1</v>
      </c>
      <c r="E175" s="498" t="str">
        <f>VLOOKUP(A175,INT!A6:R18,18,FALSE)</f>
        <v>Caribbean Blue / Sandy Beach / Tahoe Blue / White Pearl</v>
      </c>
      <c r="F175" s="498"/>
      <c r="G175" s="498"/>
      <c r="H175" s="498"/>
      <c r="I175" s="498"/>
      <c r="J175" s="498"/>
      <c r="K175" s="498"/>
      <c r="L175" s="498"/>
      <c r="M175" s="498"/>
      <c r="N175" s="437"/>
    </row>
    <row r="176" spans="1:14" ht="15" thickBot="1">
      <c r="B176" s="152"/>
      <c r="E176" s="437"/>
      <c r="F176" s="437"/>
      <c r="G176" s="437"/>
      <c r="H176" s="437"/>
      <c r="I176" s="437"/>
      <c r="J176" s="437"/>
      <c r="K176" s="437"/>
      <c r="L176" s="437"/>
      <c r="M176" s="437"/>
      <c r="N176" s="437"/>
    </row>
    <row r="177" spans="1:14" ht="15.75" customHeight="1" thickBot="1">
      <c r="A177" s="428" t="s">
        <v>913</v>
      </c>
      <c r="B177" s="427">
        <v>2</v>
      </c>
      <c r="C177" s="497">
        <f>'COST - NEW'!E299</f>
        <v>1155</v>
      </c>
      <c r="D177" s="499"/>
      <c r="E177" s="521" t="s">
        <v>914</v>
      </c>
      <c r="F177" s="521"/>
      <c r="G177" s="521"/>
      <c r="H177" s="521"/>
      <c r="I177" s="521"/>
      <c r="J177" s="521"/>
      <c r="K177" s="521"/>
      <c r="L177" s="521"/>
      <c r="M177" s="521"/>
      <c r="N177" s="521"/>
    </row>
    <row r="178" spans="1:14" ht="15" thickBot="1">
      <c r="B178" s="152"/>
      <c r="E178" s="404"/>
      <c r="F178" s="404"/>
      <c r="G178" s="404"/>
      <c r="H178" s="404"/>
      <c r="I178" s="404"/>
      <c r="J178" s="404"/>
      <c r="K178" s="404"/>
      <c r="L178" s="404"/>
      <c r="M178" s="404"/>
      <c r="N178" s="404"/>
    </row>
    <row r="179" spans="1:14" ht="15" thickBot="1">
      <c r="A179" t="s">
        <v>862</v>
      </c>
      <c r="B179" s="118">
        <v>0</v>
      </c>
      <c r="E179" s="404"/>
      <c r="F179" s="404"/>
      <c r="G179" s="404"/>
      <c r="H179" s="404"/>
      <c r="I179" s="404"/>
      <c r="J179" s="404"/>
      <c r="K179" s="404"/>
      <c r="L179" s="404"/>
      <c r="M179" s="404"/>
      <c r="N179" s="404"/>
    </row>
    <row r="180" spans="1:14" ht="15" thickBot="1">
      <c r="A180" s="405"/>
      <c r="B180" s="426"/>
      <c r="E180" s="404"/>
      <c r="F180" s="404"/>
      <c r="G180" s="404"/>
      <c r="H180" s="404"/>
      <c r="I180" s="404"/>
      <c r="J180" s="404"/>
      <c r="K180" s="404"/>
      <c r="L180" s="404"/>
      <c r="M180" s="404"/>
      <c r="N180" s="404"/>
    </row>
    <row r="181" spans="1:14" ht="18.899999999999999" customHeight="1" thickBot="1">
      <c r="A181" s="519" t="s">
        <v>637</v>
      </c>
      <c r="B181" s="520"/>
      <c r="C181" s="531">
        <f>CEILING('COST - NEW'!D344/'COST - NEW'!E344,10)+'COST - NEW'!E309</f>
        <v>147910</v>
      </c>
      <c r="D181" s="532"/>
      <c r="E181" s="153" t="s">
        <v>1069</v>
      </c>
    </row>
    <row r="182" spans="1:14" ht="15" thickBot="1"/>
    <row r="183" spans="1:14" ht="18.899999999999999" customHeight="1" thickBot="1">
      <c r="A183" s="529"/>
      <c r="B183" s="530"/>
      <c r="C183" s="527">
        <v>-10000</v>
      </c>
      <c r="D183" s="528"/>
    </row>
    <row r="184" spans="1:14" ht="15" thickBot="1"/>
    <row r="185" spans="1:14" ht="18.899999999999999" customHeight="1" thickBot="1">
      <c r="A185" s="529"/>
      <c r="B185" s="530"/>
      <c r="C185" s="527">
        <v>0</v>
      </c>
      <c r="D185" s="528"/>
    </row>
    <row r="186" spans="1:14" ht="15" thickBot="1"/>
    <row r="187" spans="1:14" ht="18.899999999999999" customHeight="1" thickBot="1">
      <c r="A187" s="529"/>
      <c r="B187" s="530"/>
      <c r="C187" s="527">
        <v>0</v>
      </c>
      <c r="D187" s="528"/>
    </row>
    <row r="188" spans="1:14" ht="15" thickBot="1"/>
    <row r="189" spans="1:14" ht="18.899999999999999" customHeight="1" thickBot="1">
      <c r="A189" s="529"/>
      <c r="B189" s="530"/>
      <c r="C189" s="527">
        <v>0</v>
      </c>
      <c r="D189" s="528"/>
    </row>
    <row r="190" spans="1:14" ht="15" thickBot="1"/>
    <row r="191" spans="1:14" ht="18.600000000000001" thickBot="1">
      <c r="A191" s="182" t="s">
        <v>676</v>
      </c>
      <c r="B191" s="349">
        <f>'COST - NEW'!E353*10</f>
        <v>1.7161884155427445</v>
      </c>
      <c r="C191" s="525">
        <f>SUM(C181:D190)</f>
        <v>137910</v>
      </c>
      <c r="D191" s="526"/>
      <c r="E191" s="153" t="s">
        <v>1069</v>
      </c>
    </row>
  </sheetData>
  <mergeCells count="64">
    <mergeCell ref="C185:D185"/>
    <mergeCell ref="C121:D121"/>
    <mergeCell ref="C131:D131"/>
    <mergeCell ref="C181:D181"/>
    <mergeCell ref="A136:D136"/>
    <mergeCell ref="C138:D138"/>
    <mergeCell ref="C151:D151"/>
    <mergeCell ref="C149:D149"/>
    <mergeCell ref="C139:D139"/>
    <mergeCell ref="C141:D141"/>
    <mergeCell ref="C143:D143"/>
    <mergeCell ref="A147:D147"/>
    <mergeCell ref="C183:D183"/>
    <mergeCell ref="C128:D128"/>
    <mergeCell ref="C129:D129"/>
    <mergeCell ref="A173:D173"/>
    <mergeCell ref="A181:B181"/>
    <mergeCell ref="C177:D177"/>
    <mergeCell ref="E177:N177"/>
    <mergeCell ref="A1:H1"/>
    <mergeCell ref="C191:D191"/>
    <mergeCell ref="A109:D109"/>
    <mergeCell ref="C187:D187"/>
    <mergeCell ref="C189:D189"/>
    <mergeCell ref="A187:B187"/>
    <mergeCell ref="A185:B185"/>
    <mergeCell ref="A183:B183"/>
    <mergeCell ref="A189:B189"/>
    <mergeCell ref="C115:D115"/>
    <mergeCell ref="C117:D117"/>
    <mergeCell ref="C119:D119"/>
    <mergeCell ref="C124:D124"/>
    <mergeCell ref="B3:E3"/>
    <mergeCell ref="B4:E4"/>
    <mergeCell ref="C153:D153"/>
    <mergeCell ref="C155:D155"/>
    <mergeCell ref="A30:D30"/>
    <mergeCell ref="A55:D55"/>
    <mergeCell ref="A75:D75"/>
    <mergeCell ref="D32:H37"/>
    <mergeCell ref="D40:H40"/>
    <mergeCell ref="A111:D111"/>
    <mergeCell ref="C113:D113"/>
    <mergeCell ref="C114:D114"/>
    <mergeCell ref="C145:D145"/>
    <mergeCell ref="E93:I93"/>
    <mergeCell ref="C133:D133"/>
    <mergeCell ref="C134:D134"/>
    <mergeCell ref="A102:D102"/>
    <mergeCell ref="E94:J94"/>
    <mergeCell ref="E121:H121"/>
    <mergeCell ref="C122:D122"/>
    <mergeCell ref="E175:M175"/>
    <mergeCell ref="C127:D127"/>
    <mergeCell ref="C125:D125"/>
    <mergeCell ref="A165:D165"/>
    <mergeCell ref="C157:D157"/>
    <mergeCell ref="C159:D159"/>
    <mergeCell ref="C161:D161"/>
    <mergeCell ref="C163:D163"/>
    <mergeCell ref="A169:D169"/>
    <mergeCell ref="E122:K122"/>
    <mergeCell ref="E125:K125"/>
    <mergeCell ref="E131:K131"/>
  </mergeCells>
  <phoneticPr fontId="47" type="noConversion"/>
  <conditionalFormatting sqref="B121">
    <cfRule type="cellIs" dxfId="15" priority="7" operator="greaterThan">
      <formula>0</formula>
    </cfRule>
    <cfRule type="cellIs" dxfId="14" priority="9" operator="greaterThan">
      <formula>0</formula>
    </cfRule>
    <cfRule type="cellIs" dxfId="13" priority="10" operator="greaterThan">
      <formula>1</formula>
    </cfRule>
    <cfRule type="cellIs" dxfId="12" priority="11" operator="greaterThan">
      <formula>1</formula>
    </cfRule>
    <cfRule type="cellIs" dxfId="11" priority="12" operator="greaterThan">
      <formula>0</formula>
    </cfRule>
  </conditionalFormatting>
  <conditionalFormatting sqref="B125">
    <cfRule type="cellIs" dxfId="10" priority="1" operator="greaterThan">
      <formula>0</formula>
    </cfRule>
  </conditionalFormatting>
  <conditionalFormatting sqref="B131">
    <cfRule type="cellIs" dxfId="9" priority="2" operator="greaterThan">
      <formula>0</formula>
    </cfRule>
    <cfRule type="cellIs" dxfId="8" priority="3" operator="greaterThan">
      <formula>0</formula>
    </cfRule>
    <cfRule type="cellIs" dxfId="7" priority="4" operator="greaterThan">
      <formula>1</formula>
    </cfRule>
    <cfRule type="cellIs" dxfId="6" priority="5" operator="greaterThan">
      <formula>1</formula>
    </cfRule>
    <cfRule type="cellIs" dxfId="5" priority="6" operator="greaterThan">
      <formula>0</formula>
    </cfRule>
  </conditionalFormatting>
  <pageMargins left="0.7" right="0.7" top="0.75" bottom="0.75" header="0.3" footer="0.3"/>
  <pageSetup scale="53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24">
        <x14:dataValidation type="list" allowBlank="1" showInputMessage="1" showErrorMessage="1" xr:uid="{0FCD2DBB-ABF5-4DB6-BFCA-9D79AFC081FA}">
          <x14:formula1>
            <xm:f>EQUIP!$M$15:$M$17</xm:f>
          </x14:formula1>
          <xm:sqref>A113</xm:sqref>
        </x14:dataValidation>
        <x14:dataValidation type="list" allowBlank="1" showInputMessage="1" showErrorMessage="1" xr:uid="{F50866CF-779E-46F0-A034-A3D5150F6C48}">
          <x14:formula1>
            <xm:f>EQUIP!$M$23:$M$28</xm:f>
          </x14:formula1>
          <xm:sqref>A117</xm:sqref>
        </x14:dataValidation>
        <x14:dataValidation type="list" allowBlank="1" showInputMessage="1" showErrorMessage="1" xr:uid="{C847D7A7-DECD-4DB4-8305-75FC4C5A5510}">
          <x14:formula1>
            <xm:f>EQUIP!$M$42:$M$43</xm:f>
          </x14:formula1>
          <xm:sqref>A125</xm:sqref>
        </x14:dataValidation>
        <x14:dataValidation type="list" allowBlank="1" showInputMessage="1" showErrorMessage="1" xr:uid="{1462254E-4AAB-4436-9594-A1045760DEDA}">
          <x14:formula1>
            <xm:f>EQUIP!$M$44:$M$45</xm:f>
          </x14:formula1>
          <xm:sqref>A124</xm:sqref>
        </x14:dataValidation>
        <x14:dataValidation type="list" allowBlank="1" showInputMessage="1" showErrorMessage="1" xr:uid="{88909C39-48E4-4560-B6D6-0D143338331F}">
          <x14:formula1>
            <xm:f>EQUIP!$M$49:$M$57</xm:f>
          </x14:formula1>
          <xm:sqref>A127:A129</xm:sqref>
        </x14:dataValidation>
        <x14:dataValidation type="list" allowBlank="1" showInputMessage="1" showErrorMessage="1" xr:uid="{D5E5B8B1-77AE-462D-9AC3-AE30383722EB}">
          <x14:formula1>
            <xm:f>EQUIP!$M$63:$M$72</xm:f>
          </x14:formula1>
          <xm:sqref>A131</xm:sqref>
        </x14:dataValidation>
        <x14:dataValidation type="list" allowBlank="1" showInputMessage="1" showErrorMessage="1" xr:uid="{611E98C8-1F1D-46EA-8266-7446FF9ACEB5}">
          <x14:formula1>
            <xm:f>EQUIP!$M$76:$M$83</xm:f>
          </x14:formula1>
          <xm:sqref>A138:A139</xm:sqref>
        </x14:dataValidation>
        <x14:dataValidation type="list" allowBlank="1" showInputMessage="1" showErrorMessage="1" xr:uid="{377FD163-B9C2-4D90-A49D-CF249D068D46}">
          <x14:formula1>
            <xm:f>EQUIP!$M$87:$M$96</xm:f>
          </x14:formula1>
          <xm:sqref>A141</xm:sqref>
        </x14:dataValidation>
        <x14:dataValidation type="list" allowBlank="1" showInputMessage="1" showErrorMessage="1" xr:uid="{CF07C1EC-C9D2-4F0D-9294-2CF35CC67E18}">
          <x14:formula1>
            <xm:f>EQUIP!$M$84:$M$86</xm:f>
          </x14:formula1>
          <xm:sqref>A143</xm:sqref>
        </x14:dataValidation>
        <x14:dataValidation type="list" allowBlank="1" showInputMessage="1" showErrorMessage="1" xr:uid="{B2D014F8-052B-4505-A8A4-ED72D85C522F}">
          <x14:formula1>
            <xm:f>FIBER!$B$32:$B$34</xm:f>
          </x14:formula1>
          <xm:sqref>A24</xm:sqref>
        </x14:dataValidation>
        <x14:dataValidation type="list" allowBlank="1" showInputMessage="1" showErrorMessage="1" xr:uid="{B45F6624-53C2-4CBB-861B-67A7FF11E5DE}">
          <x14:formula1>
            <xm:f>FIBER!$Q$66:$Q$69</xm:f>
          </x14:formula1>
          <xm:sqref>A28</xm:sqref>
        </x14:dataValidation>
        <x14:dataValidation type="list" allowBlank="1" showInputMessage="1" showErrorMessage="1" xr:uid="{4C47E28C-7EE3-4B7D-BCD7-CF5C4022EAF7}">
          <x14:formula1>
            <xm:f>EQUIP!$M$14:$M$19</xm:f>
          </x14:formula1>
          <xm:sqref>A114:A115</xm:sqref>
        </x14:dataValidation>
        <x14:dataValidation type="list" allowBlank="1" showInputMessage="1" showErrorMessage="1" xr:uid="{E50ED872-04DB-430E-B0F6-5ACA80D4414B}">
          <x14:formula1>
            <xm:f>FIBER!$P$42:$P$43</xm:f>
          </x14:formula1>
          <xm:sqref>A26</xm:sqref>
        </x14:dataValidation>
        <x14:dataValidation type="list" allowBlank="1" showInputMessage="1" showErrorMessage="1" xr:uid="{76BFE054-5005-4F4D-95DB-CECE81B2CAD9}">
          <x14:formula1>
            <xm:f>EQUIP!$M$36:$M$38</xm:f>
          </x14:formula1>
          <xm:sqref>A121</xm:sqref>
        </x14:dataValidation>
        <x14:dataValidation type="list" allowBlank="1" showInputMessage="1" showErrorMessage="1" xr:uid="{88D9FFE1-4CED-4B60-B61C-8F0D6EEBE5EC}">
          <x14:formula1>
            <xm:f>EQUIP!$M$97:$M$98</xm:f>
          </x14:formula1>
          <xm:sqref>A145</xm:sqref>
        </x14:dataValidation>
        <x14:dataValidation type="list" allowBlank="1" showInputMessage="1" showErrorMessage="1" xr:uid="{636FC285-3B9A-4493-9B2B-065317C36816}">
          <x14:formula1>
            <xm:f>INT!$A$6:$A$18</xm:f>
          </x14:formula1>
          <xm:sqref>A175</xm:sqref>
        </x14:dataValidation>
        <x14:dataValidation type="list" allowBlank="1" showInputMessage="1" showErrorMessage="1" xr:uid="{DB4CBCE1-34FE-4DD1-B3EA-545F0EBC86B2}">
          <x14:formula1>
            <xm:f>FIBER!$B$4:$B$9</xm:f>
          </x14:formula1>
          <xm:sqref>A21</xm:sqref>
        </x14:dataValidation>
        <x14:dataValidation type="list" allowBlank="1" showInputMessage="1" showErrorMessage="1" xr:uid="{94FC9F98-E0E2-42B4-966C-1EBC39B83C6E}">
          <x14:formula1>
            <xm:f>FIBER!$B$11:$B$18</xm:f>
          </x14:formula1>
          <xm:sqref>A22</xm:sqref>
        </x14:dataValidation>
        <x14:dataValidation type="list" allowBlank="1" showInputMessage="1" showErrorMessage="1" xr:uid="{E591CC00-BDEB-4ECD-9167-FC4C3C378855}">
          <x14:formula1>
            <xm:f>FIBER!$B$20:$B$30</xm:f>
          </x14:formula1>
          <xm:sqref>A23</xm:sqref>
        </x14:dataValidation>
        <x14:dataValidation type="list" allowBlank="1" showInputMessage="1" showErrorMessage="1" xr:uid="{A62E2463-EBD2-435F-BA74-37FDFCFCE6ED}">
          <x14:formula1>
            <xm:f>FIBER!$B$36:$B$41</xm:f>
          </x14:formula1>
          <xm:sqref>A25</xm:sqref>
        </x14:dataValidation>
        <x14:dataValidation type="list" allowBlank="1" showInputMessage="1" showErrorMessage="1" xr:uid="{4468EA5E-8280-4BEB-BF1C-F1D07993298A}">
          <x14:formula1>
            <xm:f>FIBER!$B$49:$B$55</xm:f>
          </x14:formula1>
          <xm:sqref>A27</xm:sqref>
        </x14:dataValidation>
        <x14:dataValidation type="list" allowBlank="1" showInputMessage="1" showErrorMessage="1" xr:uid="{2E9328F4-E91C-4854-9F72-483FA62003EF}">
          <x14:formula1>
            <xm:f>EQUIP!$M$105:$M$107</xm:f>
          </x14:formula1>
          <xm:sqref>A133</xm:sqref>
        </x14:dataValidation>
        <x14:dataValidation type="list" allowBlank="1" showInputMessage="1" showErrorMessage="1" xr:uid="{BB5C84D6-2800-4D5B-AB3B-12837DDE2322}">
          <x14:formula1>
            <xm:f>MASONRY!$A$5:$A$17</xm:f>
          </x14:formula1>
          <xm:sqref>A171</xm:sqref>
        </x14:dataValidation>
        <x14:dataValidation type="list" allowBlank="1" showInputMessage="1" showErrorMessage="1" xr:uid="{41461863-B863-4635-885D-319A6E7E22B3}">
          <x14:formula1>
            <xm:f>EQUIP!$M$32:$M$33</xm:f>
          </x14:formula1>
          <xm:sqref>A119:A120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215C6-E810-4BEF-B035-07F893BC2003}">
  <sheetPr codeName="Sheet3"/>
  <dimension ref="A1:H17"/>
  <sheetViews>
    <sheetView zoomScaleNormal="100" workbookViewId="0">
      <selection activeCell="G22" sqref="G22"/>
    </sheetView>
  </sheetViews>
  <sheetFormatPr defaultRowHeight="14.4"/>
  <cols>
    <col min="1" max="1" width="43.33203125" customWidth="1"/>
    <col min="3" max="5" width="14.44140625" customWidth="1"/>
    <col min="7" max="7" width="17.5546875" customWidth="1"/>
  </cols>
  <sheetData>
    <row r="1" spans="1:8">
      <c r="C1" s="345" t="s">
        <v>714</v>
      </c>
      <c r="D1" s="345" t="s">
        <v>715</v>
      </c>
      <c r="E1" s="345" t="s">
        <v>571</v>
      </c>
      <c r="G1" s="346"/>
    </row>
    <row r="2" spans="1:8">
      <c r="C2" s="149" t="s">
        <v>26</v>
      </c>
      <c r="D2" s="149" t="s">
        <v>26</v>
      </c>
      <c r="E2" s="149" t="s">
        <v>26</v>
      </c>
      <c r="G2" s="149" t="s">
        <v>16</v>
      </c>
    </row>
    <row r="3" spans="1:8">
      <c r="A3" s="7" t="s">
        <v>1143</v>
      </c>
      <c r="B3" s="28"/>
      <c r="C3" s="67">
        <v>550</v>
      </c>
      <c r="D3" s="67">
        <v>600</v>
      </c>
      <c r="E3" s="29">
        <f>C3+D3</f>
        <v>1150</v>
      </c>
      <c r="F3" s="244">
        <v>0.7</v>
      </c>
      <c r="G3" s="30">
        <f>E3/F3</f>
        <v>1642.8571428571429</v>
      </c>
    </row>
    <row r="4" spans="1:8">
      <c r="A4" t="s">
        <v>1144</v>
      </c>
    </row>
    <row r="5" spans="1:8">
      <c r="A5" s="7" t="s">
        <v>981</v>
      </c>
      <c r="B5" s="28"/>
      <c r="C5" s="67">
        <v>0</v>
      </c>
      <c r="D5" s="67">
        <v>0</v>
      </c>
      <c r="E5" s="29">
        <f>C5+D5</f>
        <v>0</v>
      </c>
      <c r="F5" s="244">
        <v>0.7</v>
      </c>
      <c r="G5" s="30">
        <f>E5/F5</f>
        <v>0</v>
      </c>
    </row>
    <row r="6" spans="1:8">
      <c r="A6" s="4"/>
    </row>
    <row r="7" spans="1:8">
      <c r="A7" s="7" t="s">
        <v>981</v>
      </c>
      <c r="B7" s="28"/>
      <c r="C7" s="67">
        <v>0</v>
      </c>
      <c r="D7" s="67">
        <v>0</v>
      </c>
      <c r="E7" s="29">
        <f>C7+D7</f>
        <v>0</v>
      </c>
      <c r="F7" s="244">
        <v>0.7</v>
      </c>
      <c r="G7" s="30">
        <f>E7/F7</f>
        <v>0</v>
      </c>
      <c r="H7" s="484"/>
    </row>
    <row r="8" spans="1:8">
      <c r="A8" s="4"/>
    </row>
    <row r="9" spans="1:8">
      <c r="A9" s="7" t="s">
        <v>981</v>
      </c>
      <c r="B9" s="28"/>
      <c r="C9" s="67">
        <v>0</v>
      </c>
      <c r="D9" s="67">
        <v>0</v>
      </c>
      <c r="E9" s="29">
        <f>C9+D9</f>
        <v>0</v>
      </c>
      <c r="F9" s="244">
        <v>0.7</v>
      </c>
      <c r="G9" s="30">
        <f>E9/F9</f>
        <v>0</v>
      </c>
    </row>
    <row r="10" spans="1:8">
      <c r="A10" s="4"/>
    </row>
    <row r="11" spans="1:8">
      <c r="A11" s="7" t="s">
        <v>981</v>
      </c>
      <c r="B11" s="28"/>
      <c r="C11" s="67">
        <v>0</v>
      </c>
      <c r="D11" s="67">
        <v>0</v>
      </c>
      <c r="E11" s="29">
        <f>C11+D11</f>
        <v>0</v>
      </c>
      <c r="F11" s="244">
        <v>0.7</v>
      </c>
      <c r="G11" s="30">
        <f>E11/F11</f>
        <v>0</v>
      </c>
    </row>
    <row r="12" spans="1:8">
      <c r="A12" s="4"/>
    </row>
    <row r="13" spans="1:8">
      <c r="A13" s="7" t="s">
        <v>981</v>
      </c>
      <c r="B13" s="28"/>
      <c r="C13" s="67">
        <v>0</v>
      </c>
      <c r="D13" s="67">
        <v>0</v>
      </c>
      <c r="E13" s="29">
        <f>C13+D13</f>
        <v>0</v>
      </c>
      <c r="F13" s="244">
        <v>0.7</v>
      </c>
      <c r="G13" s="30">
        <f>E13/F13</f>
        <v>0</v>
      </c>
    </row>
    <row r="14" spans="1:8">
      <c r="A14" s="4"/>
    </row>
    <row r="15" spans="1:8">
      <c r="A15" s="7" t="s">
        <v>981</v>
      </c>
      <c r="B15" s="28"/>
      <c r="C15" s="67">
        <v>0</v>
      </c>
      <c r="D15" s="67">
        <v>0</v>
      </c>
      <c r="E15" s="29">
        <f>C15+D15</f>
        <v>0</v>
      </c>
      <c r="F15" s="244">
        <v>0.7</v>
      </c>
      <c r="G15" s="30">
        <f>E15/F15</f>
        <v>0</v>
      </c>
    </row>
    <row r="16" spans="1:8">
      <c r="A16" s="4"/>
    </row>
    <row r="17" spans="1:7">
      <c r="A17" s="7" t="s">
        <v>981</v>
      </c>
      <c r="B17" s="28"/>
      <c r="C17" s="67">
        <v>0</v>
      </c>
      <c r="D17" s="67">
        <v>0</v>
      </c>
      <c r="E17" s="29">
        <f>C17+D17</f>
        <v>0</v>
      </c>
      <c r="F17" s="244">
        <v>0.7</v>
      </c>
      <c r="G17" s="30">
        <f>E17/F17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D2DB-8CD3-4072-9B57-A38BA91E870A}">
  <sheetPr codeName="Sheet4"/>
  <dimension ref="A1:J156"/>
  <sheetViews>
    <sheetView topLeftCell="A82" zoomScaleNormal="100" workbookViewId="0">
      <selection activeCell="B127" sqref="B127:E129"/>
    </sheetView>
  </sheetViews>
  <sheetFormatPr defaultRowHeight="14.4"/>
  <cols>
    <col min="1" max="1" width="32.109375" customWidth="1"/>
    <col min="2" max="3" width="7.5546875" customWidth="1"/>
    <col min="4" max="4" width="7.88671875" customWidth="1"/>
    <col min="5" max="5" width="10.5546875" customWidth="1"/>
    <col min="6" max="6" width="23.109375" customWidth="1"/>
    <col min="7" max="7" width="13.88671875" customWidth="1"/>
  </cols>
  <sheetData>
    <row r="1" spans="1:7">
      <c r="A1" s="80"/>
      <c r="B1" s="603">
        <v>2025</v>
      </c>
      <c r="C1" s="603"/>
      <c r="D1" s="603"/>
      <c r="E1" s="603"/>
      <c r="F1" s="604" t="s">
        <v>361</v>
      </c>
      <c r="G1" s="604"/>
    </row>
    <row r="2" spans="1:7">
      <c r="A2" s="80"/>
      <c r="B2" s="603"/>
      <c r="C2" s="603"/>
      <c r="D2" s="603"/>
      <c r="E2" s="603"/>
      <c r="F2" s="586" t="s">
        <v>432</v>
      </c>
      <c r="G2" s="586"/>
    </row>
    <row r="3" spans="1:7">
      <c r="A3" s="80"/>
      <c r="B3" s="603"/>
      <c r="C3" s="603"/>
      <c r="D3" s="603"/>
      <c r="E3" s="603"/>
      <c r="F3" s="586"/>
      <c r="G3" s="586"/>
    </row>
    <row r="4" spans="1:7" ht="18.600000000000001" customHeight="1">
      <c r="A4" s="80"/>
      <c r="B4" s="533"/>
      <c r="C4" s="533"/>
      <c r="D4" s="533"/>
      <c r="E4" s="533"/>
      <c r="F4" s="595" t="s">
        <v>1100</v>
      </c>
      <c r="G4" s="595"/>
    </row>
    <row r="5" spans="1:7" ht="18.600000000000001" customHeight="1">
      <c r="A5" s="80"/>
      <c r="B5" s="355"/>
      <c r="C5" s="355"/>
      <c r="D5" s="355"/>
      <c r="E5" s="355"/>
      <c r="F5" s="595" t="s">
        <v>1101</v>
      </c>
      <c r="G5" s="595"/>
    </row>
    <row r="6" spans="1:7" ht="18.600000000000001" customHeight="1">
      <c r="A6" s="80"/>
      <c r="B6" s="534" t="s">
        <v>799</v>
      </c>
      <c r="C6" s="534"/>
      <c r="D6" s="534"/>
      <c r="E6" s="534"/>
      <c r="F6" s="609" t="s">
        <v>1102</v>
      </c>
      <c r="G6" s="610"/>
    </row>
    <row r="7" spans="1:7" ht="14.4" customHeight="1">
      <c r="A7" s="559" t="s">
        <v>719</v>
      </c>
      <c r="B7" s="573" t="str">
        <f>'NEW POOL'!B3</f>
        <v>Daisy Burger no sale</v>
      </c>
      <c r="C7" s="573"/>
      <c r="D7" s="573"/>
      <c r="E7" s="573"/>
      <c r="F7" s="543">
        <f ca="1">TODAY()</f>
        <v>45995</v>
      </c>
      <c r="G7" s="544"/>
    </row>
    <row r="8" spans="1:7" ht="14.4" customHeight="1">
      <c r="A8" s="560"/>
      <c r="B8" s="573">
        <f>'NEW POOL'!B4</f>
        <v>0</v>
      </c>
      <c r="C8" s="573"/>
      <c r="D8" s="573"/>
      <c r="E8" s="573"/>
      <c r="F8" s="545"/>
      <c r="G8" s="546"/>
    </row>
    <row r="9" spans="1:7">
      <c r="A9" s="68"/>
      <c r="B9" s="68"/>
      <c r="C9" s="68"/>
      <c r="D9" s="68"/>
      <c r="E9" s="68"/>
      <c r="F9" s="68"/>
    </row>
    <row r="10" spans="1:7">
      <c r="A10" s="247" t="s">
        <v>362</v>
      </c>
      <c r="B10" s="79" t="s">
        <v>364</v>
      </c>
      <c r="C10" s="79" t="s">
        <v>363</v>
      </c>
      <c r="D10" s="79" t="s">
        <v>14</v>
      </c>
      <c r="E10" s="79" t="s">
        <v>15</v>
      </c>
      <c r="F10" s="565" t="s">
        <v>365</v>
      </c>
      <c r="G10" s="566"/>
    </row>
    <row r="11" spans="1:7" ht="22.5" customHeight="1">
      <c r="A11" s="246" t="s">
        <v>720</v>
      </c>
      <c r="B11" s="333">
        <f>'NEW POOL'!E7</f>
        <v>18</v>
      </c>
      <c r="C11" s="333">
        <f>'NEW POOL'!E8</f>
        <v>40</v>
      </c>
      <c r="D11" s="333">
        <f>'NEW POOL'!B9</f>
        <v>3.5</v>
      </c>
      <c r="E11" s="171">
        <f>'NEW POOL'!B10</f>
        <v>6</v>
      </c>
      <c r="F11" s="557"/>
      <c r="G11" s="557"/>
    </row>
    <row r="12" spans="1:7" ht="22.5" customHeight="1">
      <c r="A12" s="246" t="s">
        <v>721</v>
      </c>
      <c r="B12" s="172">
        <f>'NEW POOL'!B15</f>
        <v>7</v>
      </c>
      <c r="C12" s="173">
        <f>'NEW POOL'!B14</f>
        <v>7</v>
      </c>
      <c r="D12" s="173">
        <f>IF(B12&gt;0,3,0)</f>
        <v>3</v>
      </c>
      <c r="E12" s="173">
        <v>0</v>
      </c>
      <c r="F12" s="557" t="str">
        <f>IF(C12=0,"No Spa","Split Bench for Customized Therapy")</f>
        <v>Split Bench for Customized Therapy</v>
      </c>
      <c r="G12" s="557"/>
    </row>
    <row r="13" spans="1:7" ht="14.4" customHeight="1">
      <c r="A13" s="540" t="str">
        <f>IF(I43=1,"Shell:","Notes:")</f>
        <v>Notes:</v>
      </c>
      <c r="B13" s="540" t="str">
        <f>IF('NEW POOL'!A21="Fiberglass - Small","",'NEW POOL'!A21)</f>
        <v/>
      </c>
      <c r="C13" s="541"/>
      <c r="D13" s="541"/>
      <c r="E13" s="541"/>
      <c r="F13" s="541"/>
      <c r="G13" s="542"/>
    </row>
    <row r="14" spans="1:7" ht="14.4" customHeight="1">
      <c r="A14" s="550"/>
      <c r="B14" s="540" t="str">
        <f>IF('NEW POOL'!A22="Fiberglass - Medium","",'NEW POOL'!A22)</f>
        <v/>
      </c>
      <c r="C14" s="541"/>
      <c r="D14" s="541"/>
      <c r="E14" s="541"/>
      <c r="F14" s="541"/>
      <c r="G14" s="542"/>
    </row>
    <row r="15" spans="1:7">
      <c r="A15" s="551"/>
      <c r="B15" s="538" t="str">
        <f>IF('NEW POOL'!A23="Fiberglass - Large","",'NEW POOL'!A23)</f>
        <v/>
      </c>
      <c r="C15" s="570"/>
      <c r="D15" s="570"/>
      <c r="E15" s="570"/>
      <c r="F15" s="570"/>
      <c r="G15" s="539"/>
    </row>
    <row r="16" spans="1:7" ht="17.399999999999999">
      <c r="A16" s="69"/>
      <c r="B16" s="69"/>
      <c r="C16" s="69"/>
      <c r="D16" s="69"/>
      <c r="E16" s="69"/>
      <c r="F16" s="69"/>
    </row>
    <row r="17" spans="1:7" ht="15.6" customHeight="1">
      <c r="A17" s="552" t="s">
        <v>367</v>
      </c>
      <c r="B17" s="553"/>
      <c r="C17" s="553"/>
      <c r="D17" s="553"/>
      <c r="E17" s="554"/>
      <c r="F17" s="558" t="s">
        <v>365</v>
      </c>
      <c r="G17" s="558"/>
    </row>
    <row r="18" spans="1:7" ht="33" customHeight="1">
      <c r="A18" s="547" t="s">
        <v>368</v>
      </c>
      <c r="B18" s="548"/>
      <c r="C18" s="548"/>
      <c r="D18" s="548"/>
      <c r="E18" s="549"/>
      <c r="F18" s="557"/>
      <c r="G18" s="557"/>
    </row>
    <row r="19" spans="1:7" ht="15.6" customHeight="1">
      <c r="A19" s="547" t="s">
        <v>369</v>
      </c>
      <c r="B19" s="555"/>
      <c r="C19" s="555"/>
      <c r="D19" s="555"/>
      <c r="E19" s="556"/>
      <c r="F19" s="557" t="s">
        <v>370</v>
      </c>
      <c r="G19" s="557"/>
    </row>
    <row r="20" spans="1:7" ht="15.6" customHeight="1">
      <c r="A20" s="563" t="s">
        <v>366</v>
      </c>
      <c r="B20" s="540"/>
      <c r="C20" s="541"/>
      <c r="D20" s="541"/>
      <c r="E20" s="541"/>
      <c r="F20" s="541"/>
      <c r="G20" s="542"/>
    </row>
    <row r="21" spans="1:7" ht="15.6" customHeight="1">
      <c r="A21" s="564"/>
      <c r="B21" s="567"/>
      <c r="C21" s="568"/>
      <c r="D21" s="568"/>
      <c r="E21" s="568"/>
      <c r="F21" s="568"/>
      <c r="G21" s="569"/>
    </row>
    <row r="22" spans="1:7" ht="15.6" customHeight="1">
      <c r="A22" s="68"/>
      <c r="B22" s="68"/>
      <c r="C22" s="68"/>
      <c r="D22" s="68"/>
      <c r="E22" s="68"/>
      <c r="F22" s="68"/>
    </row>
    <row r="23" spans="1:7" ht="15.6" customHeight="1">
      <c r="A23" s="552" t="s">
        <v>371</v>
      </c>
      <c r="B23" s="553"/>
      <c r="C23" s="553"/>
      <c r="D23" s="553"/>
      <c r="E23" s="554"/>
      <c r="F23" s="558" t="s">
        <v>365</v>
      </c>
      <c r="G23" s="558"/>
    </row>
    <row r="24" spans="1:7" ht="15.6" customHeight="1">
      <c r="A24" s="547" t="s">
        <v>372</v>
      </c>
      <c r="B24" s="548"/>
      <c r="C24" s="548"/>
      <c r="D24" s="548"/>
      <c r="E24" s="549"/>
      <c r="F24" s="557" t="s">
        <v>439</v>
      </c>
      <c r="G24" s="557"/>
    </row>
    <row r="25" spans="1:7" ht="15.6" customHeight="1">
      <c r="A25" s="547" t="s">
        <v>373</v>
      </c>
      <c r="B25" s="548"/>
      <c r="C25" s="548"/>
      <c r="D25" s="548"/>
      <c r="E25" s="549"/>
      <c r="F25" s="557" t="s">
        <v>374</v>
      </c>
      <c r="G25" s="557"/>
    </row>
    <row r="26" spans="1:7" ht="15.6" customHeight="1">
      <c r="A26" s="547" t="s">
        <v>375</v>
      </c>
      <c r="B26" s="548"/>
      <c r="C26" s="548"/>
      <c r="D26" s="548"/>
      <c r="E26" s="549"/>
      <c r="F26" s="557"/>
      <c r="G26" s="557"/>
    </row>
    <row r="27" spans="1:7" ht="15.6" customHeight="1">
      <c r="A27" s="547" t="s">
        <v>376</v>
      </c>
      <c r="B27" s="548"/>
      <c r="C27" s="548"/>
      <c r="D27" s="548"/>
      <c r="E27" s="549"/>
      <c r="F27" s="557"/>
      <c r="G27" s="557"/>
    </row>
    <row r="28" spans="1:7" ht="15.6" customHeight="1">
      <c r="A28" s="547" t="s">
        <v>377</v>
      </c>
      <c r="B28" s="548"/>
      <c r="C28" s="548"/>
      <c r="D28" s="548"/>
      <c r="E28" s="549"/>
      <c r="F28" s="557"/>
      <c r="G28" s="557"/>
    </row>
    <row r="29" spans="1:7" ht="15.6" customHeight="1">
      <c r="A29" s="547" t="s">
        <v>378</v>
      </c>
      <c r="B29" s="548"/>
      <c r="C29" s="548"/>
      <c r="D29" s="548"/>
      <c r="E29" s="549"/>
      <c r="F29" s="557"/>
      <c r="G29" s="557"/>
    </row>
    <row r="30" spans="1:7" ht="15.6" customHeight="1">
      <c r="A30" s="547" t="s">
        <v>379</v>
      </c>
      <c r="B30" s="548"/>
      <c r="C30" s="548"/>
      <c r="D30" s="548"/>
      <c r="E30" s="549"/>
      <c r="F30" s="557"/>
      <c r="G30" s="557"/>
    </row>
    <row r="31" spans="1:7" ht="15.6" customHeight="1">
      <c r="A31" s="547" t="s">
        <v>380</v>
      </c>
      <c r="B31" s="548"/>
      <c r="C31" s="548"/>
      <c r="D31" s="548"/>
      <c r="E31" s="549"/>
      <c r="F31" s="557"/>
      <c r="G31" s="557"/>
    </row>
    <row r="32" spans="1:7" ht="15.6" customHeight="1">
      <c r="A32" s="547" t="s">
        <v>381</v>
      </c>
      <c r="B32" s="555"/>
      <c r="C32" s="555"/>
      <c r="D32" s="555"/>
      <c r="E32" s="556"/>
      <c r="F32" s="557"/>
      <c r="G32" s="557"/>
    </row>
    <row r="33" spans="1:9" ht="15.6" customHeight="1">
      <c r="A33" s="563" t="s">
        <v>366</v>
      </c>
      <c r="B33" s="540"/>
      <c r="C33" s="541"/>
      <c r="D33" s="541"/>
      <c r="E33" s="541"/>
      <c r="F33" s="541"/>
      <c r="G33" s="542"/>
    </row>
    <row r="34" spans="1:9" ht="15.6" customHeight="1">
      <c r="A34" s="564"/>
      <c r="B34" s="567"/>
      <c r="C34" s="568"/>
      <c r="D34" s="568"/>
      <c r="E34" s="568"/>
      <c r="F34" s="568"/>
      <c r="G34" s="569"/>
    </row>
    <row r="35" spans="1:9" ht="15.6" customHeight="1">
      <c r="A35" s="68"/>
      <c r="B35" s="68"/>
      <c r="C35" s="68"/>
      <c r="D35" s="68"/>
      <c r="E35" s="68"/>
      <c r="F35" s="68"/>
    </row>
    <row r="36" spans="1:9" ht="15.6" customHeight="1">
      <c r="A36" s="552" t="s">
        <v>382</v>
      </c>
      <c r="B36" s="553"/>
      <c r="C36" s="553"/>
      <c r="D36" s="553"/>
      <c r="E36" s="554"/>
      <c r="F36" s="558" t="s">
        <v>365</v>
      </c>
      <c r="G36" s="558"/>
    </row>
    <row r="37" spans="1:9" ht="21" customHeight="1">
      <c r="A37" s="547" t="s">
        <v>383</v>
      </c>
      <c r="B37" s="548"/>
      <c r="C37" s="548"/>
      <c r="D37" s="548"/>
      <c r="E37" s="549"/>
      <c r="F37" s="557" t="s">
        <v>384</v>
      </c>
      <c r="G37" s="557"/>
    </row>
    <row r="38" spans="1:9" ht="21" customHeight="1">
      <c r="A38" s="547" t="s">
        <v>385</v>
      </c>
      <c r="B38" s="548"/>
      <c r="C38" s="548"/>
      <c r="D38" s="548"/>
      <c r="E38" s="549"/>
      <c r="F38" s="557" t="s">
        <v>386</v>
      </c>
      <c r="G38" s="557"/>
    </row>
    <row r="39" spans="1:9" ht="15.6" customHeight="1">
      <c r="A39" s="547"/>
      <c r="B39" s="555"/>
      <c r="C39" s="555"/>
      <c r="D39" s="555"/>
      <c r="E39" s="556"/>
      <c r="F39" s="557"/>
      <c r="G39" s="557"/>
    </row>
    <row r="40" spans="1:9" ht="15.6" customHeight="1">
      <c r="A40" s="563" t="s">
        <v>366</v>
      </c>
      <c r="B40" s="557"/>
      <c r="C40" s="557"/>
      <c r="D40" s="557"/>
      <c r="E40" s="557"/>
      <c r="F40" s="557"/>
      <c r="G40" s="557"/>
    </row>
    <row r="41" spans="1:9" ht="15.6" customHeight="1">
      <c r="A41" s="564"/>
      <c r="B41" s="578"/>
      <c r="C41" s="578"/>
      <c r="D41" s="578"/>
      <c r="E41" s="578"/>
      <c r="F41" s="578"/>
      <c r="G41" s="578"/>
    </row>
    <row r="42" spans="1:9" ht="15.6" customHeight="1"/>
    <row r="43" spans="1:9" ht="15.6" customHeight="1">
      <c r="A43" s="552" t="s">
        <v>387</v>
      </c>
      <c r="B43" s="553"/>
      <c r="C43" s="553"/>
      <c r="D43" s="553"/>
      <c r="E43" s="554"/>
      <c r="F43" s="576" t="s">
        <v>365</v>
      </c>
      <c r="G43" s="577"/>
      <c r="I43" s="286">
        <f>I76</f>
        <v>0</v>
      </c>
    </row>
    <row r="44" spans="1:9" ht="52.5" customHeight="1">
      <c r="A44" s="547" t="str">
        <f>IF(I43=1,"Fiberglass Shell - No Steel","4 bar bond beam with ½ inch steel; 3/8 inch rebar on 10 inch centers through pool")</f>
        <v>4 bar bond beam with ½ inch steel; 3/8 inch rebar on 10 inch centers through pool</v>
      </c>
      <c r="B44" s="548"/>
      <c r="C44" s="548"/>
      <c r="D44" s="548"/>
      <c r="E44" s="549"/>
      <c r="F44" s="538" t="str">
        <f>IF(I43=1,"","Our bond beam and wall steel schedules are beyond code for protection against expansive soils")</f>
        <v>Our bond beam and wall steel schedules are beyond code for protection against expansive soils</v>
      </c>
      <c r="G44" s="539"/>
    </row>
    <row r="45" spans="1:9" ht="15.6" customHeight="1">
      <c r="A45" s="547" t="str">
        <f>IF(I43=1,"","10 inch on center in transition slope by 20 feet length")</f>
        <v>10 inch on center in transition slope by 20 feet length</v>
      </c>
      <c r="B45" s="548"/>
      <c r="C45" s="548"/>
      <c r="D45" s="548"/>
      <c r="E45" s="549"/>
      <c r="F45" s="538" t="str">
        <f>IF(I43=1,"","Strongest steel schedule in the industry!")</f>
        <v>Strongest steel schedule in the industry!</v>
      </c>
      <c r="G45" s="539"/>
    </row>
    <row r="46" spans="1:9" ht="15.6" customHeight="1">
      <c r="A46" s="547" t="s">
        <v>1099</v>
      </c>
      <c r="B46" s="548"/>
      <c r="C46" s="548"/>
      <c r="D46" s="548"/>
      <c r="E46" s="549"/>
      <c r="F46" s="538"/>
      <c r="G46" s="539"/>
    </row>
    <row r="47" spans="1:9" ht="15.6" customHeight="1">
      <c r="A47" s="547"/>
      <c r="B47" s="555"/>
      <c r="C47" s="555"/>
      <c r="D47" s="555"/>
      <c r="E47" s="556"/>
      <c r="F47" s="538"/>
      <c r="G47" s="539"/>
    </row>
    <row r="48" spans="1:9" ht="15.6" customHeight="1">
      <c r="A48" s="540" t="s">
        <v>366</v>
      </c>
      <c r="B48" s="540"/>
      <c r="C48" s="541"/>
      <c r="D48" s="541"/>
      <c r="E48" s="541"/>
      <c r="F48" s="541"/>
      <c r="G48" s="542"/>
    </row>
    <row r="49" spans="1:7" ht="15.6" customHeight="1">
      <c r="A49" s="551"/>
      <c r="B49" s="551"/>
      <c r="C49" s="605"/>
      <c r="D49" s="605"/>
      <c r="E49" s="605"/>
      <c r="F49" s="605"/>
      <c r="G49" s="606"/>
    </row>
    <row r="50" spans="1:7" ht="15.6" customHeight="1"/>
    <row r="51" spans="1:7" ht="15.6" customHeight="1">
      <c r="A51" s="552" t="s">
        <v>388</v>
      </c>
      <c r="B51" s="553"/>
      <c r="C51" s="553"/>
      <c r="D51" s="553"/>
      <c r="E51" s="554"/>
      <c r="F51" s="558" t="s">
        <v>365</v>
      </c>
      <c r="G51" s="558"/>
    </row>
    <row r="52" spans="1:7" ht="15.6" customHeight="1">
      <c r="A52" s="547" t="s">
        <v>389</v>
      </c>
      <c r="B52" s="548"/>
      <c r="C52" s="548"/>
      <c r="D52" s="548"/>
      <c r="E52" s="549"/>
      <c r="F52" s="557" t="s">
        <v>390</v>
      </c>
      <c r="G52" s="557"/>
    </row>
    <row r="53" spans="1:7" ht="15.6" customHeight="1">
      <c r="A53" s="547" t="s">
        <v>391</v>
      </c>
      <c r="B53" s="548"/>
      <c r="C53" s="548"/>
      <c r="D53" s="548"/>
      <c r="E53" s="549"/>
      <c r="F53" s="557" t="s">
        <v>392</v>
      </c>
      <c r="G53" s="557"/>
    </row>
    <row r="54" spans="1:7" ht="15.6" customHeight="1">
      <c r="A54" s="547" t="s">
        <v>393</v>
      </c>
      <c r="B54" s="548"/>
      <c r="C54" s="548"/>
      <c r="D54" s="548"/>
      <c r="E54" s="549"/>
      <c r="F54" s="557" t="s">
        <v>394</v>
      </c>
      <c r="G54" s="557"/>
    </row>
    <row r="55" spans="1:7" ht="47.25" customHeight="1">
      <c r="A55" s="547" t="s">
        <v>395</v>
      </c>
      <c r="B55" s="548"/>
      <c r="C55" s="548"/>
      <c r="D55" s="548"/>
      <c r="E55" s="549"/>
      <c r="F55" s="557"/>
      <c r="G55" s="557"/>
    </row>
    <row r="56" spans="1:7" ht="15.6" customHeight="1">
      <c r="A56" s="547" t="s">
        <v>434</v>
      </c>
      <c r="B56" s="548"/>
      <c r="C56" s="548"/>
      <c r="D56" s="548"/>
      <c r="E56" s="549"/>
      <c r="F56" s="557"/>
      <c r="G56" s="557"/>
    </row>
    <row r="57" spans="1:7" ht="15.6" customHeight="1">
      <c r="A57" s="547" t="s">
        <v>396</v>
      </c>
      <c r="B57" s="548"/>
      <c r="C57" s="548"/>
      <c r="D57" s="548"/>
      <c r="E57" s="549"/>
      <c r="F57" s="557"/>
      <c r="G57" s="557"/>
    </row>
    <row r="58" spans="1:7" ht="15.6" customHeight="1">
      <c r="A58" s="547" t="s">
        <v>397</v>
      </c>
      <c r="B58" s="548"/>
      <c r="C58" s="548"/>
      <c r="D58" s="548"/>
      <c r="E58" s="549"/>
      <c r="F58" s="557"/>
      <c r="G58" s="557"/>
    </row>
    <row r="59" spans="1:7" ht="15.6" customHeight="1">
      <c r="A59" s="547"/>
      <c r="B59" s="548"/>
      <c r="C59" s="548"/>
      <c r="D59" s="548"/>
      <c r="E59" s="549"/>
      <c r="F59" s="557"/>
      <c r="G59" s="557"/>
    </row>
    <row r="60" spans="1:7" ht="15.6" customHeight="1">
      <c r="A60" s="547" t="s">
        <v>398</v>
      </c>
      <c r="B60" s="548"/>
      <c r="C60" s="548"/>
      <c r="D60" s="548"/>
      <c r="E60" s="549"/>
      <c r="F60" s="557"/>
      <c r="G60" s="557"/>
    </row>
    <row r="61" spans="1:7" ht="28.5" customHeight="1">
      <c r="A61" s="579" t="s">
        <v>399</v>
      </c>
      <c r="B61" s="580"/>
      <c r="C61" s="580"/>
      <c r="D61" s="580"/>
      <c r="E61" s="581"/>
      <c r="F61" s="557"/>
      <c r="G61" s="557"/>
    </row>
    <row r="62" spans="1:7" ht="15.6" customHeight="1">
      <c r="A62" s="607"/>
      <c r="B62" s="607"/>
      <c r="C62" s="607"/>
      <c r="D62" s="607"/>
      <c r="E62" s="608"/>
      <c r="F62" s="557"/>
      <c r="G62" s="557"/>
    </row>
    <row r="63" spans="1:7" ht="15.6" customHeight="1">
      <c r="A63" s="563" t="s">
        <v>366</v>
      </c>
      <c r="B63" s="557"/>
      <c r="C63" s="557"/>
      <c r="D63" s="557"/>
      <c r="E63" s="557"/>
      <c r="F63" s="557"/>
      <c r="G63" s="557"/>
    </row>
    <row r="64" spans="1:7" ht="15.6" customHeight="1">
      <c r="A64" s="564"/>
      <c r="B64" s="578"/>
      <c r="C64" s="578"/>
      <c r="D64" s="578"/>
      <c r="E64" s="578"/>
      <c r="F64" s="578"/>
      <c r="G64" s="578"/>
    </row>
    <row r="65" spans="1:9" ht="15.6" customHeight="1"/>
    <row r="66" spans="1:9" ht="15.6" customHeight="1">
      <c r="A66" s="552" t="s">
        <v>400</v>
      </c>
      <c r="B66" s="553"/>
      <c r="C66" s="553"/>
      <c r="D66" s="553"/>
      <c r="E66" s="554"/>
      <c r="F66" s="558" t="s">
        <v>365</v>
      </c>
      <c r="G66" s="558"/>
    </row>
    <row r="67" spans="1:9" ht="15.6" customHeight="1">
      <c r="A67" s="547" t="s">
        <v>401</v>
      </c>
      <c r="B67" s="548"/>
      <c r="C67" s="548"/>
      <c r="D67" s="548"/>
      <c r="E67" s="549"/>
      <c r="F67" s="557" t="s">
        <v>402</v>
      </c>
      <c r="G67" s="557"/>
    </row>
    <row r="68" spans="1:9" ht="15.6" customHeight="1">
      <c r="A68" s="547" t="s">
        <v>403</v>
      </c>
      <c r="B68" s="548"/>
      <c r="C68" s="548"/>
      <c r="D68" s="548"/>
      <c r="E68" s="549"/>
      <c r="F68" s="557"/>
      <c r="G68" s="557"/>
    </row>
    <row r="69" spans="1:9" ht="15.6" customHeight="1">
      <c r="A69" s="547" t="s">
        <v>404</v>
      </c>
      <c r="B69" s="548"/>
      <c r="C69" s="548"/>
      <c r="D69" s="548"/>
      <c r="E69" s="549"/>
      <c r="F69" s="557"/>
      <c r="G69" s="557"/>
    </row>
    <row r="70" spans="1:9" ht="15.6" customHeight="1">
      <c r="A70" s="547" t="s">
        <v>964</v>
      </c>
      <c r="B70" s="548"/>
      <c r="C70" s="548"/>
      <c r="D70" s="548"/>
      <c r="E70" s="549"/>
      <c r="F70" s="557" t="s">
        <v>965</v>
      </c>
      <c r="G70" s="557"/>
    </row>
    <row r="71" spans="1:9" ht="15.6" customHeight="1">
      <c r="A71" s="547" t="s">
        <v>405</v>
      </c>
      <c r="B71" s="548"/>
      <c r="C71" s="548"/>
      <c r="D71" s="548"/>
      <c r="E71" s="549"/>
      <c r="F71" s="557"/>
      <c r="G71" s="557"/>
    </row>
    <row r="72" spans="1:9" ht="15.6" customHeight="1">
      <c r="A72" s="547" t="s">
        <v>406</v>
      </c>
      <c r="B72" s="555"/>
      <c r="C72" s="555"/>
      <c r="D72" s="555"/>
      <c r="E72" s="556"/>
      <c r="F72" s="557"/>
      <c r="G72" s="557"/>
    </row>
    <row r="73" spans="1:9" ht="15.6" customHeight="1">
      <c r="A73" s="563" t="s">
        <v>366</v>
      </c>
      <c r="B73" s="540"/>
      <c r="C73" s="541"/>
      <c r="D73" s="541"/>
      <c r="E73" s="541"/>
      <c r="F73" s="541"/>
      <c r="G73" s="542"/>
    </row>
    <row r="74" spans="1:9" ht="15.6" customHeight="1">
      <c r="A74" s="564"/>
      <c r="B74" s="567"/>
      <c r="C74" s="568"/>
      <c r="D74" s="568"/>
      <c r="E74" s="568"/>
      <c r="F74" s="568"/>
      <c r="G74" s="569"/>
    </row>
    <row r="75" spans="1:9" ht="15.6" customHeight="1"/>
    <row r="76" spans="1:9" ht="15.6" customHeight="1">
      <c r="A76" s="552" t="s">
        <v>407</v>
      </c>
      <c r="B76" s="553"/>
      <c r="C76" s="553"/>
      <c r="D76" s="553"/>
      <c r="E76" s="554"/>
      <c r="F76" s="558" t="s">
        <v>365</v>
      </c>
      <c r="G76" s="558"/>
      <c r="I76" s="286">
        <f>J142</f>
        <v>0</v>
      </c>
    </row>
    <row r="77" spans="1:9" ht="15.6" customHeight="1">
      <c r="A77" s="547" t="str">
        <f>IF(J142=1,"No Shotcrete - Fiberglass Shell","4,000 PSI pneumatically applied shotcrete")</f>
        <v>4,000 PSI pneumatically applied shotcrete</v>
      </c>
      <c r="B77" s="548"/>
      <c r="C77" s="548"/>
      <c r="D77" s="548"/>
      <c r="E77" s="549"/>
      <c r="F77" s="557" t="str">
        <f>IF(I76=1,"","Lifetime structural warranty")</f>
        <v>Lifetime structural warranty</v>
      </c>
      <c r="G77" s="557"/>
    </row>
    <row r="78" spans="1:9" ht="47.25" customHeight="1">
      <c r="A78" s="547"/>
      <c r="B78" s="548"/>
      <c r="C78" s="548"/>
      <c r="D78" s="548"/>
      <c r="E78" s="549"/>
      <c r="F78" s="557"/>
      <c r="G78" s="557"/>
    </row>
    <row r="79" spans="1:9" ht="15.6" customHeight="1">
      <c r="A79" s="547" t="str">
        <f>IF(I76=1,"","All shotcrete is measured by a certified weighmaster")</f>
        <v>All shotcrete is measured by a certified weighmaster</v>
      </c>
      <c r="B79" s="548"/>
      <c r="C79" s="548"/>
      <c r="D79" s="548"/>
      <c r="E79" s="549"/>
      <c r="F79" s="538"/>
      <c r="G79" s="539"/>
    </row>
    <row r="80" spans="1:9" ht="15.6" customHeight="1">
      <c r="A80" s="547" t="str">
        <f>IF(I76=1,"","All nozzlemen are certified for State and Municipal work")</f>
        <v>All nozzlemen are certified for State and Municipal work</v>
      </c>
      <c r="B80" s="548"/>
      <c r="C80" s="548"/>
      <c r="D80" s="548"/>
      <c r="E80" s="549"/>
      <c r="F80" s="538"/>
      <c r="G80" s="539"/>
    </row>
    <row r="81" spans="1:9" ht="15.6" customHeight="1">
      <c r="A81" s="547" t="str">
        <f>IF(I76=1,"","Lifetime structural warranty")</f>
        <v>Lifetime structural warranty</v>
      </c>
      <c r="B81" s="548"/>
      <c r="C81" s="548"/>
      <c r="D81" s="548"/>
      <c r="E81" s="549"/>
      <c r="F81" s="557"/>
      <c r="G81" s="557"/>
    </row>
    <row r="82" spans="1:9" ht="15.6" customHeight="1">
      <c r="A82" s="563" t="s">
        <v>366</v>
      </c>
      <c r="B82" s="540"/>
      <c r="C82" s="541"/>
      <c r="D82" s="541"/>
      <c r="E82" s="541"/>
      <c r="F82" s="541"/>
      <c r="G82" s="542"/>
    </row>
    <row r="83" spans="1:9" ht="15.6" customHeight="1">
      <c r="A83" s="564"/>
      <c r="B83" s="567"/>
      <c r="C83" s="568"/>
      <c r="D83" s="568"/>
      <c r="E83" s="568"/>
      <c r="F83" s="568"/>
      <c r="G83" s="569"/>
    </row>
    <row r="84" spans="1:9" ht="15.6" customHeight="1"/>
    <row r="85" spans="1:9" ht="15.6" customHeight="1">
      <c r="A85" s="552" t="s">
        <v>408</v>
      </c>
      <c r="B85" s="553"/>
      <c r="C85" s="553"/>
      <c r="D85" s="553"/>
      <c r="E85" s="554"/>
      <c r="F85" s="558" t="s">
        <v>365</v>
      </c>
      <c r="G85" s="558"/>
      <c r="I85" s="286">
        <f>I76</f>
        <v>0</v>
      </c>
    </row>
    <row r="86" spans="1:9" ht="27" customHeight="1">
      <c r="A86" s="547" t="str">
        <f>IF(I85=1,"Fiberglass Shell - No Tile","All pool &amp; spa waterline tile including - skimmer throat")</f>
        <v>All pool &amp; spa waterline tile including - skimmer throat</v>
      </c>
      <c r="B86" s="548"/>
      <c r="C86" s="548"/>
      <c r="D86" s="548"/>
      <c r="E86" s="549"/>
      <c r="F86" s="557" t="str">
        <f>IF(I85=1,"","Frost-proof tiles in a variety of patterns and colors")</f>
        <v>Frost-proof tiles in a variety of patterns and colors</v>
      </c>
      <c r="G86" s="557"/>
    </row>
    <row r="87" spans="1:9" ht="15.6" customHeight="1">
      <c r="A87" s="547" t="str">
        <f>IF(I85=1,"","Trim tile available on steps and benches")</f>
        <v>Trim tile available on steps and benches</v>
      </c>
      <c r="B87" s="555"/>
      <c r="C87" s="555"/>
      <c r="D87" s="555"/>
      <c r="E87" s="556"/>
      <c r="F87" s="557" t="s">
        <v>966</v>
      </c>
      <c r="G87" s="557"/>
    </row>
    <row r="88" spans="1:9" ht="15.6" customHeight="1">
      <c r="A88" s="563" t="s">
        <v>366</v>
      </c>
      <c r="B88" s="540"/>
      <c r="C88" s="541"/>
      <c r="D88" s="541"/>
      <c r="E88" s="541"/>
      <c r="F88" s="541"/>
      <c r="G88" s="542"/>
    </row>
    <row r="89" spans="1:9" ht="15.6" customHeight="1">
      <c r="A89" s="564"/>
      <c r="B89" s="567"/>
      <c r="C89" s="568"/>
      <c r="D89" s="568"/>
      <c r="E89" s="568"/>
      <c r="F89" s="568"/>
      <c r="G89" s="569"/>
    </row>
    <row r="90" spans="1:9" ht="15.6" customHeight="1"/>
    <row r="91" spans="1:9" ht="15.6" customHeight="1">
      <c r="A91" s="552" t="s">
        <v>409</v>
      </c>
      <c r="B91" s="553"/>
      <c r="C91" s="553"/>
      <c r="D91" s="553"/>
      <c r="E91" s="554"/>
      <c r="F91" s="558" t="s">
        <v>365</v>
      </c>
      <c r="G91" s="558"/>
    </row>
    <row r="92" spans="1:9" ht="15.6" customHeight="1">
      <c r="A92" s="547"/>
      <c r="B92" s="548"/>
      <c r="C92" s="548"/>
      <c r="D92" s="548"/>
      <c r="E92" s="549"/>
      <c r="F92" s="557"/>
      <c r="G92" s="557"/>
    </row>
    <row r="93" spans="1:9" ht="15.6" customHeight="1">
      <c r="A93" s="547"/>
      <c r="B93" s="555"/>
      <c r="C93" s="555"/>
      <c r="D93" s="555"/>
      <c r="E93" s="556"/>
      <c r="F93" s="557"/>
      <c r="G93" s="557"/>
    </row>
    <row r="94" spans="1:9" ht="15.6" customHeight="1">
      <c r="A94" s="563" t="s">
        <v>366</v>
      </c>
      <c r="B94" s="540"/>
      <c r="C94" s="541"/>
      <c r="D94" s="541"/>
      <c r="E94" s="541"/>
      <c r="F94" s="541"/>
      <c r="G94" s="542"/>
    </row>
    <row r="95" spans="1:9" ht="15.6" customHeight="1">
      <c r="A95" s="564"/>
      <c r="B95" s="567"/>
      <c r="C95" s="568"/>
      <c r="D95" s="568"/>
      <c r="E95" s="568"/>
      <c r="F95" s="568"/>
      <c r="G95" s="569"/>
    </row>
    <row r="96" spans="1:9" ht="15.6" customHeight="1"/>
    <row r="97" spans="1:7" ht="15.6" customHeight="1">
      <c r="A97" s="552" t="s">
        <v>410</v>
      </c>
      <c r="B97" s="553"/>
      <c r="C97" s="553"/>
      <c r="D97" s="553"/>
      <c r="E97" s="554"/>
      <c r="F97" s="558" t="s">
        <v>365</v>
      </c>
      <c r="G97" s="558"/>
    </row>
    <row r="98" spans="1:7" ht="23.25" customHeight="1">
      <c r="A98" s="547" t="str">
        <f>'NEW POOL'!A113</f>
        <v>Jandy 2.7HP Variable Pump</v>
      </c>
      <c r="B98" s="548"/>
      <c r="C98" s="548"/>
      <c r="D98" s="548"/>
      <c r="E98" s="549"/>
      <c r="F98" s="557" t="s">
        <v>411</v>
      </c>
      <c r="G98" s="557"/>
    </row>
    <row r="99" spans="1:7" ht="15.6" customHeight="1">
      <c r="A99" s="535" t="str">
        <f>'NEW POOL'!A114</f>
        <v>No Auxiliary Pump</v>
      </c>
      <c r="B99" s="536"/>
      <c r="C99" s="536"/>
      <c r="D99" s="536"/>
      <c r="E99" s="537"/>
      <c r="F99" s="557"/>
      <c r="G99" s="557"/>
    </row>
    <row r="100" spans="1:7" ht="15.6" customHeight="1">
      <c r="A100" s="547" t="str">
        <f>'NEW POOL'!A117</f>
        <v>460 SQFT Cartridge Filter</v>
      </c>
      <c r="B100" s="548"/>
      <c r="C100" s="548"/>
      <c r="D100" s="548"/>
      <c r="E100" s="549"/>
      <c r="F100" s="557"/>
      <c r="G100" s="557"/>
    </row>
    <row r="101" spans="1:7" ht="15.6" customHeight="1">
      <c r="A101" s="535" t="str">
        <f>'NEW POOL'!A127</f>
        <v>Salt/mineral System - Fusion Soft</v>
      </c>
      <c r="B101" s="536"/>
      <c r="C101" s="536"/>
      <c r="D101" s="536"/>
      <c r="E101" s="537"/>
      <c r="F101" s="538"/>
      <c r="G101" s="539"/>
    </row>
    <row r="102" spans="1:7" ht="15.6" customHeight="1">
      <c r="A102" s="535" t="str">
        <f>'NEW POOL'!A128</f>
        <v>No Sanitation</v>
      </c>
      <c r="B102" s="536"/>
      <c r="C102" s="536"/>
      <c r="D102" s="536"/>
      <c r="E102" s="537"/>
      <c r="F102" s="538"/>
      <c r="G102" s="539"/>
    </row>
    <row r="103" spans="1:7" ht="15.6" customHeight="1">
      <c r="A103" s="535" t="str">
        <f>'NEW POOL'!A129</f>
        <v>No Sanitation</v>
      </c>
      <c r="B103" s="536"/>
      <c r="C103" s="536"/>
      <c r="D103" s="536"/>
      <c r="E103" s="537"/>
      <c r="F103" s="557"/>
      <c r="G103" s="557"/>
    </row>
    <row r="104" spans="1:7" ht="15.6" customHeight="1">
      <c r="A104" s="547" t="str">
        <f>'NEW POOL'!A121</f>
        <v>Jandy 400K BTU - VersaFlo</v>
      </c>
      <c r="B104" s="548"/>
      <c r="C104" s="548"/>
      <c r="D104" s="548"/>
      <c r="E104" s="549"/>
      <c r="F104" s="557"/>
      <c r="G104" s="557"/>
    </row>
    <row r="105" spans="1:7" ht="15.6" customHeight="1">
      <c r="A105" s="547" t="str">
        <f>'NEW POOL'!A119</f>
        <v>Polaris Alpha IQ</v>
      </c>
      <c r="B105" s="548"/>
      <c r="C105" s="548"/>
      <c r="D105" s="548"/>
      <c r="E105" s="549"/>
      <c r="F105" s="557"/>
      <c r="G105" s="557"/>
    </row>
    <row r="106" spans="1:7" ht="15.6" customHeight="1">
      <c r="A106" s="547" t="str">
        <f>'NEW POOL'!A131</f>
        <v>iAqualink Only PS-4 (H.O. To Provide WiFi) Only use with Infinite Light System</v>
      </c>
      <c r="B106" s="555"/>
      <c r="C106" s="555"/>
      <c r="D106" s="555"/>
      <c r="E106" s="556"/>
      <c r="F106" s="557"/>
      <c r="G106" s="557"/>
    </row>
    <row r="107" spans="1:7" ht="36" customHeight="1">
      <c r="A107" s="563" t="s">
        <v>366</v>
      </c>
      <c r="B107" s="540" t="s">
        <v>967</v>
      </c>
      <c r="C107" s="541"/>
      <c r="D107" s="541"/>
      <c r="E107" s="541"/>
      <c r="F107" s="541"/>
      <c r="G107" s="542"/>
    </row>
    <row r="108" spans="1:7" ht="15.6" customHeight="1">
      <c r="A108" s="564"/>
      <c r="B108" s="567"/>
      <c r="C108" s="568"/>
      <c r="D108" s="568"/>
      <c r="E108" s="568"/>
      <c r="F108" s="568"/>
      <c r="G108" s="569"/>
    </row>
    <row r="109" spans="1:7" ht="15.6" customHeight="1"/>
    <row r="110" spans="1:7" ht="15.6" customHeight="1">
      <c r="A110" s="552" t="s">
        <v>412</v>
      </c>
      <c r="B110" s="553"/>
      <c r="C110" s="553"/>
      <c r="D110" s="553"/>
      <c r="E110" s="554"/>
      <c r="F110" s="558" t="s">
        <v>365</v>
      </c>
      <c r="G110" s="558"/>
    </row>
    <row r="111" spans="1:7" ht="15.6" customHeight="1">
      <c r="A111" s="547" t="s">
        <v>413</v>
      </c>
      <c r="B111" s="548"/>
      <c r="C111" s="548"/>
      <c r="D111" s="548"/>
      <c r="E111" s="549"/>
      <c r="F111" s="538"/>
      <c r="G111" s="539"/>
    </row>
    <row r="112" spans="1:7" ht="15.6" customHeight="1">
      <c r="A112" s="547" t="s">
        <v>414</v>
      </c>
      <c r="B112" s="548"/>
      <c r="C112" s="548"/>
      <c r="D112" s="548"/>
      <c r="E112" s="549"/>
      <c r="F112" s="538"/>
      <c r="G112" s="539"/>
    </row>
    <row r="113" spans="1:7" ht="15.6" customHeight="1">
      <c r="A113" s="547"/>
      <c r="B113" s="548"/>
      <c r="C113" s="548"/>
      <c r="D113" s="548"/>
      <c r="E113" s="549"/>
      <c r="F113" s="538"/>
      <c r="G113" s="539"/>
    </row>
    <row r="114" spans="1:7" ht="15.6" customHeight="1">
      <c r="A114" s="547" t="str">
        <f>IF(J142=1,"",'NEW POOL'!A175)</f>
        <v>Pebble Tec  - Level 1</v>
      </c>
      <c r="B114" s="548"/>
      <c r="C114" s="548"/>
      <c r="D114" s="548"/>
      <c r="E114" s="549"/>
      <c r="F114" s="538" t="str">
        <f>IF(A114="","","Combines durablity and functionality")</f>
        <v>Combines durablity and functionality</v>
      </c>
      <c r="G114" s="539"/>
    </row>
    <row r="115" spans="1:7" ht="15.6" customHeight="1">
      <c r="A115" s="547" t="s">
        <v>415</v>
      </c>
      <c r="B115" s="548"/>
      <c r="C115" s="548"/>
      <c r="D115" s="548"/>
      <c r="E115" s="549"/>
      <c r="F115" s="538"/>
      <c r="G115" s="539"/>
    </row>
    <row r="116" spans="1:7" ht="15.6" customHeight="1">
      <c r="A116" s="547" t="str">
        <f>IF('NEW POOL'!B47=1, "Dirt haul off included", "Dirt to remain at property")</f>
        <v>Dirt haul off included</v>
      </c>
      <c r="B116" s="548"/>
      <c r="C116" s="548"/>
      <c r="D116" s="548"/>
      <c r="E116" s="549"/>
      <c r="F116" s="538"/>
      <c r="G116" s="539"/>
    </row>
    <row r="117" spans="1:7" ht="15.6" customHeight="1">
      <c r="A117" s="547" t="s">
        <v>1133</v>
      </c>
      <c r="B117" s="548"/>
      <c r="C117" s="548"/>
      <c r="D117" s="548"/>
      <c r="E117" s="549"/>
      <c r="F117" s="538" t="s">
        <v>1134</v>
      </c>
      <c r="G117" s="539"/>
    </row>
    <row r="118" spans="1:7" ht="15.6" customHeight="1">
      <c r="A118" s="563" t="s">
        <v>366</v>
      </c>
      <c r="B118" s="540"/>
      <c r="C118" s="541"/>
      <c r="D118" s="541"/>
      <c r="E118" s="541"/>
      <c r="F118" s="541"/>
      <c r="G118" s="542"/>
    </row>
    <row r="119" spans="1:7" ht="15.6" customHeight="1">
      <c r="A119" s="564"/>
      <c r="B119" s="567"/>
      <c r="C119" s="568"/>
      <c r="D119" s="568"/>
      <c r="E119" s="568"/>
      <c r="F119" s="568"/>
      <c r="G119" s="569"/>
    </row>
    <row r="120" spans="1:7" ht="15.6" customHeight="1"/>
    <row r="121" spans="1:7" ht="15.6" customHeight="1">
      <c r="A121" s="552" t="s">
        <v>416</v>
      </c>
      <c r="B121" s="553"/>
      <c r="C121" s="553"/>
      <c r="D121" s="553"/>
      <c r="E121" s="554"/>
      <c r="F121" s="558" t="s">
        <v>365</v>
      </c>
      <c r="G121" s="558"/>
    </row>
    <row r="122" spans="1:7" ht="24" customHeight="1">
      <c r="A122" s="547" t="s">
        <v>417</v>
      </c>
      <c r="B122" s="548"/>
      <c r="C122" s="548"/>
      <c r="D122" s="548"/>
      <c r="E122" s="549"/>
      <c r="F122" s="557" t="s">
        <v>418</v>
      </c>
      <c r="G122" s="557"/>
    </row>
    <row r="123" spans="1:7" ht="15.6" customHeight="1">
      <c r="A123" s="547" t="s">
        <v>419</v>
      </c>
      <c r="B123" s="548"/>
      <c r="C123" s="548"/>
      <c r="D123" s="548"/>
      <c r="E123" s="549"/>
      <c r="F123" s="557" t="s">
        <v>420</v>
      </c>
      <c r="G123" s="557"/>
    </row>
    <row r="124" spans="1:7" ht="18.75" customHeight="1">
      <c r="A124" s="547" t="s">
        <v>421</v>
      </c>
      <c r="B124" s="548"/>
      <c r="C124" s="548"/>
      <c r="D124" s="548"/>
      <c r="E124" s="549"/>
      <c r="F124" s="557" t="s">
        <v>422</v>
      </c>
      <c r="G124" s="557"/>
    </row>
    <row r="125" spans="1:7" ht="15.6" customHeight="1">
      <c r="A125" s="563" t="s">
        <v>366</v>
      </c>
      <c r="B125" s="550"/>
      <c r="C125" s="591"/>
      <c r="D125" s="591"/>
      <c r="E125" s="591"/>
      <c r="F125" s="591"/>
      <c r="G125" s="591"/>
    </row>
    <row r="126" spans="1:7" ht="15.6" customHeight="1">
      <c r="A126" s="564"/>
      <c r="B126" s="589"/>
      <c r="C126" s="590"/>
      <c r="D126" s="590"/>
      <c r="E126" s="590"/>
      <c r="F126" s="590"/>
      <c r="G126" s="590"/>
    </row>
    <row r="127" spans="1:7" ht="15.6" customHeight="1">
      <c r="A127" s="80"/>
      <c r="B127" s="603">
        <v>2025</v>
      </c>
      <c r="C127" s="603"/>
      <c r="D127" s="603"/>
      <c r="E127" s="603"/>
      <c r="F127" s="604" t="s">
        <v>361</v>
      </c>
      <c r="G127" s="604"/>
    </row>
    <row r="128" spans="1:7" ht="15.6" customHeight="1">
      <c r="A128" s="80"/>
      <c r="B128" s="603"/>
      <c r="C128" s="603"/>
      <c r="D128" s="603"/>
      <c r="E128" s="603"/>
      <c r="F128" s="586" t="str">
        <f>F2</f>
        <v>Prepared by:</v>
      </c>
      <c r="G128" s="586"/>
    </row>
    <row r="129" spans="1:10" ht="15.6" customHeight="1">
      <c r="A129" s="80"/>
      <c r="B129" s="603"/>
      <c r="C129" s="603"/>
      <c r="D129" s="603"/>
      <c r="E129" s="603"/>
      <c r="F129" s="586"/>
      <c r="G129" s="586"/>
    </row>
    <row r="130" spans="1:10" ht="15.6" customHeight="1">
      <c r="A130" s="80"/>
      <c r="B130" s="533"/>
      <c r="C130" s="533"/>
      <c r="D130" s="533"/>
      <c r="E130" s="533"/>
      <c r="F130" s="595" t="str">
        <f>F4</f>
        <v>John Piotrowski</v>
      </c>
      <c r="G130" s="595"/>
    </row>
    <row r="131" spans="1:10" ht="15.6" customHeight="1">
      <c r="A131" s="80"/>
      <c r="B131" s="355"/>
      <c r="C131" s="355"/>
      <c r="D131" s="355"/>
      <c r="E131" s="355"/>
      <c r="F131" s="595" t="str">
        <f>F5</f>
        <v>980-392-7944</v>
      </c>
      <c r="G131" s="595"/>
    </row>
    <row r="132" spans="1:10" ht="15.6" customHeight="1">
      <c r="A132" s="80"/>
      <c r="B132" s="534" t="s">
        <v>799</v>
      </c>
      <c r="C132" s="534"/>
      <c r="D132" s="534"/>
      <c r="E132" s="534"/>
      <c r="F132" s="595" t="str">
        <f>F6</f>
        <v>jpiotrowski@ppas.com</v>
      </c>
      <c r="G132" s="595"/>
    </row>
    <row r="133" spans="1:10" ht="14.4" customHeight="1">
      <c r="A133" s="594" t="s">
        <v>423</v>
      </c>
      <c r="B133" s="594"/>
      <c r="C133" s="594"/>
      <c r="D133" s="594"/>
      <c r="E133" s="594"/>
      <c r="F133" s="594"/>
      <c r="G133" s="594"/>
    </row>
    <row r="134" spans="1:10" ht="14.4" customHeight="1">
      <c r="A134" s="594"/>
      <c r="B134" s="594"/>
      <c r="C134" s="594"/>
      <c r="D134" s="594"/>
      <c r="E134" s="594"/>
      <c r="F134" s="594"/>
      <c r="G134" s="594"/>
    </row>
    <row r="135" spans="1:10" ht="15.6" customHeight="1">
      <c r="A135" s="70" t="s">
        <v>424</v>
      </c>
      <c r="B135" s="587" t="s">
        <v>425</v>
      </c>
      <c r="C135" s="588"/>
      <c r="D135" s="71" t="s">
        <v>426</v>
      </c>
      <c r="E135" s="87" t="s">
        <v>427</v>
      </c>
      <c r="F135" s="592" t="s">
        <v>428</v>
      </c>
      <c r="G135" s="593"/>
    </row>
    <row r="136" spans="1:10" ht="15.6" customHeight="1">
      <c r="A136" s="72" t="s">
        <v>429</v>
      </c>
      <c r="B136" s="571">
        <v>73542.58</v>
      </c>
      <c r="C136" s="572"/>
      <c r="D136" s="100"/>
      <c r="E136" s="90">
        <f>B136+D136</f>
        <v>73542.58</v>
      </c>
      <c r="F136" s="583"/>
      <c r="G136" s="584"/>
    </row>
    <row r="137" spans="1:10" ht="15.6" customHeight="1">
      <c r="A137" s="72"/>
      <c r="B137" s="571"/>
      <c r="C137" s="572"/>
      <c r="D137" s="100"/>
      <c r="E137" s="90">
        <f>B137+D137</f>
        <v>0</v>
      </c>
      <c r="F137" s="449"/>
      <c r="G137" s="450"/>
    </row>
    <row r="138" spans="1:10" ht="15.6" customHeight="1">
      <c r="A138" s="74"/>
      <c r="B138" s="585"/>
      <c r="C138" s="585"/>
      <c r="D138" s="75"/>
      <c r="E138" s="90">
        <f>B138+D138</f>
        <v>0</v>
      </c>
      <c r="F138" s="583"/>
      <c r="G138" s="584"/>
    </row>
    <row r="139" spans="1:10" ht="15.6" customHeight="1">
      <c r="A139" s="76"/>
      <c r="B139" s="582"/>
      <c r="C139" s="582"/>
      <c r="D139" s="77"/>
      <c r="E139" s="91">
        <f>B139+D139</f>
        <v>0</v>
      </c>
      <c r="F139" s="583"/>
      <c r="G139" s="584"/>
    </row>
    <row r="140" spans="1:10" ht="15.6" customHeight="1">
      <c r="A140" s="76"/>
      <c r="B140" s="582"/>
      <c r="C140" s="582"/>
      <c r="D140" s="77"/>
      <c r="E140" s="91">
        <f>B140+D140</f>
        <v>0</v>
      </c>
      <c r="F140" s="583"/>
      <c r="G140" s="584"/>
    </row>
    <row r="141" spans="1:10" ht="15.6" customHeight="1">
      <c r="A141" s="74"/>
      <c r="B141" s="585"/>
      <c r="C141" s="585"/>
      <c r="D141" s="75"/>
      <c r="E141" s="90" t="str">
        <f t="shared" ref="E141:E147" si="0">IF(B141="","",B141+D141)</f>
        <v/>
      </c>
      <c r="F141" s="583"/>
      <c r="G141" s="584"/>
    </row>
    <row r="142" spans="1:10" ht="15.6" customHeight="1" thickBot="1">
      <c r="A142" s="76"/>
      <c r="B142" s="582"/>
      <c r="C142" s="582"/>
      <c r="D142" s="77"/>
      <c r="E142" s="91" t="str">
        <f t="shared" si="0"/>
        <v/>
      </c>
      <c r="F142" s="596" t="s">
        <v>436</v>
      </c>
      <c r="G142" s="597"/>
      <c r="J142" s="348">
        <f>'NEW POOL'!B21+'NEW POOL'!B22+'NEW POOL'!B23</f>
        <v>0</v>
      </c>
    </row>
    <row r="143" spans="1:10" ht="15.6" customHeight="1">
      <c r="A143" s="74" t="str">
        <f>IF('NEW POOL'!B171&gt;0,'NEW POOL'!A171,"")</f>
        <v/>
      </c>
      <c r="B143" s="585" t="str">
        <f>IF('NEW POOL'!B171&gt;0,'COST - NEW'!E233,"")</f>
        <v/>
      </c>
      <c r="C143" s="585"/>
      <c r="D143" s="75"/>
      <c r="E143" s="90" t="str">
        <f t="shared" si="0"/>
        <v/>
      </c>
      <c r="F143" s="96" t="s">
        <v>437</v>
      </c>
      <c r="G143" s="94">
        <f>E148*0.1</f>
        <v>7354.2580000000007</v>
      </c>
      <c r="J143" s="348">
        <f>IF(A143="Crystite G2",1,0)</f>
        <v>0</v>
      </c>
    </row>
    <row r="144" spans="1:10" ht="15.6" customHeight="1">
      <c r="A144" s="76"/>
      <c r="B144" s="582"/>
      <c r="C144" s="582"/>
      <c r="D144" s="77"/>
      <c r="E144" s="91"/>
      <c r="F144" s="93" t="str">
        <f>IF($J$142=1,"30% at Permitting:","30% at Excavation:")</f>
        <v>30% at Excavation:</v>
      </c>
      <c r="G144" s="94">
        <f>ROUNDDOWN(((E148-G143)*0.3),0)</f>
        <v>19856</v>
      </c>
      <c r="J144" s="348">
        <f>IF(A143="Crystite G3",1.5,0)</f>
        <v>0</v>
      </c>
    </row>
    <row r="145" spans="1:7" ht="15.6" customHeight="1">
      <c r="A145" s="74"/>
      <c r="B145" s="585"/>
      <c r="C145" s="585"/>
      <c r="D145" s="75"/>
      <c r="E145" s="90" t="str">
        <f t="shared" si="0"/>
        <v/>
      </c>
      <c r="F145" s="93" t="str">
        <f>IF($J$142=1,"30% at Shell Delivery:","30% at Shotcrete:")</f>
        <v>30% at Shotcrete:</v>
      </c>
      <c r="G145" s="94">
        <f>G144</f>
        <v>19856</v>
      </c>
    </row>
    <row r="146" spans="1:7" ht="15.6" customHeight="1">
      <c r="A146" s="76"/>
      <c r="B146" s="582"/>
      <c r="C146" s="582"/>
      <c r="D146" s="77"/>
      <c r="E146" s="91" t="str">
        <f t="shared" si="0"/>
        <v/>
      </c>
      <c r="F146" s="93" t="str">
        <f>IF($J$142=1,"30% at Equipment Set:","30% at Decking:")</f>
        <v>30% at Decking:</v>
      </c>
      <c r="G146" s="94">
        <f>G145</f>
        <v>19856</v>
      </c>
    </row>
    <row r="147" spans="1:7" ht="15.6" customHeight="1">
      <c r="A147" s="74"/>
      <c r="B147" s="585"/>
      <c r="C147" s="585"/>
      <c r="D147" s="75"/>
      <c r="E147" s="90" t="str">
        <f t="shared" si="0"/>
        <v/>
      </c>
      <c r="F147" s="93" t="str">
        <f>IF($J$142=1,"Balance at Decking:","Balance at Interior Finish:")</f>
        <v>Balance at Interior Finish:</v>
      </c>
      <c r="G147" s="94">
        <f>(E148-G146-G145-G144-G143)</f>
        <v>6620.322000000001</v>
      </c>
    </row>
    <row r="148" spans="1:7" ht="15.6" customHeight="1" thickBot="1">
      <c r="A148" s="86" t="s">
        <v>433</v>
      </c>
      <c r="B148" s="599">
        <f>SUM(B136:C147)</f>
        <v>73542.58</v>
      </c>
      <c r="C148" s="600"/>
      <c r="D148" s="89">
        <f>SUM(D136:D147)</f>
        <v>0</v>
      </c>
      <c r="E148" s="92">
        <f>B148+D148</f>
        <v>73542.58</v>
      </c>
      <c r="F148" s="97" t="s">
        <v>438</v>
      </c>
      <c r="G148" s="95">
        <f>SUM(G143:G147)</f>
        <v>73542.58</v>
      </c>
    </row>
    <row r="149" spans="1:7" ht="17.399999999999999">
      <c r="A149" s="73"/>
      <c r="B149" s="73"/>
      <c r="C149" s="601"/>
      <c r="D149" s="601"/>
      <c r="E149" s="105">
        <f>IF('NEW POOL'!C191-PROPOSAL!E148=0,"",'NEW POOL'!C191-E148)</f>
        <v>64367.42</v>
      </c>
      <c r="F149" s="73"/>
    </row>
    <row r="150" spans="1:7">
      <c r="A150" s="73"/>
      <c r="B150" s="73"/>
      <c r="C150" s="73"/>
      <c r="D150" s="78"/>
      <c r="E150" s="73"/>
      <c r="F150" s="73"/>
    </row>
    <row r="151" spans="1:7" ht="15.6" customHeight="1">
      <c r="A151" s="81" t="s">
        <v>430</v>
      </c>
      <c r="B151" s="602" t="s">
        <v>425</v>
      </c>
      <c r="C151" s="602"/>
      <c r="D151" s="88" t="s">
        <v>426</v>
      </c>
      <c r="E151" s="85" t="s">
        <v>427</v>
      </c>
      <c r="F151" s="598" t="s">
        <v>428</v>
      </c>
      <c r="G151" s="593"/>
    </row>
    <row r="152" spans="1:7" ht="15.6" customHeight="1">
      <c r="A152" s="102" t="s">
        <v>431</v>
      </c>
      <c r="B152" s="561">
        <v>0</v>
      </c>
      <c r="C152" s="561"/>
      <c r="D152" s="103">
        <v>0</v>
      </c>
      <c r="E152" s="104">
        <f>B152+D152</f>
        <v>0</v>
      </c>
      <c r="F152" s="562"/>
      <c r="G152" s="562"/>
    </row>
    <row r="153" spans="1:7" ht="15.6" customHeight="1">
      <c r="A153" s="82" t="s">
        <v>431</v>
      </c>
      <c r="B153" s="574">
        <v>0</v>
      </c>
      <c r="C153" s="574"/>
      <c r="D153" s="83">
        <v>0</v>
      </c>
      <c r="E153" s="84">
        <f>B153+D153</f>
        <v>0</v>
      </c>
      <c r="F153" s="575"/>
      <c r="G153" s="575"/>
    </row>
    <row r="154" spans="1:7" ht="15.6" customHeight="1">
      <c r="A154" s="102" t="s">
        <v>431</v>
      </c>
      <c r="B154" s="561">
        <v>0</v>
      </c>
      <c r="C154" s="561"/>
      <c r="D154" s="103">
        <v>0</v>
      </c>
      <c r="E154" s="104">
        <f>B154+D154</f>
        <v>0</v>
      </c>
      <c r="F154" s="562"/>
      <c r="G154" s="562"/>
    </row>
    <row r="155" spans="1:7">
      <c r="A155" s="82" t="s">
        <v>431</v>
      </c>
      <c r="B155" s="574">
        <v>0</v>
      </c>
      <c r="C155" s="574"/>
      <c r="D155" s="83">
        <v>0</v>
      </c>
      <c r="E155" s="84">
        <f>B155+D155</f>
        <v>0</v>
      </c>
      <c r="F155" s="575"/>
      <c r="G155" s="575"/>
    </row>
    <row r="156" spans="1:7">
      <c r="A156" s="102" t="s">
        <v>431</v>
      </c>
      <c r="B156" s="561">
        <v>0</v>
      </c>
      <c r="C156" s="561"/>
      <c r="D156" s="103">
        <v>0</v>
      </c>
      <c r="E156" s="104">
        <f>B156+D156</f>
        <v>0</v>
      </c>
      <c r="F156" s="562"/>
      <c r="G156" s="562"/>
    </row>
  </sheetData>
  <mergeCells count="248">
    <mergeCell ref="F77:G77"/>
    <mergeCell ref="A54:E54"/>
    <mergeCell ref="A69:E69"/>
    <mergeCell ref="F62:G62"/>
    <mergeCell ref="B63:G63"/>
    <mergeCell ref="B64:G64"/>
    <mergeCell ref="A62:E62"/>
    <mergeCell ref="B1:E3"/>
    <mergeCell ref="A87:E87"/>
    <mergeCell ref="A76:E76"/>
    <mergeCell ref="A77:E77"/>
    <mergeCell ref="A78:E78"/>
    <mergeCell ref="A79:E79"/>
    <mergeCell ref="F1:G1"/>
    <mergeCell ref="F4:G4"/>
    <mergeCell ref="F5:G5"/>
    <mergeCell ref="F6:G6"/>
    <mergeCell ref="F2:G3"/>
    <mergeCell ref="F69:G69"/>
    <mergeCell ref="F70:G70"/>
    <mergeCell ref="F71:G71"/>
    <mergeCell ref="F72:G72"/>
    <mergeCell ref="F58:G58"/>
    <mergeCell ref="F59:G59"/>
    <mergeCell ref="F66:G66"/>
    <mergeCell ref="F44:G44"/>
    <mergeCell ref="F45:G45"/>
    <mergeCell ref="F46:G46"/>
    <mergeCell ref="B48:G48"/>
    <mergeCell ref="B49:G49"/>
    <mergeCell ref="F47:G47"/>
    <mergeCell ref="F51:G51"/>
    <mergeCell ref="F52:G52"/>
    <mergeCell ref="F53:G53"/>
    <mergeCell ref="A44:E44"/>
    <mergeCell ref="A46:E46"/>
    <mergeCell ref="A47:E47"/>
    <mergeCell ref="A48:A49"/>
    <mergeCell ref="A51:E51"/>
    <mergeCell ref="A52:E52"/>
    <mergeCell ref="A53:E53"/>
    <mergeCell ref="F56:G56"/>
    <mergeCell ref="F57:G57"/>
    <mergeCell ref="F54:G54"/>
    <mergeCell ref="F97:G97"/>
    <mergeCell ref="F98:G98"/>
    <mergeCell ref="A100:E100"/>
    <mergeCell ref="A103:E103"/>
    <mergeCell ref="A104:E104"/>
    <mergeCell ref="A105:E105"/>
    <mergeCell ref="A106:E106"/>
    <mergeCell ref="A107:A108"/>
    <mergeCell ref="F99:G99"/>
    <mergeCell ref="A97:E97"/>
    <mergeCell ref="A98:E98"/>
    <mergeCell ref="A99:E99"/>
    <mergeCell ref="B107:G107"/>
    <mergeCell ref="B108:G108"/>
    <mergeCell ref="F100:G100"/>
    <mergeCell ref="F103:G103"/>
    <mergeCell ref="F104:G104"/>
    <mergeCell ref="F105:G105"/>
    <mergeCell ref="F106:G106"/>
    <mergeCell ref="F115:G115"/>
    <mergeCell ref="F116:G116"/>
    <mergeCell ref="F117:G117"/>
    <mergeCell ref="B118:G118"/>
    <mergeCell ref="F114:G114"/>
    <mergeCell ref="B127:E129"/>
    <mergeCell ref="F127:G127"/>
    <mergeCell ref="F124:G124"/>
    <mergeCell ref="F121:G121"/>
    <mergeCell ref="F151:G151"/>
    <mergeCell ref="F152:G152"/>
    <mergeCell ref="F153:G153"/>
    <mergeCell ref="F154:G154"/>
    <mergeCell ref="B145:C145"/>
    <mergeCell ref="B146:C146"/>
    <mergeCell ref="B147:C147"/>
    <mergeCell ref="B148:C148"/>
    <mergeCell ref="C149:D149"/>
    <mergeCell ref="B151:C151"/>
    <mergeCell ref="B152:C152"/>
    <mergeCell ref="B153:C153"/>
    <mergeCell ref="B143:C143"/>
    <mergeCell ref="B144:C144"/>
    <mergeCell ref="A122:E122"/>
    <mergeCell ref="A123:E123"/>
    <mergeCell ref="A124:E124"/>
    <mergeCell ref="A125:A126"/>
    <mergeCell ref="B130:E130"/>
    <mergeCell ref="B132:E132"/>
    <mergeCell ref="B154:C154"/>
    <mergeCell ref="B126:G126"/>
    <mergeCell ref="B125:G125"/>
    <mergeCell ref="F135:G135"/>
    <mergeCell ref="A133:G134"/>
    <mergeCell ref="B136:C136"/>
    <mergeCell ref="F130:G130"/>
    <mergeCell ref="F131:G131"/>
    <mergeCell ref="F132:G132"/>
    <mergeCell ref="F136:G136"/>
    <mergeCell ref="F141:G141"/>
    <mergeCell ref="F142:G142"/>
    <mergeCell ref="B141:C141"/>
    <mergeCell ref="F140:G140"/>
    <mergeCell ref="F122:G122"/>
    <mergeCell ref="F123:G123"/>
    <mergeCell ref="B142:C142"/>
    <mergeCell ref="F138:G138"/>
    <mergeCell ref="F139:G139"/>
    <mergeCell ref="B140:C140"/>
    <mergeCell ref="B138:C138"/>
    <mergeCell ref="B139:C139"/>
    <mergeCell ref="F128:G129"/>
    <mergeCell ref="A121:E121"/>
    <mergeCell ref="A94:A95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A119"/>
    <mergeCell ref="B119:G119"/>
    <mergeCell ref="F110:G110"/>
    <mergeCell ref="B135:C135"/>
    <mergeCell ref="F111:G111"/>
    <mergeCell ref="F112:G112"/>
    <mergeCell ref="F113:G113"/>
    <mergeCell ref="A91:E91"/>
    <mergeCell ref="A92:E92"/>
    <mergeCell ref="A93:E93"/>
    <mergeCell ref="B94:G94"/>
    <mergeCell ref="B95:G95"/>
    <mergeCell ref="F93:G93"/>
    <mergeCell ref="F92:G92"/>
    <mergeCell ref="F91:G91"/>
    <mergeCell ref="B88:G88"/>
    <mergeCell ref="B89:G89"/>
    <mergeCell ref="F87:G87"/>
    <mergeCell ref="F85:G85"/>
    <mergeCell ref="A85:E85"/>
    <mergeCell ref="A86:E86"/>
    <mergeCell ref="A82:A83"/>
    <mergeCell ref="A88:A89"/>
    <mergeCell ref="B83:G83"/>
    <mergeCell ref="F80:G80"/>
    <mergeCell ref="F81:G81"/>
    <mergeCell ref="B82:G82"/>
    <mergeCell ref="A68:E68"/>
    <mergeCell ref="F86:G86"/>
    <mergeCell ref="F78:G78"/>
    <mergeCell ref="A63:A64"/>
    <mergeCell ref="A66:E66"/>
    <mergeCell ref="A55:E55"/>
    <mergeCell ref="A56:E56"/>
    <mergeCell ref="F68:G68"/>
    <mergeCell ref="F60:G60"/>
    <mergeCell ref="F61:G61"/>
    <mergeCell ref="B73:G73"/>
    <mergeCell ref="B74:G74"/>
    <mergeCell ref="A60:E60"/>
    <mergeCell ref="A61:E61"/>
    <mergeCell ref="F67:G67"/>
    <mergeCell ref="A70:E70"/>
    <mergeCell ref="A71:E71"/>
    <mergeCell ref="A72:E72"/>
    <mergeCell ref="A73:A74"/>
    <mergeCell ref="F79:G79"/>
    <mergeCell ref="F76:G76"/>
    <mergeCell ref="A81:E81"/>
    <mergeCell ref="F55:G55"/>
    <mergeCell ref="A80:E80"/>
    <mergeCell ref="B7:E7"/>
    <mergeCell ref="B8:E8"/>
    <mergeCell ref="B155:C155"/>
    <mergeCell ref="F155:G155"/>
    <mergeCell ref="A31:E31"/>
    <mergeCell ref="F36:G36"/>
    <mergeCell ref="F37:G37"/>
    <mergeCell ref="B33:G33"/>
    <mergeCell ref="B34:G34"/>
    <mergeCell ref="F43:G43"/>
    <mergeCell ref="F38:G38"/>
    <mergeCell ref="F39:G39"/>
    <mergeCell ref="B40:G40"/>
    <mergeCell ref="B41:G41"/>
    <mergeCell ref="A33:A34"/>
    <mergeCell ref="A36:E36"/>
    <mergeCell ref="A37:E37"/>
    <mergeCell ref="A43:E43"/>
    <mergeCell ref="F32:G32"/>
    <mergeCell ref="A38:E38"/>
    <mergeCell ref="A39:E39"/>
    <mergeCell ref="A40:A41"/>
    <mergeCell ref="F31:G31"/>
    <mergeCell ref="A67:E67"/>
    <mergeCell ref="B156:C156"/>
    <mergeCell ref="F156:G156"/>
    <mergeCell ref="A20:A21"/>
    <mergeCell ref="A23:E23"/>
    <mergeCell ref="F10:G10"/>
    <mergeCell ref="F11:G11"/>
    <mergeCell ref="F12:G12"/>
    <mergeCell ref="F17:G17"/>
    <mergeCell ref="F18:G18"/>
    <mergeCell ref="F19:G19"/>
    <mergeCell ref="B20:G20"/>
    <mergeCell ref="B21:G21"/>
    <mergeCell ref="B13:G13"/>
    <mergeCell ref="B15:G15"/>
    <mergeCell ref="A26:E26"/>
    <mergeCell ref="A27:E27"/>
    <mergeCell ref="A28:E28"/>
    <mergeCell ref="A29:E29"/>
    <mergeCell ref="A30:E30"/>
    <mergeCell ref="A45:E45"/>
    <mergeCell ref="A57:E57"/>
    <mergeCell ref="A58:E58"/>
    <mergeCell ref="A59:E59"/>
    <mergeCell ref="B137:C137"/>
    <mergeCell ref="B4:E4"/>
    <mergeCell ref="B6:E6"/>
    <mergeCell ref="A101:E101"/>
    <mergeCell ref="A102:E102"/>
    <mergeCell ref="F101:G101"/>
    <mergeCell ref="F102:G102"/>
    <mergeCell ref="B14:G14"/>
    <mergeCell ref="F7:G8"/>
    <mergeCell ref="A24:E24"/>
    <mergeCell ref="A25:E25"/>
    <mergeCell ref="A13:A15"/>
    <mergeCell ref="A17:E17"/>
    <mergeCell ref="A18:E18"/>
    <mergeCell ref="A19:E19"/>
    <mergeCell ref="A32:E32"/>
    <mergeCell ref="F24:G24"/>
    <mergeCell ref="F25:G25"/>
    <mergeCell ref="F23:G23"/>
    <mergeCell ref="F26:G26"/>
    <mergeCell ref="F27:G27"/>
    <mergeCell ref="F28:G28"/>
    <mergeCell ref="F29:G29"/>
    <mergeCell ref="F30:G30"/>
    <mergeCell ref="A7:A8"/>
  </mergeCells>
  <dataValidations count="4">
    <dataValidation allowBlank="1" showInputMessage="1" showErrorMessage="1" prompt="Amount is automatically calculated in this column under this heading" sqref="E135:F135 E151:F151" xr:uid="{1F283287-30C5-44A3-9210-51C267A14160}"/>
    <dataValidation allowBlank="1" showInputMessage="1" showErrorMessage="1" prompt="Enter Rate in this column under this heading" sqref="D135 D151" xr:uid="{41521997-76A3-4201-BD93-B74994321389}"/>
    <dataValidation allowBlank="1" showInputMessage="1" showErrorMessage="1" prompt="Enter Hours in this column under this heading" sqref="B151 B135" xr:uid="{461A5A14-1F48-4841-A401-6FC2CC517584}"/>
    <dataValidation allowBlank="1" showInputMessage="1" showErrorMessage="1" prompt="Enter Descriptions in this column under this heading. Use heading filters to find specific entries" sqref="A135 A151" xr:uid="{9DE54FB2-AEF4-48B3-9A0C-263664CFE3E5}"/>
  </dataValidations>
  <hyperlinks>
    <hyperlink ref="F6" r:id="rId1" xr:uid="{EADF35D6-321B-4DBF-8C4F-4D706BDC217E}"/>
  </hyperlinks>
  <printOptions horizontalCentered="1"/>
  <pageMargins left="0.2" right="0.2" top="0.25" bottom="0.25" header="0" footer="0"/>
  <pageSetup orientation="portrait" r:id="rId2"/>
  <rowBreaks count="3" manualBreakCount="3">
    <brk id="42" max="16383" man="1"/>
    <brk id="84" max="16383" man="1"/>
    <brk id="126" max="16383" man="1"/>
  </rowBrea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B8BF-C023-4F5B-BF95-6950C2F8D16C}">
  <sheetPr codeName="Sheet8"/>
  <dimension ref="A1:I353"/>
  <sheetViews>
    <sheetView tabSelected="1" topLeftCell="A270" zoomScaleNormal="100" workbookViewId="0">
      <selection activeCell="J281" sqref="J281"/>
    </sheetView>
  </sheetViews>
  <sheetFormatPr defaultRowHeight="14.4"/>
  <cols>
    <col min="1" max="1" width="27.44140625" customWidth="1"/>
    <col min="2" max="2" width="14.88671875" customWidth="1"/>
    <col min="3" max="3" width="10.5546875" style="5" bestFit="1" customWidth="1"/>
    <col min="4" max="4" width="17.88671875" customWidth="1"/>
    <col min="5" max="5" width="12" customWidth="1"/>
    <col min="6" max="6" width="11.88671875" customWidth="1"/>
    <col min="8" max="9" width="10.109375" bestFit="1" customWidth="1"/>
  </cols>
  <sheetData>
    <row r="1" spans="1:4" ht="15" thickBot="1"/>
    <row r="2" spans="1:4" ht="1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1</v>
      </c>
      <c r="D4" s="2">
        <f>PLANS!D5</f>
        <v>80</v>
      </c>
    </row>
    <row r="5" spans="1:4">
      <c r="A5" t="str">
        <f>PLANS!A6</f>
        <v>Waterfall:</v>
      </c>
      <c r="B5" s="2">
        <f>PLANS!B6</f>
        <v>15</v>
      </c>
      <c r="C5" s="4">
        <f>PLANS!C6</f>
        <v>1</v>
      </c>
      <c r="D5" s="2">
        <f>PLANS!D6</f>
        <v>15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" thickBot="1"/>
    <row r="9" spans="1:4" ht="15" thickBot="1">
      <c r="A9" s="155" t="s">
        <v>628</v>
      </c>
      <c r="B9" s="156"/>
      <c r="C9" s="157"/>
      <c r="D9" s="158">
        <f>SUM(D3:D8)</f>
        <v>505</v>
      </c>
    </row>
    <row r="10" spans="1:4" ht="15" thickBot="1">
      <c r="A10" s="116"/>
      <c r="B10" s="116"/>
      <c r="C10" s="152"/>
      <c r="D10" s="154"/>
    </row>
    <row r="11" spans="1:4" ht="1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1</v>
      </c>
      <c r="D13" s="2">
        <f>B13*C13</f>
        <v>15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5" thickBot="1"/>
    <row r="16" spans="1:4" ht="15" thickBot="1">
      <c r="A16" s="155" t="s">
        <v>631</v>
      </c>
      <c r="B16" s="156"/>
      <c r="C16" s="157"/>
      <c r="D16" s="158">
        <f>SUM(D12:D15)</f>
        <v>565</v>
      </c>
    </row>
    <row r="17" spans="1:4" ht="15" thickBot="1">
      <c r="A17" s="116"/>
      <c r="B17" s="116"/>
      <c r="C17" s="152"/>
      <c r="D17" s="154"/>
    </row>
    <row r="18" spans="1:4" ht="1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1</v>
      </c>
      <c r="D19" s="2">
        <f>B19*C19</f>
        <v>850</v>
      </c>
    </row>
    <row r="20" spans="1:4">
      <c r="A20" t="s">
        <v>476</v>
      </c>
      <c r="B20" s="2">
        <v>150</v>
      </c>
      <c r="C20" s="4">
        <f>EXC!C27</f>
        <v>1</v>
      </c>
      <c r="D20" s="2">
        <f>B20*C20</f>
        <v>150</v>
      </c>
    </row>
    <row r="21" spans="1:4">
      <c r="A21" t="s">
        <v>856</v>
      </c>
      <c r="B21" s="2">
        <v>75</v>
      </c>
      <c r="C21" s="4">
        <v>1</v>
      </c>
      <c r="D21" s="2">
        <f>B21*C21</f>
        <v>75</v>
      </c>
    </row>
    <row r="22" spans="1:4" ht="15" thickBot="1"/>
    <row r="23" spans="1:4" ht="15" thickBot="1">
      <c r="A23" s="155" t="s">
        <v>1</v>
      </c>
      <c r="B23" s="156"/>
      <c r="C23" s="157"/>
      <c r="D23" s="158">
        <f>SUM(D19:D22)</f>
        <v>1075</v>
      </c>
    </row>
    <row r="24" spans="1:4" ht="15" thickBot="1"/>
    <row r="25" spans="1:4" ht="15" thickBot="1">
      <c r="A25" s="611" t="s">
        <v>475</v>
      </c>
      <c r="B25" s="612"/>
      <c r="C25" s="612"/>
      <c r="D25" s="613"/>
    </row>
    <row r="26" spans="1:4">
      <c r="A26" t="s">
        <v>487</v>
      </c>
      <c r="B26" s="4">
        <f>EXC!G5</f>
        <v>560</v>
      </c>
      <c r="D26" s="2">
        <f>EXC!D18</f>
        <v>2700</v>
      </c>
    </row>
    <row r="27" spans="1:4">
      <c r="A27" t="s">
        <v>900</v>
      </c>
      <c r="B27" s="21">
        <f>EXC!B17</f>
        <v>4900</v>
      </c>
      <c r="C27" s="5">
        <f>EXC!C17</f>
        <v>0</v>
      </c>
      <c r="D27" s="2">
        <f>EXC!D17</f>
        <v>0</v>
      </c>
    </row>
    <row r="28" spans="1:4">
      <c r="A28" t="str">
        <f>EXC!A20</f>
        <v>Add'l 6" Depth:</v>
      </c>
      <c r="B28" s="1">
        <f>EXC!B20</f>
        <v>90</v>
      </c>
      <c r="C28" s="5">
        <f>EXC!C20</f>
        <v>0</v>
      </c>
      <c r="D28" s="1">
        <f>EXC!D20</f>
        <v>0</v>
      </c>
    </row>
    <row r="29" spans="1:4">
      <c r="A29" t="str">
        <f>EXC!A21</f>
        <v>6" RBB:</v>
      </c>
      <c r="B29" s="2">
        <f>EXC!B21</f>
        <v>5</v>
      </c>
      <c r="C29" s="4">
        <f>EXC!C21</f>
        <v>46</v>
      </c>
      <c r="D29" s="2">
        <f>EXC!D21</f>
        <v>230</v>
      </c>
    </row>
    <row r="30" spans="1:4">
      <c r="A30" t="str">
        <f>EXC!A22</f>
        <v>12" RBB:</v>
      </c>
      <c r="B30" s="2">
        <f>EXC!B22</f>
        <v>6.5</v>
      </c>
      <c r="C30" s="4">
        <f>EXC!C22</f>
        <v>0</v>
      </c>
      <c r="D30" s="2">
        <f>EXC!D22</f>
        <v>0</v>
      </c>
    </row>
    <row r="31" spans="1:4">
      <c r="A31" t="str">
        <f>EXC!A23</f>
        <v>18" RBB:</v>
      </c>
      <c r="B31" s="2">
        <f>EXC!B23</f>
        <v>7.5</v>
      </c>
      <c r="C31" s="4">
        <f>EXC!C23</f>
        <v>0</v>
      </c>
      <c r="D31" s="2">
        <f>EXC!D23</f>
        <v>0</v>
      </c>
    </row>
    <row r="32" spans="1:4">
      <c r="A32" t="str">
        <f>EXC!A24</f>
        <v>24" RBB:</v>
      </c>
      <c r="B32" s="2">
        <f>EXC!B24</f>
        <v>8.5</v>
      </c>
      <c r="C32" s="4">
        <f>EXC!C24</f>
        <v>49</v>
      </c>
      <c r="D32" s="2">
        <f>EXC!D24</f>
        <v>416.5</v>
      </c>
    </row>
    <row r="33" spans="1:6">
      <c r="A33" t="str">
        <f>EXC!A25</f>
        <v>30" RBB"</v>
      </c>
      <c r="B33" s="2">
        <f>EXC!B25</f>
        <v>9</v>
      </c>
      <c r="C33" s="4">
        <f>EXC!C25</f>
        <v>0</v>
      </c>
      <c r="D33" s="2">
        <f>EXC!D25</f>
        <v>0</v>
      </c>
    </row>
    <row r="34" spans="1:6">
      <c r="A34" t="str">
        <f>EXC!A26</f>
        <v>36" RBB:</v>
      </c>
      <c r="B34" s="2">
        <f>EXC!B26</f>
        <v>10</v>
      </c>
      <c r="C34" s="4">
        <f>EXC!C26</f>
        <v>0</v>
      </c>
      <c r="D34" s="2">
        <f>EXC!D26</f>
        <v>0</v>
      </c>
    </row>
    <row r="35" spans="1:6">
      <c r="A35" t="str">
        <f>EXC!A27</f>
        <v>Base Spa:</v>
      </c>
      <c r="B35" s="1">
        <f>EXC!B27</f>
        <v>200</v>
      </c>
      <c r="C35" s="5">
        <f>EXC!C27</f>
        <v>1</v>
      </c>
      <c r="D35" s="1">
        <f>EXC!D27</f>
        <v>200</v>
      </c>
    </row>
    <row r="36" spans="1:6">
      <c r="A36" t="str">
        <f>EXC!A28</f>
        <v>Raise Spa:</v>
      </c>
      <c r="B36" s="1">
        <f>EXC!B28</f>
        <v>350</v>
      </c>
      <c r="C36" s="5">
        <f>EXC!C28</f>
        <v>1</v>
      </c>
      <c r="D36" s="1">
        <f>EXC!D28</f>
        <v>350</v>
      </c>
    </row>
    <row r="37" spans="1:6">
      <c r="A37" t="str">
        <f>EXC!A29</f>
        <v>Site Prep:</v>
      </c>
      <c r="B37" s="1">
        <f>EXC!B29</f>
        <v>200</v>
      </c>
      <c r="C37" s="5">
        <f>EXC!C29</f>
        <v>0</v>
      </c>
      <c r="D37" s="1">
        <f>EXC!D29</f>
        <v>0</v>
      </c>
    </row>
    <row r="38" spans="1:6">
      <c r="A38" t="str">
        <f>EXC!A30</f>
        <v>Backfill:</v>
      </c>
      <c r="B38" s="2">
        <f>EXC!B30</f>
        <v>600</v>
      </c>
      <c r="C38" s="4">
        <f>EXC!C30</f>
        <v>1</v>
      </c>
      <c r="D38" s="2">
        <f>EXC!D30</f>
        <v>600</v>
      </c>
    </row>
    <row r="39" spans="1:6">
      <c r="A39" t="str">
        <f>EXC!A31</f>
        <v>Gravel:</v>
      </c>
      <c r="B39" s="1">
        <f>EXC!B31</f>
        <v>1</v>
      </c>
      <c r="C39" s="5">
        <f>EXC!C31</f>
        <v>2.75</v>
      </c>
      <c r="D39" s="1">
        <f>EXC!D31</f>
        <v>1540</v>
      </c>
    </row>
    <row r="40" spans="1:6">
      <c r="A40" t="str">
        <f>EXC!A32</f>
        <v>Dirt Haul:</v>
      </c>
      <c r="B40" s="1">
        <f>EXC!B32</f>
        <v>18</v>
      </c>
      <c r="C40" s="5">
        <f>ROUNDUP(EXC!C32,0)</f>
        <v>169</v>
      </c>
      <c r="D40" s="1">
        <f>ROUNDUP(EXC!D32,0)</f>
        <v>3039</v>
      </c>
    </row>
    <row r="41" spans="1:6">
      <c r="A41" t="str">
        <f>EXC!A33</f>
        <v>Cover Box:</v>
      </c>
      <c r="B41" s="1">
        <f>EXC!B33</f>
        <v>450</v>
      </c>
      <c r="C41" s="5">
        <f>EXC!C33</f>
        <v>0</v>
      </c>
      <c r="D41" s="1">
        <f>EXC!D33</f>
        <v>0</v>
      </c>
    </row>
    <row r="42" spans="1:6">
      <c r="A42" t="str">
        <f>EXC!A34</f>
        <v>Travel:</v>
      </c>
      <c r="B42" s="1">
        <f>EXC!B34</f>
        <v>7</v>
      </c>
      <c r="C42" s="5">
        <f>EXC!C34</f>
        <v>0</v>
      </c>
      <c r="D42" s="1">
        <f>EXC!D34</f>
        <v>0</v>
      </c>
    </row>
    <row r="43" spans="1:6">
      <c r="A43" t="str">
        <f>EXC!A35</f>
        <v>Misc:</v>
      </c>
      <c r="B43" s="1">
        <f>EXC!B35</f>
        <v>75</v>
      </c>
      <c r="C43" s="5">
        <f>EXC!C35</f>
        <v>1</v>
      </c>
      <c r="D43" s="1">
        <f>EXC!D35</f>
        <v>75</v>
      </c>
      <c r="E43" s="4" t="s">
        <v>765</v>
      </c>
    </row>
    <row r="44" spans="1:6" ht="15" thickBot="1">
      <c r="A44" s="153" t="s">
        <v>1135</v>
      </c>
      <c r="B44" s="153"/>
      <c r="C44" s="485"/>
      <c r="D44" s="486">
        <f>F44*-E44</f>
        <v>-915.05000000000007</v>
      </c>
      <c r="E44" s="455">
        <v>0.1</v>
      </c>
      <c r="F44" s="1">
        <f>SUM(D26:D43)</f>
        <v>9150.5</v>
      </c>
    </row>
    <row r="45" spans="1:6" ht="15" thickBot="1">
      <c r="A45" s="155" t="s">
        <v>521</v>
      </c>
      <c r="B45" s="156"/>
      <c r="C45" s="157"/>
      <c r="D45" s="454">
        <f>IF('NEW POOL'!B21+'NEW POOL'!B22+'NEW POOL'!B23&gt;0,D40+('NEW POOL'!B47*D43),SUM(D26:D44))</f>
        <v>8235.4500000000007</v>
      </c>
    </row>
    <row r="46" spans="1:6" ht="15" thickBot="1"/>
    <row r="47" spans="1:6" ht="15" thickBot="1">
      <c r="A47" s="611" t="s">
        <v>494</v>
      </c>
      <c r="B47" s="612"/>
      <c r="C47" s="612"/>
      <c r="D47" s="613"/>
    </row>
    <row r="48" spans="1:6">
      <c r="A48" t="str">
        <f>PLUM!A4</f>
        <v>Short Stub</v>
      </c>
      <c r="B48" s="2">
        <f>PLUM!B4</f>
        <v>550</v>
      </c>
      <c r="C48" s="4">
        <f>PLUM!C4</f>
        <v>1</v>
      </c>
      <c r="D48" s="2">
        <f>PLUM!D4</f>
        <v>550</v>
      </c>
    </row>
    <row r="49" spans="1:4">
      <c r="A49" t="str">
        <f>PLUM!A5</f>
        <v>Spa Base:</v>
      </c>
      <c r="B49" s="2">
        <f>PLUM!B5</f>
        <v>750</v>
      </c>
      <c r="C49" s="4">
        <f>PLUM!C5</f>
        <v>1</v>
      </c>
      <c r="D49" s="2">
        <f>PLUM!D5</f>
        <v>750</v>
      </c>
    </row>
    <row r="50" spans="1:4">
      <c r="A50" t="s">
        <v>872</v>
      </c>
      <c r="B50" s="2">
        <f>PLUM!B8</f>
        <v>25</v>
      </c>
      <c r="C50" s="4">
        <f>PLUM!C8</f>
        <v>180</v>
      </c>
      <c r="D50" s="24">
        <f>PLUM!D8</f>
        <v>4500</v>
      </c>
    </row>
    <row r="51" spans="1:4">
      <c r="A51" t="s">
        <v>871</v>
      </c>
      <c r="B51" s="2">
        <f>PLUM!B9</f>
        <v>22</v>
      </c>
      <c r="C51" s="4">
        <f>PLUM!C9</f>
        <v>80</v>
      </c>
      <c r="D51" s="24">
        <f>PLUM!D9</f>
        <v>1760</v>
      </c>
    </row>
    <row r="52" spans="1:4">
      <c r="A52" t="str">
        <f>PLUM!A10</f>
        <v>1/2"</v>
      </c>
      <c r="B52" s="2">
        <f>PLUM!B10</f>
        <v>3.25</v>
      </c>
      <c r="C52" s="4">
        <f>PLUM!C10</f>
        <v>0</v>
      </c>
      <c r="D52" s="2">
        <f>PLUM!D10</f>
        <v>0</v>
      </c>
    </row>
    <row r="53" spans="1:4">
      <c r="A53" t="str">
        <f>PLUM!A11</f>
        <v>3/4"</v>
      </c>
      <c r="B53" s="2">
        <f>PLUM!B11</f>
        <v>3</v>
      </c>
      <c r="C53" s="4">
        <f>PLUM!C11</f>
        <v>0</v>
      </c>
      <c r="D53" s="2">
        <f>PLUM!D11</f>
        <v>0</v>
      </c>
    </row>
    <row r="54" spans="1:4">
      <c r="A54" t="str">
        <f>PLUM!A12</f>
        <v>1"</v>
      </c>
      <c r="B54" s="2">
        <f>PLUM!B12</f>
        <v>3.5</v>
      </c>
      <c r="C54" s="4">
        <f>PLUM!C12</f>
        <v>0</v>
      </c>
      <c r="D54" s="2">
        <f>PLUM!D12</f>
        <v>0</v>
      </c>
    </row>
    <row r="55" spans="1:4">
      <c r="A55" t="str">
        <f>PLUM!A13</f>
        <v>1.5"</v>
      </c>
      <c r="B55" s="2">
        <f>PLUM!B13</f>
        <v>4.5</v>
      </c>
      <c r="C55" s="4">
        <f>PLUM!C13</f>
        <v>0</v>
      </c>
      <c r="D55" s="2">
        <f>PLUM!D13</f>
        <v>0</v>
      </c>
    </row>
    <row r="56" spans="1:4">
      <c r="A56" t="str">
        <f>PLUM!A14</f>
        <v>2.0"</v>
      </c>
      <c r="B56" s="2">
        <f>PLUM!B14</f>
        <v>5.5</v>
      </c>
      <c r="C56" s="4">
        <f>PLUM!C14</f>
        <v>392</v>
      </c>
      <c r="D56" s="2">
        <f>PLUM!D14</f>
        <v>2156</v>
      </c>
    </row>
    <row r="57" spans="1:4">
      <c r="A57" t="str">
        <f>PLUM!A15</f>
        <v>2.5"</v>
      </c>
      <c r="B57" s="2">
        <f>PLUM!B15</f>
        <v>7</v>
      </c>
      <c r="C57" s="4">
        <f>PLUM!C15</f>
        <v>78</v>
      </c>
      <c r="D57" s="2">
        <f>PLUM!D15</f>
        <v>546</v>
      </c>
    </row>
    <row r="58" spans="1:4">
      <c r="A58" t="str">
        <f>PLUM!A16</f>
        <v>3.0"</v>
      </c>
      <c r="B58" s="2">
        <f>PLUM!B16</f>
        <v>8.75</v>
      </c>
      <c r="C58" s="4">
        <f>PLUM!C16</f>
        <v>0</v>
      </c>
      <c r="D58" s="2">
        <f>PLUM!D16</f>
        <v>0</v>
      </c>
    </row>
    <row r="59" spans="1:4">
      <c r="A59" t="str">
        <f>PLUM!A17</f>
        <v>W/F (1)</v>
      </c>
      <c r="B59" s="2"/>
      <c r="C59" s="4"/>
      <c r="D59" s="2">
        <f>PLUM!D17</f>
        <v>0</v>
      </c>
    </row>
    <row r="60" spans="1:4">
      <c r="A60" t="str">
        <f>PLUM!A18</f>
        <v>W/F (2)</v>
      </c>
      <c r="B60" s="2"/>
      <c r="C60" s="4"/>
      <c r="D60" s="2">
        <f>PLUM!D18</f>
        <v>0</v>
      </c>
    </row>
    <row r="61" spans="1:4">
      <c r="A61" t="str">
        <f>PLUM!A19</f>
        <v>W/F (3)</v>
      </c>
      <c r="B61" s="2"/>
      <c r="C61" s="4"/>
      <c r="D61" s="2">
        <f>PLUM!D19</f>
        <v>0</v>
      </c>
    </row>
    <row r="62" spans="1:4">
      <c r="A62" t="str">
        <f>PLUM!A20</f>
        <v>W/F (4)</v>
      </c>
      <c r="B62" s="2"/>
      <c r="C62" s="4"/>
      <c r="D62" s="2">
        <f>PLUM!D20</f>
        <v>0</v>
      </c>
    </row>
    <row r="63" spans="1:4">
      <c r="A63" t="str">
        <f>PLUM!A22</f>
        <v>Add'l Main Drain:</v>
      </c>
      <c r="B63" s="2">
        <f>PLUM!B22</f>
        <v>275</v>
      </c>
      <c r="C63" s="4">
        <f>PLUM!C22</f>
        <v>0</v>
      </c>
      <c r="D63" s="2">
        <f>PLUM!D22</f>
        <v>0</v>
      </c>
    </row>
    <row r="64" spans="1:4">
      <c r="A64" t="str">
        <f>PLUM!A23</f>
        <v>Manifold:</v>
      </c>
      <c r="B64" s="2">
        <f>PLUM!B23</f>
        <v>175</v>
      </c>
      <c r="C64" s="4">
        <f>PLUM!C23</f>
        <v>1</v>
      </c>
      <c r="D64" s="2">
        <f>PLUM!D23</f>
        <v>175</v>
      </c>
    </row>
    <row r="65" spans="1:6">
      <c r="A65" t="str">
        <f>PLUM!A24</f>
        <v>Heater Set:</v>
      </c>
      <c r="B65" s="2">
        <f>PLUM!B24</f>
        <v>300</v>
      </c>
      <c r="C65" s="4">
        <f>PLUM!C24</f>
        <v>0</v>
      </c>
      <c r="D65" s="2">
        <f>PLUM!D24</f>
        <v>0</v>
      </c>
    </row>
    <row r="66" spans="1:6">
      <c r="A66" t="str">
        <f>PLUM!A25</f>
        <v>Infloor:</v>
      </c>
      <c r="B66" s="2">
        <f>PLUM!B25</f>
        <v>10</v>
      </c>
      <c r="C66" s="4">
        <f>PLUM!C25</f>
        <v>0</v>
      </c>
      <c r="D66" s="2">
        <f>PLUM!D25</f>
        <v>0</v>
      </c>
    </row>
    <row r="67" spans="1:6">
      <c r="A67" t="str">
        <f>PLUM!A26</f>
        <v>Conduit:</v>
      </c>
      <c r="B67" s="2">
        <f>PLUM!B26</f>
        <v>2.75</v>
      </c>
      <c r="C67" s="4">
        <f>PLUM!C26</f>
        <v>369</v>
      </c>
      <c r="D67" s="2">
        <f>PLUM!D26</f>
        <v>1014.75</v>
      </c>
    </row>
    <row r="68" spans="1:6">
      <c r="A68" t="str">
        <f>PLUM!A27</f>
        <v>Strip Forms</v>
      </c>
      <c r="B68" s="2">
        <f>PLUM!B27</f>
        <v>700</v>
      </c>
      <c r="C68" s="4">
        <f>PLUM!C27</f>
        <v>1</v>
      </c>
      <c r="D68" s="2">
        <f>PLUM!D27</f>
        <v>700</v>
      </c>
    </row>
    <row r="69" spans="1:6">
      <c r="A69" t="str">
        <f>PLUM!A28</f>
        <v>Travel:</v>
      </c>
      <c r="B69" s="2">
        <f>PLUM!B28</f>
        <v>5</v>
      </c>
      <c r="C69" s="4">
        <f>PLUM!C28</f>
        <v>0</v>
      </c>
      <c r="D69" s="2">
        <f>PLUM!D28</f>
        <v>0</v>
      </c>
    </row>
    <row r="70" spans="1:6" ht="15" thickBot="1">
      <c r="A70" s="153" t="s">
        <v>1135</v>
      </c>
      <c r="B70" s="153"/>
      <c r="C70" s="485"/>
      <c r="D70" s="486">
        <f>F70*-E70</f>
        <v>0</v>
      </c>
      <c r="E70" s="487">
        <v>0</v>
      </c>
      <c r="F70" s="1">
        <f>SUM(D48:D69)</f>
        <v>12151.75</v>
      </c>
    </row>
    <row r="71" spans="1:6" ht="15" thickBot="1">
      <c r="A71" s="155" t="s">
        <v>520</v>
      </c>
      <c r="B71" s="156"/>
      <c r="C71" s="157"/>
      <c r="D71" s="158">
        <f>IF('NEW POOL'!B21+'NEW POOL'!B22+'NEW POOL'!B23&gt;0,(SUM(D48:D70)*0.4),SUM(D48:D70))</f>
        <v>12151.75</v>
      </c>
    </row>
    <row r="72" spans="1:6" ht="15" thickBot="1">
      <c r="A72" s="116"/>
      <c r="B72" s="116"/>
      <c r="C72" s="152"/>
      <c r="D72" s="154"/>
    </row>
    <row r="73" spans="1:6" ht="15" thickBot="1">
      <c r="A73" s="611" t="s">
        <v>668</v>
      </c>
      <c r="B73" s="612"/>
      <c r="C73" s="612"/>
      <c r="D73" s="613"/>
    </row>
    <row r="74" spans="1:6">
      <c r="A74" t="str">
        <f>PLUM!A33</f>
        <v>Base Set:</v>
      </c>
      <c r="B74" s="129">
        <f>PLUM!B33</f>
        <v>1500</v>
      </c>
      <c r="C74" s="4">
        <f>IF('NEW POOL'!B68&gt;0,1,0)</f>
        <v>1</v>
      </c>
      <c r="D74" s="129">
        <f>B74*C74</f>
        <v>1500</v>
      </c>
    </row>
    <row r="75" spans="1:6">
      <c r="A75" t="str">
        <f>PLUM!A34</f>
        <v>Add'l Run</v>
      </c>
      <c r="B75" s="129">
        <f>PLUM!B34</f>
        <v>11</v>
      </c>
      <c r="C75" s="4">
        <f>PLUM!C34</f>
        <v>50</v>
      </c>
      <c r="D75" s="129">
        <f>PLUM!D34</f>
        <v>550</v>
      </c>
    </row>
    <row r="76" spans="1:6" ht="15" thickBot="1">
      <c r="B76" s="129"/>
      <c r="C76" s="4"/>
      <c r="D76" s="129"/>
    </row>
    <row r="77" spans="1:6" ht="15" thickBot="1">
      <c r="A77" s="155" t="s">
        <v>669</v>
      </c>
      <c r="B77" s="156"/>
      <c r="C77" s="157"/>
      <c r="D77" s="158">
        <f>SUM(D74:D76)</f>
        <v>2050</v>
      </c>
    </row>
    <row r="78" spans="1:6" ht="15" thickBot="1">
      <c r="A78" s="116"/>
      <c r="B78" s="116"/>
      <c r="C78" s="116"/>
      <c r="D78" s="116"/>
    </row>
    <row r="79" spans="1:6" ht="15" thickBot="1">
      <c r="A79" s="611" t="s">
        <v>524</v>
      </c>
      <c r="B79" s="612"/>
      <c r="C79" s="612"/>
      <c r="D79" s="613"/>
    </row>
    <row r="80" spans="1:6">
      <c r="A80" t="str">
        <f>STEEL!A4</f>
        <v>Base:</v>
      </c>
      <c r="B80" s="2">
        <f>STEEL!B4</f>
        <v>25</v>
      </c>
      <c r="C80" s="4">
        <f>STEEL!C4</f>
        <v>100</v>
      </c>
      <c r="D80" s="2">
        <f>STEEL!D4</f>
        <v>2500</v>
      </c>
    </row>
    <row r="81" spans="1:4">
      <c r="A81" t="str">
        <f>STEEL!A5</f>
        <v>4-Bar Beam:</v>
      </c>
      <c r="B81" s="2">
        <f>STEEL!B5</f>
        <v>100</v>
      </c>
      <c r="C81" s="4">
        <f>STEEL!C5</f>
        <v>1</v>
      </c>
      <c r="D81" s="2">
        <f>STEEL!D5</f>
        <v>100</v>
      </c>
    </row>
    <row r="82" spans="1:4">
      <c r="A82" t="str">
        <f>STEEL!A6</f>
        <v>10" OC:</v>
      </c>
      <c r="B82" s="2">
        <f>STEEL!B6</f>
        <v>0</v>
      </c>
      <c r="C82" s="4">
        <f>STEEL!C6</f>
        <v>100</v>
      </c>
      <c r="D82" s="2">
        <f>STEEL!D6</f>
        <v>0</v>
      </c>
    </row>
    <row r="83" spans="1:4">
      <c r="A83" t="str">
        <f>STEEL!A7</f>
        <v>Add'l 6" Depth:</v>
      </c>
      <c r="B83" s="2">
        <f>STEEL!B7</f>
        <v>100</v>
      </c>
      <c r="C83" s="4">
        <f>STEEL!C7</f>
        <v>0</v>
      </c>
      <c r="D83" s="2">
        <f>STEEL!D7</f>
        <v>0</v>
      </c>
    </row>
    <row r="84" spans="1:4">
      <c r="A84" t="str">
        <f>STEEL!A8</f>
        <v>Spa:</v>
      </c>
      <c r="B84" s="2">
        <f>STEEL!B8</f>
        <v>450</v>
      </c>
      <c r="C84" s="4">
        <f>STEEL!C8</f>
        <v>1</v>
      </c>
      <c r="D84" s="2">
        <f>STEEL!D8</f>
        <v>450</v>
      </c>
    </row>
    <row r="85" spans="1:4">
      <c r="A85" t="s">
        <v>490</v>
      </c>
      <c r="B85" s="2">
        <f>STEEL!B9</f>
        <v>150</v>
      </c>
      <c r="C85" s="423">
        <f>STEEL!C9</f>
        <v>1</v>
      </c>
      <c r="D85" s="2">
        <f>STEEL!D9</f>
        <v>150</v>
      </c>
    </row>
    <row r="86" spans="1:4">
      <c r="A86" t="str">
        <f>STEEL!A10</f>
        <v>Bench:</v>
      </c>
      <c r="B86" s="2">
        <f>STEEL!B10</f>
        <v>8</v>
      </c>
      <c r="C86" s="4">
        <f>STEEL!C10</f>
        <v>52</v>
      </c>
      <c r="D86" s="2">
        <f>STEEL!D10</f>
        <v>416</v>
      </c>
    </row>
    <row r="87" spans="1:4">
      <c r="A87" t="str">
        <f>STEEL!A11</f>
        <v>6" RBB:</v>
      </c>
      <c r="B87" s="2">
        <f>STEEL!B11</f>
        <v>3</v>
      </c>
      <c r="C87" s="4">
        <f>STEEL!C11</f>
        <v>46</v>
      </c>
      <c r="D87" s="2">
        <f>STEEL!D11</f>
        <v>138</v>
      </c>
    </row>
    <row r="88" spans="1:4">
      <c r="A88" t="str">
        <f>STEEL!A12</f>
        <v>12" RBB:</v>
      </c>
      <c r="B88" s="2">
        <f>STEEL!B12</f>
        <v>4</v>
      </c>
      <c r="C88" s="4">
        <f>STEEL!C12</f>
        <v>0</v>
      </c>
      <c r="D88" s="2">
        <f>STEEL!D12</f>
        <v>0</v>
      </c>
    </row>
    <row r="89" spans="1:4">
      <c r="A89" t="str">
        <f>STEEL!A13</f>
        <v>18" RBB:</v>
      </c>
      <c r="B89" s="2">
        <f>STEEL!B13</f>
        <v>5</v>
      </c>
      <c r="C89" s="4">
        <f>STEEL!C13</f>
        <v>0</v>
      </c>
      <c r="D89" s="2">
        <f>STEEL!D13</f>
        <v>0</v>
      </c>
    </row>
    <row r="90" spans="1:4">
      <c r="A90" t="str">
        <f>STEEL!A14</f>
        <v>24" RBB:</v>
      </c>
      <c r="B90" s="2">
        <f>STEEL!B14</f>
        <v>6</v>
      </c>
      <c r="C90" s="4">
        <f>STEEL!C14</f>
        <v>49</v>
      </c>
      <c r="D90" s="2">
        <f>STEEL!D14</f>
        <v>294</v>
      </c>
    </row>
    <row r="91" spans="1:4">
      <c r="A91" t="str">
        <f>STEEL!A15</f>
        <v>30" RBB:</v>
      </c>
      <c r="B91" s="2">
        <f>STEEL!B15</f>
        <v>7</v>
      </c>
      <c r="C91" s="4">
        <f>STEEL!C15</f>
        <v>0</v>
      </c>
      <c r="D91" s="2">
        <f>STEEL!D15</f>
        <v>0</v>
      </c>
    </row>
    <row r="92" spans="1:4">
      <c r="A92" t="str">
        <f>STEEL!A16</f>
        <v>36" RBB:</v>
      </c>
      <c r="B92" s="2">
        <f>STEEL!B16</f>
        <v>7</v>
      </c>
      <c r="C92" s="4">
        <f>STEEL!C16</f>
        <v>0</v>
      </c>
      <c r="D92" s="2">
        <f>STEEL!D16</f>
        <v>0</v>
      </c>
    </row>
    <row r="93" spans="1:4">
      <c r="A93" t="str">
        <f>STEEL!A17</f>
        <v>Pool Bonding:</v>
      </c>
      <c r="B93" s="2">
        <f>STEEL!B17</f>
        <v>500</v>
      </c>
      <c r="C93" s="4">
        <f>STEEL!C17</f>
        <v>1</v>
      </c>
      <c r="D93" s="2">
        <f>STEEL!D17</f>
        <v>500</v>
      </c>
    </row>
    <row r="94" spans="1:4">
      <c r="A94" t="str">
        <f>STEEL!A18</f>
        <v>Bonding Lights:</v>
      </c>
      <c r="B94" s="2">
        <f>STEEL!B18</f>
        <v>0</v>
      </c>
      <c r="C94" s="4">
        <f>STEEL!C18</f>
        <v>4</v>
      </c>
      <c r="D94" s="2">
        <f>STEEL!D18</f>
        <v>0</v>
      </c>
    </row>
    <row r="95" spans="1:4">
      <c r="A95" t="str">
        <f>STEEL!A19</f>
        <v>#4 in Floor:</v>
      </c>
      <c r="B95" s="2">
        <f>STEEL!B19</f>
        <v>0</v>
      </c>
      <c r="C95" s="4">
        <f>STEEL!C19</f>
        <v>0</v>
      </c>
      <c r="D95" s="2">
        <f>STEEL!D19</f>
        <v>0</v>
      </c>
    </row>
    <row r="96" spans="1:4">
      <c r="A96" t="str">
        <f>STEEL!A20</f>
        <v>Depth over 8':</v>
      </c>
      <c r="B96" s="2">
        <f>STEEL!B20</f>
        <v>80</v>
      </c>
      <c r="C96" s="4">
        <f>STEEL!C20</f>
        <v>0</v>
      </c>
      <c r="D96" s="2">
        <f>STEEL!D20</f>
        <v>0</v>
      </c>
    </row>
    <row r="97" spans="1:6">
      <c r="A97" t="str">
        <f>STEEL!A21</f>
        <v>Negative Edge:</v>
      </c>
      <c r="B97" s="2">
        <f>STEEL!B21</f>
        <v>750</v>
      </c>
      <c r="C97" s="4">
        <f>STEEL!C21</f>
        <v>0</v>
      </c>
      <c r="D97" s="2">
        <f>STEEL!D21</f>
        <v>0</v>
      </c>
    </row>
    <row r="98" spans="1:6">
      <c r="A98" t="str">
        <f>STEEL!A22</f>
        <v>Tanning Shelf:</v>
      </c>
      <c r="B98" s="2">
        <f>STEEL!B22</f>
        <v>275</v>
      </c>
      <c r="C98" s="4">
        <f>STEEL!C22</f>
        <v>1</v>
      </c>
      <c r="D98" s="2">
        <f>STEEL!D22</f>
        <v>275</v>
      </c>
    </row>
    <row r="99" spans="1:6">
      <c r="A99" t="str">
        <f>STEEL!A24</f>
        <v>Spa Double Curtain:</v>
      </c>
      <c r="B99" s="2">
        <f>STEEL!B24</f>
        <v>75</v>
      </c>
      <c r="C99" s="4">
        <f>STEEL!C24</f>
        <v>1</v>
      </c>
      <c r="D99" s="2">
        <f>STEEL!D24</f>
        <v>75</v>
      </c>
    </row>
    <row r="100" spans="1:6">
      <c r="A100" t="str">
        <f>STEEL!A25</f>
        <v>Double Curtain:</v>
      </c>
      <c r="B100" s="2">
        <f>STEEL!B25</f>
        <v>35</v>
      </c>
      <c r="C100" s="4">
        <f>STEEL!C25</f>
        <v>0</v>
      </c>
      <c r="D100" s="2">
        <f>STEEL!D25</f>
        <v>0</v>
      </c>
    </row>
    <row r="101" spans="1:6">
      <c r="A101" t="str">
        <f>STEEL!A23</f>
        <v>Muck Out:</v>
      </c>
      <c r="B101" s="2">
        <f>STEEL!B23</f>
        <v>100</v>
      </c>
      <c r="C101" s="4">
        <f>STEEL!C23</f>
        <v>2</v>
      </c>
      <c r="D101" s="2">
        <f>STEEL!D23</f>
        <v>200</v>
      </c>
    </row>
    <row r="102" spans="1:6">
      <c r="A102" t="str">
        <f>STEEL!A26</f>
        <v>Travel:</v>
      </c>
      <c r="B102" s="2">
        <f>STEEL!B26</f>
        <v>7</v>
      </c>
      <c r="C102" s="4">
        <f>STEEL!C26</f>
        <v>0</v>
      </c>
      <c r="D102" s="2">
        <f>STEEL!D26</f>
        <v>0</v>
      </c>
    </row>
    <row r="103" spans="1:6" ht="15" thickBot="1">
      <c r="A103" s="153" t="s">
        <v>1135</v>
      </c>
      <c r="B103" s="153"/>
      <c r="C103" s="485"/>
      <c r="D103" s="486">
        <f>F103*-E103</f>
        <v>0</v>
      </c>
      <c r="E103" s="455">
        <v>0</v>
      </c>
      <c r="F103" s="1">
        <f>SUM(D80:D102)</f>
        <v>5098</v>
      </c>
    </row>
    <row r="104" spans="1:6" ht="15" thickBot="1">
      <c r="A104" s="155" t="s">
        <v>536</v>
      </c>
      <c r="B104" s="156"/>
      <c r="C104" s="157"/>
      <c r="D104" s="158">
        <f>IF('NEW POOL'!$B$21+'NEW POOL'!$B$22+'NEW POOL'!$B$23&gt;0,0,SUM(D80:D103))</f>
        <v>5098</v>
      </c>
    </row>
    <row r="105" spans="1:6" ht="15" thickBot="1"/>
    <row r="106" spans="1:6" ht="15" thickBot="1">
      <c r="A106" s="611" t="s">
        <v>537</v>
      </c>
      <c r="B106" s="612"/>
      <c r="C106" s="612"/>
      <c r="D106" s="613"/>
    </row>
    <row r="107" spans="1:6">
      <c r="A107" t="str">
        <f>ELEC!A4</f>
        <v>Base:</v>
      </c>
      <c r="B107" s="2">
        <f>ELEC!B4</f>
        <v>1650</v>
      </c>
      <c r="C107" s="4">
        <f>ELEC!C4</f>
        <v>1</v>
      </c>
      <c r="D107" s="2">
        <f>ELEC!D4</f>
        <v>1650</v>
      </c>
    </row>
    <row r="108" spans="1:6">
      <c r="A108" t="str">
        <f>ELEC!A5</f>
        <v>Homerun:</v>
      </c>
      <c r="B108" s="2">
        <f>ELEC!B5</f>
        <v>18</v>
      </c>
      <c r="C108" s="4">
        <f>ELEC!C5</f>
        <v>0</v>
      </c>
      <c r="D108" s="2">
        <f>ELEC!D5</f>
        <v>0</v>
      </c>
    </row>
    <row r="109" spans="1:6">
      <c r="A109" t="str">
        <f>ELEC!A6</f>
        <v>Lights:</v>
      </c>
      <c r="B109" s="2">
        <f>ELEC!B6</f>
        <v>100</v>
      </c>
      <c r="C109" s="4">
        <f>ELEC!C6</f>
        <v>3</v>
      </c>
      <c r="D109" s="2">
        <f>ELEC!D6</f>
        <v>300</v>
      </c>
    </row>
    <row r="110" spans="1:6">
      <c r="A110" t="str">
        <f>ELEC!A7</f>
        <v>Heater:</v>
      </c>
      <c r="B110" s="2">
        <f>ELEC!B7</f>
        <v>255</v>
      </c>
      <c r="C110" s="4">
        <f>ELEC!C7</f>
        <v>1</v>
      </c>
      <c r="D110" s="2">
        <f>ELEC!D7</f>
        <v>255</v>
      </c>
    </row>
    <row r="111" spans="1:6">
      <c r="A111" t="str">
        <f>ELEC!A8</f>
        <v>Heatpump:</v>
      </c>
      <c r="B111" s="2">
        <f>ELEC!B8</f>
        <v>450</v>
      </c>
      <c r="C111" s="4">
        <f>ELEC!C8</f>
        <v>0</v>
      </c>
      <c r="D111" s="2">
        <f>ELEC!D8</f>
        <v>0</v>
      </c>
    </row>
    <row r="112" spans="1:6">
      <c r="A112" t="str">
        <f>ELEC!A9</f>
        <v>Add'l Heatpump:</v>
      </c>
      <c r="B112" s="2">
        <f>ELEC!B9</f>
        <v>6</v>
      </c>
      <c r="C112" s="4">
        <f>ELEC!C9</f>
        <v>0</v>
      </c>
      <c r="D112" s="2">
        <f>ELEC!D9</f>
        <v>0</v>
      </c>
    </row>
    <row r="113" spans="1:5">
      <c r="A113" t="str">
        <f>ELEC!A10</f>
        <v>Salt System:</v>
      </c>
      <c r="B113" s="2">
        <f>ELEC!B10</f>
        <v>200</v>
      </c>
      <c r="C113" s="4">
        <f>ELEC!C10</f>
        <v>0</v>
      </c>
      <c r="D113" s="2">
        <f>ELEC!D10</f>
        <v>0</v>
      </c>
    </row>
    <row r="114" spans="1:5">
      <c r="A114" t="str">
        <f>ELEC!A11</f>
        <v>Automation:</v>
      </c>
      <c r="B114" s="2">
        <f>ELEC!B11</f>
        <v>250</v>
      </c>
      <c r="C114" s="4">
        <f>ELEC!C11</f>
        <v>1</v>
      </c>
      <c r="D114" s="2">
        <f>ELEC!D11</f>
        <v>250</v>
      </c>
    </row>
    <row r="115" spans="1:5">
      <c r="A115" t="str">
        <f>ELEC!A12</f>
        <v>Bonding:</v>
      </c>
      <c r="B115" s="2">
        <f>ELEC!B12</f>
        <v>300</v>
      </c>
      <c r="C115" s="4">
        <f>ELEC!C12</f>
        <v>1</v>
      </c>
      <c r="D115" s="2">
        <f>ELEC!D12</f>
        <v>300</v>
      </c>
    </row>
    <row r="116" spans="1:5">
      <c r="A116" t="str">
        <f>ELEC!A13</f>
        <v>Outlet:</v>
      </c>
      <c r="B116" s="2">
        <f>ELEC!B13</f>
        <v>85</v>
      </c>
      <c r="C116" s="4">
        <f>ELEC!C13</f>
        <v>1</v>
      </c>
      <c r="D116" s="2">
        <f>ELEC!D13</f>
        <v>85</v>
      </c>
    </row>
    <row r="117" spans="1:5">
      <c r="A117" t="s">
        <v>869</v>
      </c>
      <c r="B117" s="2">
        <f>ELEC!B15</f>
        <v>3</v>
      </c>
      <c r="C117" s="5">
        <f>'NEW POOL'!B134</f>
        <v>0</v>
      </c>
      <c r="D117" s="2">
        <f>B117*C117</f>
        <v>0</v>
      </c>
      <c r="E117" s="416">
        <f>D117/0.75</f>
        <v>0</v>
      </c>
    </row>
    <row r="118" spans="1:5">
      <c r="A118" t="str">
        <f>ELEC!A14</f>
        <v>Travel:</v>
      </c>
      <c r="B118" s="2">
        <f>ELEC!B14</f>
        <v>7</v>
      </c>
      <c r="C118" s="4">
        <f>ELEC!C14</f>
        <v>0</v>
      </c>
      <c r="D118" s="2">
        <f>ELEC!D14</f>
        <v>0</v>
      </c>
    </row>
    <row r="119" spans="1:5">
      <c r="A119" s="153" t="s">
        <v>1135</v>
      </c>
      <c r="B119" s="488"/>
      <c r="C119" s="168"/>
      <c r="D119" s="488">
        <v>0</v>
      </c>
    </row>
    <row r="120" spans="1:5" ht="15" thickBot="1"/>
    <row r="121" spans="1:5" ht="15" thickBot="1">
      <c r="A121" s="155" t="s">
        <v>559</v>
      </c>
      <c r="B121" s="156"/>
      <c r="C121" s="157"/>
      <c r="D121" s="158">
        <f>SUM(D107:D120)</f>
        <v>2840</v>
      </c>
    </row>
    <row r="122" spans="1:5" ht="15" thickBot="1"/>
    <row r="123" spans="1:5" ht="15" thickBot="1">
      <c r="A123" s="611" t="s">
        <v>541</v>
      </c>
      <c r="B123" s="612"/>
      <c r="C123" s="612"/>
      <c r="D123" s="613"/>
    </row>
    <row r="124" spans="1:5">
      <c r="A124" t="str">
        <f>SHOT!A4</f>
        <v>Minimum Labor:</v>
      </c>
      <c r="B124" s="2">
        <f>SHOT!B4</f>
        <v>90</v>
      </c>
      <c r="C124" s="4">
        <f>SHOT!C4</f>
        <v>32</v>
      </c>
      <c r="D124" s="2">
        <f>SHOT!D4</f>
        <v>2880</v>
      </c>
    </row>
    <row r="125" spans="1:5">
      <c r="A125" t="str">
        <f>SHOT!A5</f>
        <v>Add'l Labor:</v>
      </c>
      <c r="B125" s="2">
        <f>SHOT!B5</f>
        <v>90</v>
      </c>
      <c r="C125" s="4">
        <f>SHOT!C5</f>
        <v>22</v>
      </c>
      <c r="D125" s="2">
        <f>SHOT!D5</f>
        <v>1980</v>
      </c>
    </row>
    <row r="126" spans="1:5">
      <c r="A126" t="str">
        <f>SHOT!A6</f>
        <v>Spa:</v>
      </c>
      <c r="B126" s="2">
        <f>SHOT!B6</f>
        <v>250</v>
      </c>
      <c r="C126" s="4">
        <f>SHOT!C6</f>
        <v>1</v>
      </c>
      <c r="D126" s="2">
        <f>SHOT!D6</f>
        <v>250</v>
      </c>
    </row>
    <row r="127" spans="1:5">
      <c r="A127" t="str">
        <f>SHOT!A7</f>
        <v>Auto Cover:</v>
      </c>
      <c r="B127" s="2">
        <f>SHOT!B7</f>
        <v>250</v>
      </c>
      <c r="C127" s="4">
        <f>SHOT!C7</f>
        <v>0</v>
      </c>
      <c r="D127" s="2">
        <f>SHOT!D7</f>
        <v>0</v>
      </c>
    </row>
    <row r="128" spans="1:5">
      <c r="A128" t="str">
        <f>SHOT!A8</f>
        <v>Distance 251 to 300</v>
      </c>
      <c r="B128" s="2">
        <f>SHOT!B8</f>
        <v>500</v>
      </c>
      <c r="C128" s="4">
        <f>SHOT!C8</f>
        <v>0</v>
      </c>
      <c r="D128" s="2">
        <f>SHOT!D8</f>
        <v>0</v>
      </c>
    </row>
    <row r="129" spans="1:4">
      <c r="A129" t="str">
        <f>SHOT!A9</f>
        <v>Distance 301 to 350</v>
      </c>
      <c r="B129" s="2">
        <f>SHOT!B9</f>
        <v>1000</v>
      </c>
      <c r="C129" s="4">
        <f>SHOT!C9</f>
        <v>0</v>
      </c>
      <c r="D129" s="2">
        <f>SHOT!D9</f>
        <v>0</v>
      </c>
    </row>
    <row r="130" spans="1:4">
      <c r="A130" t="str">
        <f>SHOT!A10</f>
        <v>Travel:</v>
      </c>
      <c r="B130" s="2">
        <f>SHOT!B10</f>
        <v>7</v>
      </c>
      <c r="C130" s="4">
        <f>SHOT!C10</f>
        <v>0</v>
      </c>
      <c r="D130" s="2">
        <f>SHOT!D10</f>
        <v>0</v>
      </c>
    </row>
    <row r="131" spans="1:4">
      <c r="C131"/>
    </row>
    <row r="132" spans="1:4">
      <c r="A132" t="s">
        <v>549</v>
      </c>
      <c r="C132"/>
      <c r="D132" s="30">
        <f>SUM(D124:D131)</f>
        <v>5110</v>
      </c>
    </row>
    <row r="133" spans="1:4">
      <c r="C133"/>
    </row>
    <row r="134" spans="1:4">
      <c r="A134" t="s">
        <v>561</v>
      </c>
      <c r="B134" s="2">
        <f>SHOT!B15</f>
        <v>228</v>
      </c>
      <c r="C134" s="6">
        <f>SHOT!C15</f>
        <v>54</v>
      </c>
      <c r="D134" s="2">
        <f>SHOT!D15</f>
        <v>12312</v>
      </c>
    </row>
    <row r="135" spans="1:4">
      <c r="A135" t="str">
        <f>SHOT!A16</f>
        <v>Clean-Out:</v>
      </c>
      <c r="B135" s="2">
        <f>SHOT!B16</f>
        <v>125</v>
      </c>
      <c r="C135" s="5">
        <f>SHOT!C16</f>
        <v>1</v>
      </c>
      <c r="D135" s="2">
        <f>SHOT!D16</f>
        <v>125</v>
      </c>
    </row>
    <row r="136" spans="1:4">
      <c r="A136" t="str">
        <f>SHOT!A17</f>
        <v>Auto Cover:</v>
      </c>
      <c r="B136" s="2">
        <f>SHOT!B17</f>
        <v>228</v>
      </c>
      <c r="C136" s="5">
        <f>SHOT!C17</f>
        <v>0</v>
      </c>
      <c r="D136" s="2">
        <f>SHOT!D17</f>
        <v>0</v>
      </c>
    </row>
    <row r="137" spans="1:4">
      <c r="A137" t="str">
        <f>SHOT!A18</f>
        <v>Environ / Fuel:</v>
      </c>
      <c r="B137" s="2">
        <f>SHOT!B18</f>
        <v>25</v>
      </c>
      <c r="C137" s="4">
        <f>SHOT!C18</f>
        <v>54</v>
      </c>
      <c r="D137" s="2">
        <f>SHOT!D18</f>
        <v>1350</v>
      </c>
    </row>
    <row r="138" spans="1:4">
      <c r="A138" t="str">
        <f>SHOT!A19</f>
        <v>Miscelaneous:</v>
      </c>
      <c r="B138" s="2">
        <f>SHOT!B19</f>
        <v>150</v>
      </c>
      <c r="C138" s="5">
        <f>SHOT!C19</f>
        <v>1</v>
      </c>
      <c r="D138" s="2">
        <f>SHOT!D19</f>
        <v>125</v>
      </c>
    </row>
    <row r="139" spans="1:4">
      <c r="A139" t="str">
        <f>SHOT!A20</f>
        <v>Travel:</v>
      </c>
      <c r="B139" s="2">
        <f>SHOT!B20</f>
        <v>7</v>
      </c>
      <c r="C139" s="5">
        <f>SHOT!C20</f>
        <v>0</v>
      </c>
      <c r="D139" s="2">
        <f>SHOT!D20</f>
        <v>0</v>
      </c>
    </row>
    <row r="140" spans="1:4">
      <c r="A140" t="str">
        <f>SHOT!A22</f>
        <v>MECK:</v>
      </c>
      <c r="B140" s="300">
        <f>SHOT!B22</f>
        <v>2.5000000000000001E-2</v>
      </c>
      <c r="D140" s="2">
        <f>SHOT!D22</f>
        <v>347.8</v>
      </c>
    </row>
    <row r="141" spans="1:4">
      <c r="A141" t="str">
        <f>SHOT!A23</f>
        <v>NC:</v>
      </c>
      <c r="B141" s="300">
        <f>SHOT!B23</f>
        <v>4.7500000000000001E-2</v>
      </c>
      <c r="D141" s="2">
        <f>SHOT!D23</f>
        <v>660.82</v>
      </c>
    </row>
    <row r="142" spans="1:4">
      <c r="B142" s="2"/>
      <c r="D142" s="2"/>
    </row>
    <row r="143" spans="1:4">
      <c r="A143" t="s">
        <v>562</v>
      </c>
      <c r="B143" s="2"/>
      <c r="D143" s="29">
        <f>SUM(D134:D142)</f>
        <v>14920.619999999999</v>
      </c>
    </row>
    <row r="144" spans="1:4" ht="15" thickBot="1"/>
    <row r="145" spans="1:5" ht="15" thickBot="1">
      <c r="A145" s="130" t="s">
        <v>599</v>
      </c>
      <c r="B145" s="131"/>
      <c r="C145" s="132"/>
      <c r="D145" s="133">
        <f>D132</f>
        <v>5110</v>
      </c>
    </row>
    <row r="146" spans="1:5" ht="15" thickBot="1"/>
    <row r="147" spans="1:5" ht="15" thickBot="1">
      <c r="A147" s="130" t="s">
        <v>600</v>
      </c>
      <c r="B147" s="131"/>
      <c r="C147" s="132"/>
      <c r="D147" s="133">
        <f>D143</f>
        <v>14920.619999999999</v>
      </c>
    </row>
    <row r="148" spans="1:5">
      <c r="A148" s="153" t="s">
        <v>1135</v>
      </c>
      <c r="B148" s="153"/>
      <c r="C148" s="485"/>
      <c r="D148" s="486">
        <f>(D145+D147)*-E148</f>
        <v>0</v>
      </c>
      <c r="E148" s="489">
        <v>0</v>
      </c>
    </row>
    <row r="149" spans="1:5" ht="15" thickBot="1"/>
    <row r="150" spans="1:5" ht="15" thickBot="1">
      <c r="A150" s="155" t="s">
        <v>563</v>
      </c>
      <c r="B150" s="156"/>
      <c r="C150" s="157"/>
      <c r="D150" s="158">
        <f>IF('NEW POOL'!$B$21+'NEW POOL'!$B$22+'NEW POOL'!$B$23&gt;0,0,D145+D147)</f>
        <v>20030.62</v>
      </c>
    </row>
    <row r="151" spans="1:5" ht="15" thickBot="1">
      <c r="A151" s="116"/>
      <c r="B151" s="116"/>
      <c r="C151" s="152"/>
      <c r="D151" s="154"/>
    </row>
    <row r="152" spans="1:5" ht="15" thickBot="1">
      <c r="A152" s="611" t="s">
        <v>582</v>
      </c>
      <c r="B152" s="612"/>
      <c r="C152" s="612"/>
      <c r="D152" s="613"/>
    </row>
    <row r="153" spans="1:5">
      <c r="A153" t="str">
        <f>'TILE COPING'!A4</f>
        <v>Labor - Pool:</v>
      </c>
      <c r="B153" s="129">
        <f>'TILE COPING'!B4</f>
        <v>10</v>
      </c>
      <c r="C153" s="4">
        <f>'TILE COPING'!C4</f>
        <v>100</v>
      </c>
      <c r="D153" s="129">
        <f>'TILE COPING'!D4</f>
        <v>1000</v>
      </c>
    </row>
    <row r="154" spans="1:5">
      <c r="A154" t="str">
        <f>'TILE COPING'!A8</f>
        <v>Labor - Spa:</v>
      </c>
      <c r="B154" s="129">
        <f>'TILE COPING'!B8</f>
        <v>10</v>
      </c>
      <c r="C154" s="4">
        <f>'TILE COPING'!C8</f>
        <v>28</v>
      </c>
      <c r="D154" s="129">
        <f>'TILE COPING'!D8</f>
        <v>280</v>
      </c>
    </row>
    <row r="155" spans="1:5">
      <c r="A155" t="str">
        <f>'TILE COPING'!A12</f>
        <v>Labor - Other:</v>
      </c>
      <c r="B155" s="129">
        <f>'TILE COPING'!B12</f>
        <v>10</v>
      </c>
      <c r="C155" s="248">
        <f>'TILE COPING'!C12</f>
        <v>0</v>
      </c>
      <c r="D155" s="129">
        <f>'TILE COPING'!D12</f>
        <v>0</v>
      </c>
    </row>
    <row r="156" spans="1:5">
      <c r="A156" t="str">
        <f>'TILE COPING'!A16</f>
        <v>Trim Tile - Labor:</v>
      </c>
      <c r="B156" s="129">
        <f>'TILE COPING'!B16</f>
        <v>10</v>
      </c>
      <c r="C156" s="5">
        <f>'TILE COPING'!C16</f>
        <v>0</v>
      </c>
      <c r="D156" s="129">
        <f>'TILE COPING'!D16</f>
        <v>0</v>
      </c>
    </row>
    <row r="157" spans="1:5">
      <c r="A157" s="116"/>
      <c r="B157" s="116"/>
      <c r="C157" s="152"/>
      <c r="D157" s="154"/>
    </row>
    <row r="158" spans="1:5">
      <c r="A158" t="s">
        <v>549</v>
      </c>
      <c r="D158" s="30">
        <f>SUM(D153:D157)</f>
        <v>1280</v>
      </c>
    </row>
    <row r="159" spans="1:5">
      <c r="A159" s="116"/>
      <c r="B159" s="116"/>
      <c r="C159" s="152"/>
      <c r="D159" s="154"/>
    </row>
    <row r="160" spans="1:5">
      <c r="A160" t="str">
        <f>'TILE COPING'!A5</f>
        <v>Material - Level 1 - Pool:</v>
      </c>
      <c r="B160" s="129">
        <f>'TILE COPING'!B5</f>
        <v>7</v>
      </c>
      <c r="C160" s="5">
        <f>'TILE COPING'!C5</f>
        <v>100</v>
      </c>
      <c r="D160" s="129">
        <f>'TILE COPING'!D5</f>
        <v>700</v>
      </c>
    </row>
    <row r="161" spans="1:4">
      <c r="A161" t="str">
        <f>'TILE COPING'!A6</f>
        <v>Material - Level 2 - Pool:</v>
      </c>
      <c r="B161" s="129">
        <f>'TILE COPING'!B6</f>
        <v>20</v>
      </c>
      <c r="C161" s="5">
        <f>'TILE COPING'!C6</f>
        <v>0</v>
      </c>
      <c r="D161" s="129">
        <f>'TILE COPING'!D6</f>
        <v>0</v>
      </c>
    </row>
    <row r="162" spans="1:4">
      <c r="A162" t="str">
        <f>'TILE COPING'!A7</f>
        <v>Material - Level 3 - Pool:</v>
      </c>
      <c r="B162" s="129">
        <f>'TILE COPING'!B7</f>
        <v>50</v>
      </c>
      <c r="C162" s="5">
        <f>'TILE COPING'!C7</f>
        <v>0</v>
      </c>
      <c r="D162" s="129">
        <f>'TILE COPING'!D7</f>
        <v>0</v>
      </c>
    </row>
    <row r="163" spans="1:4">
      <c r="A163" t="str">
        <f>'TILE COPING'!A9</f>
        <v>Material - Level 1 - Spa:</v>
      </c>
      <c r="B163" s="129">
        <f>'TILE COPING'!B9</f>
        <v>7</v>
      </c>
      <c r="C163" s="5">
        <f>'TILE COPING'!C9</f>
        <v>28</v>
      </c>
      <c r="D163" s="129">
        <f>'TILE COPING'!D9</f>
        <v>196</v>
      </c>
    </row>
    <row r="164" spans="1:4">
      <c r="A164" t="str">
        <f>'TILE COPING'!A10</f>
        <v>Material - Level 2 - Spa:</v>
      </c>
      <c r="B164" s="129">
        <f>'TILE COPING'!B10</f>
        <v>20</v>
      </c>
      <c r="C164" s="5">
        <f>'TILE COPING'!C10</f>
        <v>0</v>
      </c>
      <c r="D164" s="129">
        <f>'TILE COPING'!D10</f>
        <v>0</v>
      </c>
    </row>
    <row r="165" spans="1:4">
      <c r="A165" t="str">
        <f>'TILE COPING'!A11</f>
        <v>Material - Level 3 - Spa:</v>
      </c>
      <c r="B165" s="129">
        <f>'TILE COPING'!B11</f>
        <v>50</v>
      </c>
      <c r="C165" s="5">
        <f>'TILE COPING'!C11</f>
        <v>0</v>
      </c>
      <c r="D165" s="129">
        <f>'TILE COPING'!D11</f>
        <v>0</v>
      </c>
    </row>
    <row r="166" spans="1:4">
      <c r="A166" t="str">
        <f>'TILE COPING'!A13</f>
        <v>Material - Level 1 - Other:</v>
      </c>
      <c r="B166" s="129">
        <f>'TILE COPING'!B13</f>
        <v>7</v>
      </c>
      <c r="C166" s="248">
        <f>'TILE COPING'!C13</f>
        <v>0</v>
      </c>
      <c r="D166" s="129">
        <f>'TILE COPING'!D13</f>
        <v>0</v>
      </c>
    </row>
    <row r="167" spans="1:4">
      <c r="A167" t="str">
        <f>'TILE COPING'!A14</f>
        <v>Material - Level 2 - Other:</v>
      </c>
      <c r="B167" s="129">
        <f>'TILE COPING'!B14</f>
        <v>20</v>
      </c>
      <c r="C167" s="248">
        <f>'TILE COPING'!C14</f>
        <v>0</v>
      </c>
      <c r="D167" s="129">
        <f>'TILE COPING'!D14</f>
        <v>0</v>
      </c>
    </row>
    <row r="168" spans="1:4">
      <c r="A168" t="str">
        <f>'TILE COPING'!A15</f>
        <v>Material - Level 3 - Other:</v>
      </c>
      <c r="B168" s="129">
        <f>'TILE COPING'!B15</f>
        <v>50</v>
      </c>
      <c r="C168" s="248">
        <f>'TILE COPING'!C15</f>
        <v>0</v>
      </c>
      <c r="D168" s="129">
        <f>'TILE COPING'!D15</f>
        <v>0</v>
      </c>
    </row>
    <row r="169" spans="1:4">
      <c r="A169" t="str">
        <f>'TILE COPING'!A17</f>
        <v>Trim Tile - Material:</v>
      </c>
      <c r="B169" s="129">
        <f>'TILE COPING'!B17</f>
        <v>4</v>
      </c>
      <c r="C169" s="5">
        <f>'TILE COPING'!C17</f>
        <v>0</v>
      </c>
      <c r="D169" s="129">
        <f>'TILE COPING'!D17</f>
        <v>0</v>
      </c>
    </row>
    <row r="170" spans="1:4">
      <c r="D170" s="1"/>
    </row>
    <row r="171" spans="1:4">
      <c r="A171" t="s">
        <v>562</v>
      </c>
      <c r="D171" s="30">
        <f>SUM(D160:D170)</f>
        <v>896</v>
      </c>
    </row>
    <row r="172" spans="1:4" ht="15" thickBot="1">
      <c r="D172" s="1"/>
    </row>
    <row r="173" spans="1:4" ht="15" thickBot="1">
      <c r="A173" s="130" t="s">
        <v>596</v>
      </c>
      <c r="B173" s="131"/>
      <c r="C173" s="132"/>
      <c r="D173" s="133">
        <f>D158</f>
        <v>1280</v>
      </c>
    </row>
    <row r="174" spans="1:4" ht="15" thickBot="1"/>
    <row r="175" spans="1:4" ht="15" thickBot="1">
      <c r="A175" s="130" t="s">
        <v>597</v>
      </c>
      <c r="B175" s="131"/>
      <c r="C175" s="132"/>
      <c r="D175" s="133">
        <f>D171*1.075</f>
        <v>963.19999999999993</v>
      </c>
    </row>
    <row r="176" spans="1:4" ht="15" thickBot="1"/>
    <row r="177" spans="1:6" ht="15" thickBot="1">
      <c r="A177" s="155" t="s">
        <v>598</v>
      </c>
      <c r="B177" s="156"/>
      <c r="C177" s="157"/>
      <c r="D177" s="158">
        <f>IF('NEW POOL'!$B$21+'NEW POOL'!$B$22+'NEW POOL'!$B$23&gt;0,0,D173+D175)</f>
        <v>2243.1999999999998</v>
      </c>
    </row>
    <row r="178" spans="1:6" ht="15" thickBot="1">
      <c r="D178" s="1"/>
    </row>
    <row r="179" spans="1:6" ht="15" thickBot="1">
      <c r="A179" s="611" t="s">
        <v>586</v>
      </c>
      <c r="B179" s="612"/>
      <c r="C179" s="612"/>
      <c r="D179" s="613"/>
    </row>
    <row r="180" spans="1:6">
      <c r="A180" t="str">
        <f>'TILE COPING'!A27</f>
        <v>Flagstone Coping - Labor:</v>
      </c>
      <c r="B180" s="2">
        <f>'TILE COPING'!B27</f>
        <v>15</v>
      </c>
      <c r="C180" s="5">
        <f>'TILE COPING'!C27</f>
        <v>0</v>
      </c>
      <c r="D180" s="2">
        <f>'TILE COPING'!D27</f>
        <v>0</v>
      </c>
    </row>
    <row r="181" spans="1:6">
      <c r="A181" t="str">
        <f>'TILE COPING'!A23</f>
        <v>Paver Coping - Labor:</v>
      </c>
      <c r="B181" s="2">
        <f>'TILE COPING'!B23</f>
        <v>12</v>
      </c>
      <c r="C181" s="4">
        <f>'TILE COPING'!C23</f>
        <v>0</v>
      </c>
      <c r="D181" s="2">
        <f>'TILE COPING'!D23</f>
        <v>0</v>
      </c>
    </row>
    <row r="182" spans="1:6">
      <c r="A182" t="str">
        <f>'TILE COPING'!A24</f>
        <v>Paver Decking - Labor:</v>
      </c>
      <c r="B182" s="2">
        <f>'TILE COPING'!B24</f>
        <v>8</v>
      </c>
      <c r="C182" s="4">
        <f>'TILE COPING'!C24</f>
        <v>0</v>
      </c>
      <c r="D182" s="2">
        <f>'TILE COPING'!D24</f>
        <v>0</v>
      </c>
    </row>
    <row r="183" spans="1:6">
      <c r="A183" t="str">
        <f>'TILE COPING'!A25</f>
        <v>Travertine Coping  - Labor:</v>
      </c>
      <c r="B183" s="2">
        <f>'TILE COPING'!B25</f>
        <v>12</v>
      </c>
      <c r="C183" s="4">
        <f>'TILE COPING'!C25</f>
        <v>171</v>
      </c>
      <c r="D183" s="2">
        <f>'TILE COPING'!D25</f>
        <v>2052</v>
      </c>
    </row>
    <row r="184" spans="1:6">
      <c r="A184" t="str">
        <f>'TILE COPING'!A26</f>
        <v>Travertine Decking  - Labor:</v>
      </c>
      <c r="B184" s="2">
        <f>'TILE COPING'!B26</f>
        <v>8</v>
      </c>
      <c r="C184" s="4">
        <f>'TILE COPING'!C26</f>
        <v>0</v>
      </c>
      <c r="D184" s="2">
        <f>'TILE COPING'!D26</f>
        <v>0</v>
      </c>
    </row>
    <row r="185" spans="1:6">
      <c r="A185" t="str">
        <f>'TILE COPING'!A28</f>
        <v>Concrete Decking - Cantilever:</v>
      </c>
      <c r="B185" s="2">
        <f>'TILE COPING'!B28</f>
        <v>16.5</v>
      </c>
      <c r="C185" s="4">
        <f>'TILE COPING'!C28</f>
        <v>0</v>
      </c>
      <c r="D185" s="2">
        <f>'TILE COPING'!D28</f>
        <v>0</v>
      </c>
    </row>
    <row r="186" spans="1:6">
      <c r="A186" t="str">
        <f>'TILE COPING'!A29</f>
        <v>Concrete Pump</v>
      </c>
      <c r="B186" s="2">
        <f>'TILE COPING'!B29</f>
        <v>600</v>
      </c>
      <c r="C186" s="4">
        <f>'TILE COPING'!C29</f>
        <v>1</v>
      </c>
      <c r="D186" s="2">
        <f>'TILE COPING'!D29</f>
        <v>600</v>
      </c>
    </row>
    <row r="187" spans="1:6">
      <c r="A187" t="str">
        <f>'TILE COPING'!A30</f>
        <v>Concrete Steps:</v>
      </c>
      <c r="B187" s="2">
        <f>'TILE COPING'!B30</f>
        <v>27</v>
      </c>
      <c r="C187" s="4">
        <f>'TILE COPING'!C30</f>
        <v>0</v>
      </c>
      <c r="D187" s="2">
        <f>'TILE COPING'!D30</f>
        <v>0</v>
      </c>
    </row>
    <row r="188" spans="1:6">
      <c r="A188" s="153" t="s">
        <v>1135</v>
      </c>
      <c r="B188" s="153"/>
      <c r="C188" s="485"/>
      <c r="D188" s="486">
        <f>F188*-E188</f>
        <v>0</v>
      </c>
      <c r="E188" s="455">
        <v>0</v>
      </c>
      <c r="F188" s="1">
        <f>D182+D184</f>
        <v>0</v>
      </c>
    </row>
    <row r="189" spans="1:6">
      <c r="A189" t="s">
        <v>549</v>
      </c>
      <c r="C189"/>
      <c r="D189" s="30">
        <f>SUM(D180:D188)</f>
        <v>2652</v>
      </c>
    </row>
    <row r="190" spans="1:6">
      <c r="C190"/>
    </row>
    <row r="191" spans="1:6">
      <c r="A191" t="s">
        <v>819</v>
      </c>
      <c r="B191" s="1">
        <f>'TILE COPING'!B40</f>
        <v>25</v>
      </c>
      <c r="C191" s="5">
        <f>'TILE COPING'!C40</f>
        <v>0</v>
      </c>
      <c r="D191" s="1">
        <f>'TILE COPING'!D40</f>
        <v>0</v>
      </c>
    </row>
    <row r="192" spans="1:6">
      <c r="A192" t="str">
        <f>'TILE COPING'!A34</f>
        <v>Paver Coping - Material:</v>
      </c>
      <c r="B192" s="2">
        <f>'TILE COPING'!B34</f>
        <v>9</v>
      </c>
      <c r="C192" s="4">
        <f>'TILE COPING'!C34*1.1</f>
        <v>0</v>
      </c>
      <c r="D192" s="2">
        <f>'TILE COPING'!D34</f>
        <v>0</v>
      </c>
    </row>
    <row r="193" spans="1:6">
      <c r="A193" t="str">
        <f>'TILE COPING'!A35</f>
        <v>Paver Decking - Material:</v>
      </c>
      <c r="B193" s="2">
        <f>'TILE COPING'!B35</f>
        <v>7</v>
      </c>
      <c r="C193" s="4">
        <f>'TILE COPING'!C35*1.1</f>
        <v>0</v>
      </c>
      <c r="D193" s="2">
        <f>'TILE COPING'!D35</f>
        <v>0</v>
      </c>
    </row>
    <row r="194" spans="1:6">
      <c r="A194" t="str">
        <f>'TILE COPING'!A36</f>
        <v>Travertine Coping - Level 1:</v>
      </c>
      <c r="B194" s="2">
        <f>'TILE COPING'!B36</f>
        <v>11</v>
      </c>
      <c r="C194" s="4">
        <f>'TILE COPING'!C36*1.1</f>
        <v>188.10000000000002</v>
      </c>
      <c r="D194" s="2">
        <f>'TILE COPING'!D36</f>
        <v>1881</v>
      </c>
    </row>
    <row r="195" spans="1:6">
      <c r="A195" t="str">
        <f>'TILE COPING'!A37</f>
        <v>Travertine Decking - Level 1:</v>
      </c>
      <c r="B195" s="2">
        <f>'TILE COPING'!B37</f>
        <v>7.5</v>
      </c>
      <c r="C195" s="4">
        <f>'TILE COPING'!C37*1.1</f>
        <v>0</v>
      </c>
      <c r="D195" s="2">
        <f>'TILE COPING'!D37</f>
        <v>0</v>
      </c>
    </row>
    <row r="196" spans="1:6">
      <c r="A196" t="str">
        <f>'TILE COPING'!A38</f>
        <v>Travertine Coping - Level 2:</v>
      </c>
      <c r="B196" s="2">
        <f>'TILE COPING'!B38</f>
        <v>12</v>
      </c>
      <c r="C196" s="4">
        <f>'TILE COPING'!C38*1.1</f>
        <v>0</v>
      </c>
      <c r="D196" s="2">
        <f>'TILE COPING'!D38</f>
        <v>0</v>
      </c>
    </row>
    <row r="197" spans="1:6">
      <c r="A197" t="str">
        <f>'TILE COPING'!A39</f>
        <v>Travertine Decking - Level 2:</v>
      </c>
      <c r="B197" s="2">
        <f>'TILE COPING'!B39</f>
        <v>9.75</v>
      </c>
      <c r="C197" s="4">
        <f>'TILE COPING'!C39*1.1</f>
        <v>0</v>
      </c>
      <c r="D197" s="2">
        <f>'TILE COPING'!D39</f>
        <v>0</v>
      </c>
    </row>
    <row r="198" spans="1:6">
      <c r="A198" t="str">
        <f>'TILE COPING'!A41</f>
        <v>Concrete Decking - Base:</v>
      </c>
      <c r="B198" s="2">
        <f>'TILE COPING'!B41</f>
        <v>7</v>
      </c>
      <c r="C198" s="4">
        <f>'TILE COPING'!C41</f>
        <v>440</v>
      </c>
      <c r="D198" s="2">
        <f>'TILE COPING'!D41</f>
        <v>3080</v>
      </c>
    </row>
    <row r="199" spans="1:6">
      <c r="A199" t="str">
        <f>'TILE COPING'!A42</f>
        <v>Concrete Decking - Add'l:</v>
      </c>
      <c r="B199" s="2">
        <f>'TILE COPING'!B42</f>
        <v>7</v>
      </c>
      <c r="C199" s="4">
        <f>'TILE COPING'!C42</f>
        <v>-10</v>
      </c>
      <c r="D199" s="2">
        <f>'TILE COPING'!D42</f>
        <v>-70</v>
      </c>
    </row>
    <row r="200" spans="1:6">
      <c r="A200" t="str">
        <f>'TILE COPING'!A43</f>
        <v>Concrete Band for Fiberglass:</v>
      </c>
      <c r="B200" s="2">
        <f>'TILE COPING'!B43</f>
        <v>7</v>
      </c>
      <c r="C200" s="5">
        <f>'TILE COPING'!C43</f>
        <v>0</v>
      </c>
      <c r="D200" s="2">
        <f>'TILE COPING'!D43</f>
        <v>0</v>
      </c>
    </row>
    <row r="201" spans="1:6">
      <c r="A201" s="153" t="s">
        <v>1135</v>
      </c>
      <c r="B201" s="153"/>
      <c r="C201" s="485"/>
      <c r="D201" s="486">
        <f>((C192+C194+C196)*-E201)</f>
        <v>0</v>
      </c>
      <c r="E201" s="211">
        <v>0</v>
      </c>
      <c r="F201" s="1"/>
    </row>
    <row r="202" spans="1:6">
      <c r="A202" t="s">
        <v>562</v>
      </c>
      <c r="B202" s="2"/>
      <c r="D202" s="29">
        <f>SUM(D191:D201)</f>
        <v>4891</v>
      </c>
    </row>
    <row r="203" spans="1:6" ht="15" thickBot="1"/>
    <row r="204" spans="1:6" ht="15" thickBot="1">
      <c r="A204" s="130" t="s">
        <v>605</v>
      </c>
      <c r="B204" s="131"/>
      <c r="C204" s="132"/>
      <c r="D204" s="133">
        <f>D189</f>
        <v>2652</v>
      </c>
    </row>
    <row r="205" spans="1:6" ht="15" thickBot="1"/>
    <row r="206" spans="1:6" ht="15" thickBot="1">
      <c r="A206" s="130" t="s">
        <v>606</v>
      </c>
      <c r="B206" s="131"/>
      <c r="C206" s="132"/>
      <c r="D206" s="133">
        <f>D202*1.0725</f>
        <v>5245.5974999999999</v>
      </c>
    </row>
    <row r="207" spans="1:6" ht="15" thickBot="1">
      <c r="A207" s="116"/>
      <c r="B207" s="116"/>
      <c r="C207" s="152"/>
      <c r="D207" s="154"/>
    </row>
    <row r="208" spans="1:6" ht="15" thickBot="1">
      <c r="A208" s="130" t="s">
        <v>849</v>
      </c>
      <c r="B208" s="131"/>
      <c r="C208" s="132"/>
      <c r="D208" s="133">
        <f>MISC!D18</f>
        <v>0</v>
      </c>
    </row>
    <row r="209" spans="1:4" ht="15" thickBot="1"/>
    <row r="210" spans="1:4" ht="15" thickBot="1">
      <c r="A210" s="155" t="s">
        <v>607</v>
      </c>
      <c r="B210" s="156"/>
      <c r="C210" s="157"/>
      <c r="D210" s="158">
        <f>D204+D206+D208</f>
        <v>7897.5974999999999</v>
      </c>
    </row>
    <row r="211" spans="1:4" ht="15" thickBot="1"/>
    <row r="212" spans="1:4" ht="15" thickBot="1">
      <c r="A212" s="611" t="s">
        <v>616</v>
      </c>
      <c r="B212" s="612"/>
      <c r="C212" s="612"/>
      <c r="D212" s="613"/>
    </row>
    <row r="213" spans="1:4">
      <c r="A213" t="str">
        <f>'TILE COPING'!A48</f>
        <v>Panel Ledge - Labor:</v>
      </c>
      <c r="B213" s="2">
        <f>'TILE COPING'!B48</f>
        <v>12.5</v>
      </c>
      <c r="C213" s="4">
        <f>'TILE COPING'!C48</f>
        <v>168</v>
      </c>
      <c r="D213" s="2">
        <f>'TILE COPING'!D48</f>
        <v>2100</v>
      </c>
    </row>
    <row r="214" spans="1:4">
      <c r="A214" t="str">
        <f>'TILE COPING'!A49</f>
        <v>Stacked Stone - Labor:</v>
      </c>
      <c r="B214" s="2">
        <f>'TILE COPING'!B49</f>
        <v>16</v>
      </c>
      <c r="C214" s="4">
        <f>'TILE COPING'!C49</f>
        <v>0</v>
      </c>
      <c r="D214" s="2">
        <f>'TILE COPING'!D49</f>
        <v>0</v>
      </c>
    </row>
    <row r="215" spans="1:4">
      <c r="A215" t="str">
        <f>'TILE COPING'!A50</f>
        <v xml:space="preserve"> Bullnose Labor:</v>
      </c>
      <c r="B215" s="2">
        <f>'TILE COPING'!B50</f>
        <v>8</v>
      </c>
      <c r="C215" s="4">
        <f>'TILE COPING'!C50</f>
        <v>28</v>
      </c>
      <c r="D215" s="2">
        <f>'TILE COPING'!D50</f>
        <v>224</v>
      </c>
    </row>
    <row r="216" spans="1:4">
      <c r="A216" t="str">
        <f>'TILE COPING'!A51</f>
        <v>Spillway - Labor:</v>
      </c>
      <c r="B216" s="2">
        <f>'TILE COPING'!B51</f>
        <v>150</v>
      </c>
      <c r="C216" s="4">
        <f>'TILE COPING'!C51</f>
        <v>1</v>
      </c>
      <c r="D216" s="2">
        <f>'TILE COPING'!D51</f>
        <v>150</v>
      </c>
    </row>
    <row r="217" spans="1:4">
      <c r="A217" t="s">
        <v>549</v>
      </c>
      <c r="C217"/>
      <c r="D217" s="30">
        <f>SUM(D213:D216)</f>
        <v>2474</v>
      </c>
    </row>
    <row r="218" spans="1:4">
      <c r="C218"/>
      <c r="D218" s="1"/>
    </row>
    <row r="219" spans="1:4">
      <c r="A219" t="str">
        <f>'TILE COPING'!A54</f>
        <v>Panel Ledge - Material:</v>
      </c>
      <c r="B219" s="2">
        <f>'TILE COPING'!B54</f>
        <v>13</v>
      </c>
      <c r="C219" s="4">
        <f>'TILE COPING'!C54</f>
        <v>193.2</v>
      </c>
      <c r="D219" s="2">
        <f>'TILE COPING'!D54</f>
        <v>2511.6</v>
      </c>
    </row>
    <row r="220" spans="1:4">
      <c r="A220" t="str">
        <f>'TILE COPING'!A55</f>
        <v>Stacked Stone - Material:</v>
      </c>
      <c r="B220" s="2">
        <f>'TILE COPING'!B55</f>
        <v>27</v>
      </c>
      <c r="C220" s="4">
        <f>'TILE COPING'!C55</f>
        <v>0</v>
      </c>
      <c r="D220" s="2">
        <f>'TILE COPING'!D55</f>
        <v>0</v>
      </c>
    </row>
    <row r="221" spans="1:4">
      <c r="A221" t="str">
        <f>'TILE COPING'!A56</f>
        <v>Rockwork - Material:</v>
      </c>
      <c r="B221" s="2">
        <f>'TILE COPING'!B56</f>
        <v>0</v>
      </c>
      <c r="C221" s="4">
        <f>'TILE COPING'!C56</f>
        <v>29.400000000000002</v>
      </c>
      <c r="D221" s="2">
        <f>'TILE COPING'!D56</f>
        <v>0</v>
      </c>
    </row>
    <row r="222" spans="1:4">
      <c r="A222" t="str">
        <f>'TILE COPING'!A57</f>
        <v>Spillway - Material:</v>
      </c>
      <c r="B222" s="2">
        <f>'TILE COPING'!B57</f>
        <v>150</v>
      </c>
      <c r="C222" s="4">
        <f>'TILE COPING'!C57</f>
        <v>1</v>
      </c>
      <c r="D222" s="2">
        <f>'TILE COPING'!D57</f>
        <v>150</v>
      </c>
    </row>
    <row r="223" spans="1:4">
      <c r="A223" t="s">
        <v>549</v>
      </c>
      <c r="C223"/>
      <c r="D223" s="30">
        <f>SUM(D219:D222)</f>
        <v>2661.6</v>
      </c>
    </row>
    <row r="224" spans="1:4" ht="15" thickBot="1">
      <c r="C224"/>
      <c r="D224" s="1"/>
    </row>
    <row r="225" spans="1:5" ht="15" thickBot="1">
      <c r="A225" s="130" t="s">
        <v>617</v>
      </c>
      <c r="B225" s="131"/>
      <c r="C225" s="132"/>
      <c r="D225" s="133">
        <f>D217</f>
        <v>2474</v>
      </c>
    </row>
    <row r="226" spans="1:5" ht="15" thickBot="1"/>
    <row r="227" spans="1:5" ht="15" thickBot="1">
      <c r="A227" s="130" t="s">
        <v>618</v>
      </c>
      <c r="B227" s="131"/>
      <c r="C227" s="132"/>
      <c r="D227" s="133">
        <f>D223*1.0725</f>
        <v>2854.5659999999998</v>
      </c>
    </row>
    <row r="228" spans="1:5" ht="15" thickBot="1"/>
    <row r="229" spans="1:5" ht="15" thickBot="1">
      <c r="A229" s="155" t="s">
        <v>619</v>
      </c>
      <c r="B229" s="156"/>
      <c r="C229" s="157"/>
      <c r="D229" s="158">
        <f>D225+D227</f>
        <v>5328.5659999999998</v>
      </c>
    </row>
    <row r="230" spans="1:5" ht="15" thickBot="1">
      <c r="A230" s="116"/>
      <c r="B230" s="116"/>
      <c r="C230" s="152"/>
      <c r="D230" s="154"/>
    </row>
    <row r="231" spans="1:5" ht="15" thickBot="1">
      <c r="A231" s="611" t="s">
        <v>1057</v>
      </c>
      <c r="B231" s="612"/>
      <c r="C231" s="612"/>
      <c r="D231" s="613"/>
    </row>
    <row r="232" spans="1:5">
      <c r="A232" s="116"/>
      <c r="B232" s="116"/>
      <c r="C232" s="152"/>
      <c r="D232" s="154"/>
    </row>
    <row r="233" spans="1:5">
      <c r="A233" t="str">
        <f>'NEW POOL'!A171</f>
        <v>No Retaining Wall</v>
      </c>
      <c r="B233" s="283">
        <f>VLOOKUP(A233,MASONRY!A5:F17,4,FALSE)</f>
        <v>0</v>
      </c>
      <c r="C233" s="5">
        <f>'NEW POOL'!B171</f>
        <v>0</v>
      </c>
      <c r="D233" s="1">
        <f>VLOOKUP(A233,MASONRY!A5:F17,6,FALSE)</f>
        <v>0</v>
      </c>
      <c r="E233" s="1">
        <f>CEILING(D233/0.7,10)</f>
        <v>0</v>
      </c>
    </row>
    <row r="234" spans="1:5" ht="15" thickBot="1">
      <c r="A234" s="116"/>
      <c r="B234" s="116"/>
      <c r="C234" s="152"/>
      <c r="D234" s="154"/>
    </row>
    <row r="235" spans="1:5" ht="15" thickBot="1">
      <c r="A235" s="614" t="s">
        <v>1058</v>
      </c>
      <c r="B235" s="615"/>
      <c r="C235" s="616"/>
      <c r="D235" s="158">
        <f>SUM(D233:D234)*(1+C235)</f>
        <v>0</v>
      </c>
    </row>
    <row r="236" spans="1:5" ht="15" thickBot="1">
      <c r="A236" s="116"/>
      <c r="B236" s="116"/>
      <c r="C236" s="152"/>
      <c r="D236" s="154"/>
    </row>
    <row r="237" spans="1:5" ht="15" thickBot="1">
      <c r="A237" s="611" t="s">
        <v>633</v>
      </c>
      <c r="B237" s="612"/>
      <c r="C237" s="612"/>
      <c r="D237" s="613"/>
    </row>
    <row r="238" spans="1:5">
      <c r="A238" s="51" t="str">
        <f>EQUIP!M113</f>
        <v>Base White Goods</v>
      </c>
      <c r="B238" s="220">
        <f>EQUIP!N113</f>
        <v>1046.0999999999999</v>
      </c>
      <c r="C238" s="4">
        <f>EQUIP!O113</f>
        <v>1</v>
      </c>
      <c r="D238" s="220">
        <f>EQUIP!P113</f>
        <v>1046.0999999999999</v>
      </c>
    </row>
    <row r="239" spans="1:5">
      <c r="A239" s="51" t="s">
        <v>779</v>
      </c>
      <c r="B239" s="220">
        <f>EQUIP!N133</f>
        <v>0</v>
      </c>
      <c r="C239" s="5">
        <f>'NEW POOL'!B57</f>
        <v>0</v>
      </c>
      <c r="D239" s="220">
        <f>EQUIP!P133</f>
        <v>0</v>
      </c>
    </row>
    <row r="240" spans="1:5">
      <c r="A240" s="51" t="str">
        <f>EQUIP!M114</f>
        <v>Jandy 2.7HP Variable Pump</v>
      </c>
      <c r="B240" s="220">
        <f>EQUIP!N114</f>
        <v>2174.15</v>
      </c>
      <c r="C240" s="4">
        <f>EQUIP!O114</f>
        <v>1</v>
      </c>
      <c r="D240" s="220">
        <f>EQUIP!P114</f>
        <v>2174.15</v>
      </c>
    </row>
    <row r="241" spans="1:4">
      <c r="A241" s="51" t="str">
        <f>EQUIP!M115</f>
        <v>No Auxiliary Pump</v>
      </c>
      <c r="B241" s="220">
        <f>EQUIP!N115</f>
        <v>0</v>
      </c>
      <c r="C241" s="4">
        <f>EQUIP!O115</f>
        <v>0</v>
      </c>
      <c r="D241" s="220">
        <f>EQUIP!P115</f>
        <v>0</v>
      </c>
    </row>
    <row r="242" spans="1:4">
      <c r="A242" s="51" t="str">
        <f>EQUIP!M116</f>
        <v>No Auxiliary Pump</v>
      </c>
      <c r="B242" s="220">
        <f>EQUIP!N116</f>
        <v>0</v>
      </c>
      <c r="C242" s="4">
        <f>EQUIP!O116</f>
        <v>0</v>
      </c>
      <c r="D242" s="220">
        <f>EQUIP!P116</f>
        <v>0</v>
      </c>
    </row>
    <row r="243" spans="1:4">
      <c r="A243" s="51" t="str">
        <f>EQUIP!M117</f>
        <v>460 SQFT Cartridge Filter</v>
      </c>
      <c r="B243" s="220">
        <f>EQUIP!N117</f>
        <v>1174.2</v>
      </c>
      <c r="C243" s="4">
        <f>EQUIP!O117</f>
        <v>1</v>
      </c>
      <c r="D243" s="220">
        <f>EQUIP!P117</f>
        <v>1174.2</v>
      </c>
    </row>
    <row r="244" spans="1:4">
      <c r="A244" s="51" t="str">
        <f>EQUIP!M118</f>
        <v>Polaris Alpha IQ</v>
      </c>
      <c r="B244" s="220">
        <f>EQUIP!N118</f>
        <v>1397.13</v>
      </c>
      <c r="C244" s="4">
        <f>EQUIP!O118</f>
        <v>0</v>
      </c>
      <c r="D244" s="220">
        <f>EQUIP!P118</f>
        <v>0</v>
      </c>
    </row>
    <row r="245" spans="1:4">
      <c r="A245" s="51" t="str">
        <f>EQUIP!M119</f>
        <v>Jandy 400K BTU - VersaFlo</v>
      </c>
      <c r="B245" s="220">
        <f>EQUIP!N119</f>
        <v>3297</v>
      </c>
      <c r="C245" s="4">
        <f>EQUIP!O119</f>
        <v>1</v>
      </c>
      <c r="D245" s="220">
        <f>EQUIP!P119</f>
        <v>3297</v>
      </c>
    </row>
    <row r="246" spans="1:4">
      <c r="A246" s="51" t="str">
        <f>'NEW POOL'!A122</f>
        <v>Upgrade Heater to VersaFlo</v>
      </c>
      <c r="B246" s="220">
        <f>D246</f>
        <v>0</v>
      </c>
      <c r="C246" s="5">
        <f>'NEW POOL'!B122</f>
        <v>0</v>
      </c>
      <c r="D246" s="220">
        <f>C246*EQUIP!N39</f>
        <v>0</v>
      </c>
    </row>
    <row r="247" spans="1:4">
      <c r="A247" s="51" t="str">
        <f>EQUIP!M121</f>
        <v>24 Watt - Jandy Nicheless LED</v>
      </c>
      <c r="B247" s="220">
        <f>EQUIP!N121</f>
        <v>601</v>
      </c>
      <c r="C247" s="4">
        <f>EQUIP!O121</f>
        <v>3</v>
      </c>
      <c r="D247" s="220">
        <f>EQUIP!P121</f>
        <v>1803</v>
      </c>
    </row>
    <row r="248" spans="1:4">
      <c r="A248" s="51" t="str">
        <f>EQUIP!M122</f>
        <v>6 Watt - Jandy Nicheless LED Spa light</v>
      </c>
      <c r="B248" s="220">
        <f>EQUIP!N122</f>
        <v>528</v>
      </c>
      <c r="C248" s="4">
        <f>EQUIP!O122</f>
        <v>1</v>
      </c>
      <c r="D248" s="220">
        <f>EQUIP!P122</f>
        <v>528</v>
      </c>
    </row>
    <row r="249" spans="1:4">
      <c r="A249" s="51" t="str">
        <f>EQUIP!M124</f>
        <v>Salt/mineral System - Fusion Soft</v>
      </c>
      <c r="B249" s="220">
        <f>EQUIP!N124</f>
        <v>1000</v>
      </c>
      <c r="C249" s="4">
        <f>EQUIP!O124</f>
        <v>1</v>
      </c>
      <c r="D249" s="220">
        <f>EQUIP!P124</f>
        <v>1000</v>
      </c>
    </row>
    <row r="250" spans="1:4">
      <c r="A250" s="51" t="str">
        <f>EQUIP!M125</f>
        <v>No Sanitation</v>
      </c>
      <c r="B250" s="220">
        <f>EQUIP!N125</f>
        <v>0</v>
      </c>
      <c r="C250" s="4">
        <f>EQUIP!O125</f>
        <v>0</v>
      </c>
      <c r="D250" s="220">
        <f>EQUIP!P125</f>
        <v>0</v>
      </c>
    </row>
    <row r="251" spans="1:4">
      <c r="A251" s="51" t="str">
        <f>EQUIP!M126</f>
        <v>No Sanitation</v>
      </c>
      <c r="B251" s="220">
        <f>EQUIP!N126</f>
        <v>0</v>
      </c>
      <c r="C251" s="4">
        <f>EQUIP!O126</f>
        <v>0</v>
      </c>
      <c r="D251" s="220">
        <f>EQUIP!P126</f>
        <v>0</v>
      </c>
    </row>
    <row r="252" spans="1:4">
      <c r="A252" s="51" t="str">
        <f>EQUIP!M127</f>
        <v>iAqualink Only PS-4 (H.O. To Provide WiFi) Only use with Infinite Light System</v>
      </c>
      <c r="B252" s="220">
        <f>EQUIP!N127</f>
        <v>3025</v>
      </c>
      <c r="C252" s="4">
        <f>EQUIP!O127</f>
        <v>1</v>
      </c>
      <c r="D252" s="220">
        <f>EQUIP!P127</f>
        <v>3025</v>
      </c>
    </row>
    <row r="253" spans="1:4">
      <c r="A253" s="51" t="str">
        <f>EQUIP!M128</f>
        <v>No Sheer Descent</v>
      </c>
      <c r="B253" s="220">
        <f>EQUIP!N128</f>
        <v>0</v>
      </c>
      <c r="C253" s="4">
        <f>EQUIP!O128</f>
        <v>0</v>
      </c>
      <c r="D253" s="220">
        <f>EQUIP!P128</f>
        <v>0</v>
      </c>
    </row>
    <row r="254" spans="1:4">
      <c r="A254" s="51" t="str">
        <f>EQUIP!M129</f>
        <v>No Sheer Descent</v>
      </c>
      <c r="B254" s="220">
        <f>EQUIP!N129</f>
        <v>0</v>
      </c>
      <c r="C254" s="4">
        <f>EQUIP!O129</f>
        <v>0</v>
      </c>
      <c r="D254" s="220">
        <f>EQUIP!P129</f>
        <v>0</v>
      </c>
    </row>
    <row r="255" spans="1:4">
      <c r="A255" s="51" t="str">
        <f>EQUIP!M130</f>
        <v>No Wok Pot</v>
      </c>
      <c r="B255" s="220">
        <f>EQUIP!N130</f>
        <v>0</v>
      </c>
      <c r="C255" s="4">
        <f>EQUIP!O130</f>
        <v>0</v>
      </c>
      <c r="D255" s="220">
        <f>EQUIP!P130</f>
        <v>0</v>
      </c>
    </row>
    <row r="256" spans="1:4">
      <c r="A256" s="51" t="str">
        <f>EQUIP!M131</f>
        <v>No Deck Jet or Laminar Jet</v>
      </c>
      <c r="B256" s="220">
        <f>EQUIP!N131</f>
        <v>0</v>
      </c>
      <c r="C256" s="4">
        <f>EQUIP!O131</f>
        <v>0</v>
      </c>
      <c r="D256" s="220">
        <f>EQUIP!P131</f>
        <v>0</v>
      </c>
    </row>
    <row r="257" spans="1:8">
      <c r="A257" s="51" t="str">
        <f>EQUIP!M132</f>
        <v>No LED Bubbler</v>
      </c>
      <c r="B257" s="220">
        <f>EQUIP!N132</f>
        <v>0</v>
      </c>
      <c r="C257" s="4">
        <f>EQUIP!O132</f>
        <v>0</v>
      </c>
      <c r="D257" s="220">
        <f>EQUIP!P132</f>
        <v>0</v>
      </c>
    </row>
    <row r="258" spans="1:8">
      <c r="A258" s="51" t="str">
        <f>FIBER!B82</f>
        <v>Equipment Pad</v>
      </c>
      <c r="B258" s="220">
        <f>IF(C258&gt;0,FIBER!C82,0)</f>
        <v>0</v>
      </c>
      <c r="C258" s="4">
        <f>F258+H258</f>
        <v>0</v>
      </c>
      <c r="D258" s="24">
        <f>B258*C258</f>
        <v>0</v>
      </c>
      <c r="F258" s="4">
        <f>IF((FIBER!F71+FIBER!F72+FIBER!F73)&gt;0,1,0)</f>
        <v>0</v>
      </c>
      <c r="G258" s="4">
        <f>C245</f>
        <v>1</v>
      </c>
      <c r="H258" s="4">
        <f>F258*G258</f>
        <v>0</v>
      </c>
    </row>
    <row r="259" spans="1:8">
      <c r="A259" s="51" t="str">
        <f>EQUIP!M107</f>
        <v>Electronic Auto-Fill</v>
      </c>
      <c r="B259" s="220">
        <f>EQUIP!N134</f>
        <v>0</v>
      </c>
      <c r="C259" s="5">
        <f>'NEW POOL'!B133</f>
        <v>0</v>
      </c>
      <c r="D259" s="24">
        <f>B259*C259</f>
        <v>0</v>
      </c>
      <c r="F259" s="4"/>
      <c r="G259" s="4"/>
      <c r="H259" s="4"/>
    </row>
    <row r="260" spans="1:8" ht="15" thickBot="1">
      <c r="A260" s="153" t="s">
        <v>1135</v>
      </c>
      <c r="B260" s="153"/>
      <c r="C260" s="485"/>
      <c r="D260" s="486">
        <f>F260*-E260</f>
        <v>0</v>
      </c>
      <c r="E260" s="455">
        <v>0</v>
      </c>
      <c r="F260" s="1">
        <f>SUM(D242:D259)</f>
        <v>10827.2</v>
      </c>
    </row>
    <row r="261" spans="1:8" ht="15" thickBot="1">
      <c r="A261" s="155" t="s">
        <v>634</v>
      </c>
      <c r="B261" s="156"/>
      <c r="C261" s="243">
        <v>7.2499999999999995E-2</v>
      </c>
      <c r="D261" s="158">
        <f>SUM(D238:D260)*(1+C261)</f>
        <v>15065.890125000002</v>
      </c>
    </row>
    <row r="262" spans="1:8" ht="15" thickBot="1"/>
    <row r="263" spans="1:8" ht="15" thickBot="1">
      <c r="A263" s="611" t="s">
        <v>522</v>
      </c>
      <c r="B263" s="612"/>
      <c r="C263" s="612"/>
      <c r="D263" s="613"/>
    </row>
    <row r="264" spans="1:8">
      <c r="A264" t="str">
        <f>PLUM!A39</f>
        <v>Base Set:</v>
      </c>
      <c r="B264" s="2">
        <f>PLUM!B39</f>
        <v>750</v>
      </c>
      <c r="C264" s="4">
        <f>PLUM!C39</f>
        <v>1</v>
      </c>
      <c r="D264" s="2">
        <f>PLUM!D39</f>
        <v>750</v>
      </c>
    </row>
    <row r="265" spans="1:8">
      <c r="A265" t="str">
        <f>PLUM!A40</f>
        <v>Add'l Pump(s):</v>
      </c>
      <c r="B265" s="2">
        <f>PLUM!B40</f>
        <v>150</v>
      </c>
      <c r="C265" s="4">
        <f>PLUM!C40</f>
        <v>0</v>
      </c>
      <c r="D265" s="2">
        <f>PLUM!D40</f>
        <v>0</v>
      </c>
    </row>
    <row r="266" spans="1:8">
      <c r="A266" t="str">
        <f>PLUM!A41</f>
        <v>Ozone:</v>
      </c>
      <c r="B266" s="2">
        <f>PLUM!B41</f>
        <v>200</v>
      </c>
      <c r="C266" s="6">
        <f>PLUM!C41</f>
        <v>0</v>
      </c>
      <c r="D266" s="2">
        <f>PLUM!D41</f>
        <v>0</v>
      </c>
    </row>
    <row r="267" spans="1:8">
      <c r="A267" t="str">
        <f>PLUM!A42</f>
        <v>Del Ozone with UV AOP unit with Degas</v>
      </c>
      <c r="B267" s="2">
        <f>PLUM!B42</f>
        <v>210</v>
      </c>
      <c r="C267" s="6">
        <f>PLUM!C42</f>
        <v>0</v>
      </c>
      <c r="D267" s="2">
        <f>PLUM!D42</f>
        <v>0</v>
      </c>
    </row>
    <row r="268" spans="1:8">
      <c r="A268" t="str">
        <f>PLUM!A43</f>
        <v>Heater:</v>
      </c>
      <c r="B268" s="2">
        <f>PLUM!B43</f>
        <v>200</v>
      </c>
      <c r="C268" s="4">
        <f>PLUM!C43</f>
        <v>1</v>
      </c>
      <c r="D268" s="2">
        <f>PLUM!D43</f>
        <v>200</v>
      </c>
    </row>
    <row r="269" spans="1:8">
      <c r="A269" t="str">
        <f>PLUM!A44</f>
        <v>Pool Bonding:</v>
      </c>
      <c r="B269" s="2">
        <f>PLUM!B44</f>
        <v>125</v>
      </c>
      <c r="C269" s="4">
        <f>PLUM!C44</f>
        <v>1</v>
      </c>
      <c r="D269" s="2">
        <f>PLUM!D44</f>
        <v>125</v>
      </c>
    </row>
    <row r="270" spans="1:8">
      <c r="A270" t="str">
        <f>PLUM!A45</f>
        <v>Travel:</v>
      </c>
      <c r="B270" s="2">
        <f>PLUM!B45</f>
        <v>7</v>
      </c>
      <c r="C270" s="4">
        <f>PLUM!C45</f>
        <v>0</v>
      </c>
      <c r="D270" s="2">
        <f>PLUM!D45</f>
        <v>0</v>
      </c>
    </row>
    <row r="271" spans="1:8" ht="15" thickBot="1"/>
    <row r="272" spans="1:8" ht="15" thickBot="1">
      <c r="A272" s="155" t="s">
        <v>523</v>
      </c>
      <c r="B272" s="156"/>
      <c r="C272" s="157"/>
      <c r="D272" s="158">
        <f>SUM(D264:D271)</f>
        <v>1075</v>
      </c>
    </row>
    <row r="273" spans="1:4" ht="15" thickBot="1"/>
    <row r="274" spans="1:4" ht="15" thickBot="1">
      <c r="A274" s="611" t="s">
        <v>575</v>
      </c>
      <c r="B274" s="612"/>
      <c r="C274" s="612"/>
      <c r="D274" s="613"/>
    </row>
    <row r="275" spans="1:4">
      <c r="A275" t="str">
        <f>CLEAN!A4</f>
        <v>Base:</v>
      </c>
      <c r="B275" s="2">
        <f>CLEAN!B4</f>
        <v>700</v>
      </c>
      <c r="C275" s="4">
        <f>CLEAN!C4</f>
        <v>1</v>
      </c>
      <c r="D275" s="2">
        <f>CLEAN!D4</f>
        <v>700</v>
      </c>
    </row>
    <row r="276" spans="1:4">
      <c r="A276" t="str">
        <f>CLEAN!A5</f>
        <v>Add'l Over 500:</v>
      </c>
      <c r="B276" s="2">
        <f>CLEAN!B5</f>
        <v>0.5</v>
      </c>
      <c r="C276" s="4">
        <f>CLEAN!C5</f>
        <v>60</v>
      </c>
      <c r="D276" s="2">
        <f>CLEAN!D5</f>
        <v>30</v>
      </c>
    </row>
    <row r="277" spans="1:4">
      <c r="A277" t="s">
        <v>851</v>
      </c>
      <c r="B277" s="2">
        <f>CLEAN!B4</f>
        <v>700</v>
      </c>
      <c r="C277" s="5">
        <f>'NEW POOL'!B100</f>
        <v>1</v>
      </c>
      <c r="D277" s="2">
        <f>B277*C277</f>
        <v>700</v>
      </c>
    </row>
    <row r="278" spans="1:4">
      <c r="A278" t="str">
        <f>CLEAN!A6</f>
        <v>Spa:</v>
      </c>
      <c r="B278" s="2">
        <f>CLEAN!B6</f>
        <v>100</v>
      </c>
      <c r="C278" s="4">
        <f>CLEAN!C6</f>
        <v>1</v>
      </c>
      <c r="D278" s="2">
        <f>CLEAN!D6</f>
        <v>100</v>
      </c>
    </row>
    <row r="279" spans="1:4">
      <c r="A279" t="str">
        <f>CLEAN!A7</f>
        <v>RBB:</v>
      </c>
      <c r="B279" s="2">
        <f>CLEAN!B7</f>
        <v>2.5</v>
      </c>
      <c r="C279" s="4">
        <f>CLEAN!C7</f>
        <v>121</v>
      </c>
      <c r="D279" s="2">
        <f>CLEAN!D7</f>
        <v>302.5</v>
      </c>
    </row>
    <row r="280" spans="1:4">
      <c r="A280" t="str">
        <f>CLEAN!A8</f>
        <v>Travel:</v>
      </c>
      <c r="B280" s="2">
        <f>CLEAN!B8</f>
        <v>7</v>
      </c>
      <c r="C280" s="4">
        <f>CLEAN!C8</f>
        <v>0</v>
      </c>
      <c r="D280" s="2">
        <f>CLEAN!D8</f>
        <v>0</v>
      </c>
    </row>
    <row r="281" spans="1:4" ht="15" thickBot="1"/>
    <row r="282" spans="1:4" ht="15" thickBot="1">
      <c r="A282" s="155" t="s">
        <v>577</v>
      </c>
      <c r="B282" s="156"/>
      <c r="C282" s="157"/>
      <c r="D282" s="158">
        <f>SUM(D275:D281)</f>
        <v>1832.5</v>
      </c>
    </row>
    <row r="283" spans="1:4" ht="15" thickBot="1"/>
    <row r="284" spans="1:4" ht="15" thickBot="1">
      <c r="A284" s="611" t="s">
        <v>572</v>
      </c>
      <c r="B284" s="612"/>
      <c r="C284" s="612"/>
      <c r="D284" s="613"/>
    </row>
    <row r="285" spans="1:4">
      <c r="A285" t="str">
        <f>VLOOKUP('NEW POOL'!A175,INT!A6:Q17,1,FALSE)</f>
        <v>Pebble Tec  - Level 1</v>
      </c>
      <c r="B285" s="2">
        <f>VLOOKUP(A285,INT!A6:B17,2,FALSE)</f>
        <v>6.3</v>
      </c>
      <c r="C285" s="424">
        <f>SHOT!D2</f>
        <v>1035</v>
      </c>
      <c r="D285" s="2">
        <f>ROUNDUP(VLOOKUP(A285,INT!A6:N18,4,FALSE),0)</f>
        <v>6521</v>
      </c>
    </row>
    <row r="286" spans="1:4">
      <c r="A286" t="s">
        <v>476</v>
      </c>
      <c r="B286" s="2">
        <f>VLOOKUP(A285,INT!A6:G19,7,FALSE)</f>
        <v>1150</v>
      </c>
      <c r="C286" s="5">
        <f>INT!F6</f>
        <v>1</v>
      </c>
      <c r="D286" s="2">
        <f>B286*C286</f>
        <v>1150</v>
      </c>
    </row>
    <row r="287" spans="1:4">
      <c r="A287" t="s">
        <v>791</v>
      </c>
      <c r="B287" s="2">
        <f>INT!B23</f>
        <v>750</v>
      </c>
      <c r="C287" s="5">
        <f>INT!C23</f>
        <v>1</v>
      </c>
      <c r="D287" s="21">
        <f>INT!D23</f>
        <v>750</v>
      </c>
    </row>
    <row r="288" spans="1:4">
      <c r="A288" t="s">
        <v>791</v>
      </c>
      <c r="B288" s="2">
        <f>INT!B24</f>
        <v>1</v>
      </c>
      <c r="C288" s="5">
        <f>INT!C24</f>
        <v>0</v>
      </c>
      <c r="D288" s="21">
        <v>250</v>
      </c>
    </row>
    <row r="289" spans="1:6">
      <c r="A289" t="s">
        <v>792</v>
      </c>
      <c r="B289" s="2">
        <f>INT!J6+INT!K6+INT!L6+INT!M6</f>
        <v>110</v>
      </c>
      <c r="C289" s="5">
        <v>1</v>
      </c>
      <c r="D289" s="2">
        <f>B289*C289</f>
        <v>110</v>
      </c>
    </row>
    <row r="290" spans="1:6">
      <c r="A290" t="str">
        <f>INT!A22</f>
        <v>Step &amp; Bench Detail:</v>
      </c>
      <c r="B290" s="2">
        <f>INT!B22</f>
        <v>20</v>
      </c>
      <c r="C290" s="5">
        <f>INT!C22</f>
        <v>32</v>
      </c>
      <c r="D290" s="2">
        <f>INT!D22</f>
        <v>640</v>
      </c>
    </row>
    <row r="291" spans="1:6">
      <c r="A291" t="s">
        <v>573</v>
      </c>
      <c r="B291" s="2">
        <v>100</v>
      </c>
      <c r="C291" s="4">
        <v>1</v>
      </c>
      <c r="D291" s="2">
        <f>B291*C291</f>
        <v>100</v>
      </c>
    </row>
    <row r="292" spans="1:6">
      <c r="A292" t="s">
        <v>486</v>
      </c>
      <c r="B292" s="2">
        <f>INT!B21</f>
        <v>10</v>
      </c>
      <c r="C292" s="4">
        <f>'NEW POOL'!E10</f>
        <v>0</v>
      </c>
      <c r="D292" s="2">
        <f>B292*C292</f>
        <v>0</v>
      </c>
    </row>
    <row r="293" spans="1:6">
      <c r="A293" t="s">
        <v>853</v>
      </c>
      <c r="B293" s="2">
        <f>INT!B31</f>
        <v>1.95</v>
      </c>
      <c r="C293" s="424">
        <f>INT!C31</f>
        <v>1035</v>
      </c>
      <c r="D293" s="2">
        <v>2506.62</v>
      </c>
    </row>
    <row r="294" spans="1:6" ht="15" thickBot="1">
      <c r="A294" s="153" t="s">
        <v>1135</v>
      </c>
      <c r="B294" s="153"/>
      <c r="C294" s="485"/>
      <c r="D294" s="486">
        <f>F294*-E294</f>
        <v>0</v>
      </c>
      <c r="E294" s="487">
        <v>0</v>
      </c>
      <c r="F294" s="1">
        <f>SUM(D285:D293)</f>
        <v>12027.619999999999</v>
      </c>
    </row>
    <row r="295" spans="1:6" ht="15" thickBot="1">
      <c r="A295" s="155" t="s">
        <v>620</v>
      </c>
      <c r="B295" s="156"/>
      <c r="C295" s="157"/>
      <c r="D295" s="158">
        <f>IF('NEW POOL'!$B$21+'NEW POOL'!$B$22+'NEW POOL'!$B$23&gt;0,0,SUM(D285:D294))</f>
        <v>12027.619999999999</v>
      </c>
    </row>
    <row r="296" spans="1:6" ht="15" thickBot="1">
      <c r="A296" s="116"/>
      <c r="B296" s="116"/>
      <c r="C296" s="152"/>
      <c r="D296" s="154"/>
    </row>
    <row r="297" spans="1:6" ht="15" thickBot="1">
      <c r="A297" s="611" t="s">
        <v>833</v>
      </c>
      <c r="B297" s="612"/>
      <c r="C297" s="612"/>
      <c r="D297" s="613"/>
    </row>
    <row r="298" spans="1:6">
      <c r="A298" t="s">
        <v>915</v>
      </c>
      <c r="B298" s="1">
        <f>MISC!B22</f>
        <v>490</v>
      </c>
      <c r="C298" s="5">
        <v>1</v>
      </c>
      <c r="D298" s="1">
        <f>B298*C298</f>
        <v>490</v>
      </c>
    </row>
    <row r="299" spans="1:6">
      <c r="A299" t="s">
        <v>916</v>
      </c>
      <c r="B299" s="1">
        <f>B298</f>
        <v>490</v>
      </c>
      <c r="C299" s="5">
        <f>'NEW POOL'!B177</f>
        <v>2</v>
      </c>
      <c r="D299" s="1">
        <f>B299*C299</f>
        <v>980</v>
      </c>
      <c r="E299" s="1">
        <f>CEILING(D299/0.85,5)</f>
        <v>1155</v>
      </c>
    </row>
    <row r="300" spans="1:6" ht="15" thickBot="1">
      <c r="A300" s="116"/>
      <c r="B300" s="116"/>
      <c r="C300" s="152"/>
      <c r="D300" s="154"/>
    </row>
    <row r="301" spans="1:6" ht="15" thickBot="1">
      <c r="A301" s="155" t="s">
        <v>837</v>
      </c>
      <c r="B301" s="156"/>
      <c r="C301" s="157"/>
      <c r="D301" s="158">
        <f>D298+D299</f>
        <v>1470</v>
      </c>
    </row>
    <row r="302" spans="1:6" ht="15" thickBot="1">
      <c r="A302" s="116"/>
      <c r="B302" s="116"/>
      <c r="C302" s="152"/>
      <c r="D302" s="154"/>
    </row>
    <row r="303" spans="1:6" ht="15" thickBot="1">
      <c r="A303" s="611" t="s">
        <v>762</v>
      </c>
      <c r="B303" s="612"/>
      <c r="C303" s="612"/>
      <c r="D303" s="613"/>
    </row>
    <row r="304" spans="1:6">
      <c r="A304" s="283" t="str">
        <f>'NEW POOL'!A21</f>
        <v>Fiberglass - Small</v>
      </c>
      <c r="B304" s="283">
        <f>FIBER!G10</f>
        <v>0</v>
      </c>
      <c r="C304" s="284">
        <f>'NEW POOL'!B21</f>
        <v>0</v>
      </c>
      <c r="D304" s="283">
        <f>B304*C304</f>
        <v>0</v>
      </c>
      <c r="E304" s="332">
        <v>0.2</v>
      </c>
      <c r="F304" t="s">
        <v>765</v>
      </c>
    </row>
    <row r="305" spans="1:5">
      <c r="A305" s="283" t="str">
        <f>'NEW POOL'!A22</f>
        <v>Fiberglass - Medium</v>
      </c>
      <c r="B305" s="283">
        <f>FIBER!G19</f>
        <v>0</v>
      </c>
      <c r="C305" s="284">
        <f>'NEW POOL'!B22</f>
        <v>0</v>
      </c>
      <c r="D305" s="283">
        <f t="shared" ref="D305:D311" si="0">B305*C305</f>
        <v>0</v>
      </c>
    </row>
    <row r="306" spans="1:5">
      <c r="A306" s="283" t="str">
        <f>'NEW POOL'!A23</f>
        <v>Fiberglass - Large</v>
      </c>
      <c r="B306" s="283">
        <f>FIBER!G31</f>
        <v>0</v>
      </c>
      <c r="C306" s="284">
        <f>'NEW POOL'!B23</f>
        <v>0</v>
      </c>
      <c r="D306" s="283">
        <f t="shared" si="0"/>
        <v>0</v>
      </c>
    </row>
    <row r="307" spans="1:5">
      <c r="A307" s="283" t="str">
        <f>'NEW POOL'!A25</f>
        <v>No Spa</v>
      </c>
      <c r="B307" s="283">
        <f>FIBER!G43</f>
        <v>0</v>
      </c>
      <c r="C307" s="284">
        <f>'NEW POOL'!B25</f>
        <v>0</v>
      </c>
      <c r="D307" s="283">
        <f t="shared" si="0"/>
        <v>0</v>
      </c>
    </row>
    <row r="308" spans="1:5">
      <c r="A308" s="283" t="str">
        <f>'NEW POOL'!A27</f>
        <v>No Tanning</v>
      </c>
      <c r="B308" s="283">
        <f>FIBER!G56</f>
        <v>0</v>
      </c>
      <c r="C308" s="284">
        <f>'NEW POOL'!B27</f>
        <v>0</v>
      </c>
      <c r="D308" s="283">
        <f t="shared" si="0"/>
        <v>0</v>
      </c>
    </row>
    <row r="309" spans="1:5">
      <c r="A309" s="283" t="str">
        <f>'NEW POOL'!A24</f>
        <v>Crystite G3</v>
      </c>
      <c r="B309" s="283">
        <f>FIBER!G33+FIBER!G34+FIBER!G46+FIBER!G47+FIBER!G59+FIBER!G60</f>
        <v>1500</v>
      </c>
      <c r="C309" s="284">
        <f>'NEW POOL'!B24</f>
        <v>0</v>
      </c>
      <c r="D309" s="283">
        <f>B309*C309</f>
        <v>0</v>
      </c>
      <c r="E309" s="1">
        <v>1250</v>
      </c>
    </row>
    <row r="310" spans="1:5">
      <c r="A310" t="s">
        <v>735</v>
      </c>
      <c r="B310" s="129">
        <f>SUM(FIBER!G62:G64)</f>
        <v>0</v>
      </c>
      <c r="C310" s="5">
        <f>C304+C305+C306</f>
        <v>0</v>
      </c>
      <c r="D310" s="283">
        <f t="shared" si="0"/>
        <v>0</v>
      </c>
    </row>
    <row r="311" spans="1:5">
      <c r="A311" t="s">
        <v>934</v>
      </c>
      <c r="B311" s="129">
        <f>FIBER!C65</f>
        <v>0</v>
      </c>
      <c r="C311" s="5">
        <f>C304+C305+C306</f>
        <v>0</v>
      </c>
      <c r="D311" s="283">
        <f t="shared" si="0"/>
        <v>0</v>
      </c>
    </row>
    <row r="312" spans="1:5">
      <c r="A312" t="s">
        <v>983</v>
      </c>
      <c r="B312" s="129"/>
      <c r="D312" s="283"/>
    </row>
    <row r="313" spans="1:5">
      <c r="A313" t="s">
        <v>765</v>
      </c>
      <c r="B313" s="129"/>
      <c r="D313" s="283">
        <f>(D304+D305+D306+D309)*-E304</f>
        <v>0</v>
      </c>
    </row>
    <row r="314" spans="1:5" ht="15" thickBot="1">
      <c r="A314" t="s">
        <v>770</v>
      </c>
      <c r="B314" s="129"/>
      <c r="D314" s="283">
        <f>SUM(D304:D313)*E314</f>
        <v>0</v>
      </c>
      <c r="E314" s="10">
        <v>7.2499999999999995E-2</v>
      </c>
    </row>
    <row r="315" spans="1:5" ht="15" thickBot="1">
      <c r="A315" s="155" t="s">
        <v>759</v>
      </c>
      <c r="B315" s="156"/>
      <c r="C315" s="157"/>
      <c r="D315" s="158">
        <f>SUM(D304:D314)</f>
        <v>0</v>
      </c>
    </row>
    <row r="316" spans="1:5" ht="15" thickBot="1">
      <c r="B316" s="129"/>
      <c r="D316" s="283"/>
    </row>
    <row r="317" spans="1:5" ht="15" thickBot="1">
      <c r="A317" s="611" t="s">
        <v>763</v>
      </c>
      <c r="B317" s="612"/>
      <c r="C317" s="612"/>
      <c r="D317" s="613"/>
    </row>
    <row r="318" spans="1:5">
      <c r="B318" s="129"/>
      <c r="D318" s="283"/>
    </row>
    <row r="319" spans="1:5">
      <c r="A319" t="str">
        <f>'NEW POOL'!A28</f>
        <v>No Crane</v>
      </c>
      <c r="B319" s="129">
        <f>SUM(FIBER!G66:G70)</f>
        <v>150</v>
      </c>
      <c r="C319" s="5">
        <f>IF(($C$304+$C$305+$C$306+$C$307)&gt;0,1,0)</f>
        <v>0</v>
      </c>
      <c r="D319" s="283">
        <f>B319*C319</f>
        <v>0</v>
      </c>
    </row>
    <row r="320" spans="1:5">
      <c r="A320" t="s">
        <v>342</v>
      </c>
      <c r="B320" s="129">
        <f>FIBER!G71+FIBER!G72+FIBER!G73+FIBER!G74</f>
        <v>0</v>
      </c>
      <c r="C320" s="5">
        <f>IF(($C$304+$C$305+$C$306+$C$307)&gt;0,1,0)</f>
        <v>0</v>
      </c>
      <c r="D320" s="283">
        <f>B320*C320</f>
        <v>0</v>
      </c>
    </row>
    <row r="321" spans="1:6">
      <c r="A321" t="s">
        <v>738</v>
      </c>
      <c r="B321" s="129">
        <f>SUM(FIBER!G75:G77)</f>
        <v>0</v>
      </c>
      <c r="C321" s="5">
        <f>IF(($C$304+$C$305+$C$306+$C$307)&gt;0,1,0)</f>
        <v>0</v>
      </c>
      <c r="D321" s="283">
        <f>B321*C321</f>
        <v>0</v>
      </c>
    </row>
    <row r="322" spans="1:6" ht="15" thickBot="1">
      <c r="B322" s="129"/>
      <c r="D322" s="283"/>
    </row>
    <row r="323" spans="1:6" ht="15" thickBot="1">
      <c r="A323" s="155" t="s">
        <v>761</v>
      </c>
      <c r="B323" s="156"/>
      <c r="C323" s="157"/>
      <c r="D323" s="158">
        <f>SUM(D318:D322)</f>
        <v>0</v>
      </c>
    </row>
    <row r="324" spans="1:6" ht="15" thickBot="1">
      <c r="B324" s="2"/>
      <c r="D324" s="283"/>
    </row>
    <row r="325" spans="1:6" ht="15" thickBot="1">
      <c r="A325" s="611" t="s">
        <v>632</v>
      </c>
      <c r="B325" s="612"/>
      <c r="C325" s="612"/>
      <c r="D325" s="613"/>
    </row>
    <row r="326" spans="1:6">
      <c r="A326" t="str">
        <f>MISC!A5</f>
        <v>Start-Up &amp; 30 Days:</v>
      </c>
      <c r="B326" s="2">
        <f>MISC!B5</f>
        <v>700</v>
      </c>
      <c r="C326" s="5">
        <v>1</v>
      </c>
      <c r="D326" s="2">
        <f>MISC!D5</f>
        <v>700</v>
      </c>
    </row>
    <row r="327" spans="1:6">
      <c r="A327" t="str">
        <f>MISC!A6</f>
        <v>Add Automation:</v>
      </c>
      <c r="B327" s="2">
        <f>MISC!B6</f>
        <v>300</v>
      </c>
      <c r="C327" s="4">
        <f>EXC!C27</f>
        <v>1</v>
      </c>
      <c r="D327" s="2">
        <f>MISC!D6</f>
        <v>300</v>
      </c>
    </row>
    <row r="328" spans="1:6">
      <c r="A328" t="str">
        <f>MISC!A7</f>
        <v>Premium Start-Up:</v>
      </c>
      <c r="B328" s="2">
        <f>MISC!B7</f>
        <v>800</v>
      </c>
      <c r="C328" s="5">
        <f>'NEW POOL'!B179</f>
        <v>0</v>
      </c>
      <c r="D328" s="2">
        <f>MISC!D7</f>
        <v>0</v>
      </c>
    </row>
    <row r="329" spans="1:6" ht="15" thickBot="1">
      <c r="A329" s="153" t="s">
        <v>1135</v>
      </c>
      <c r="B329" s="153"/>
      <c r="C329" s="485"/>
      <c r="D329" s="486">
        <f>F329*-E329</f>
        <v>0</v>
      </c>
      <c r="E329" s="455">
        <v>0</v>
      </c>
      <c r="F329" s="1">
        <f>SUM(D326:D328)</f>
        <v>1000</v>
      </c>
    </row>
    <row r="330" spans="1:6" ht="15" thickBot="1">
      <c r="A330" s="155" t="s">
        <v>635</v>
      </c>
      <c r="B330" s="156"/>
      <c r="C330" s="157"/>
      <c r="D330" s="158">
        <f>SUM(D326:D329)</f>
        <v>1000</v>
      </c>
    </row>
    <row r="331" spans="1:6" ht="15" thickBot="1">
      <c r="A331" s="116"/>
      <c r="B331" s="116"/>
      <c r="C331" s="152"/>
      <c r="D331" s="154"/>
    </row>
    <row r="332" spans="1:6" ht="15" thickBot="1">
      <c r="A332" s="611" t="s">
        <v>796</v>
      </c>
      <c r="B332" s="612"/>
      <c r="C332" s="612"/>
      <c r="D332" s="613"/>
    </row>
    <row r="333" spans="1:6">
      <c r="A333" t="str">
        <f>CUSTOM!A3</f>
        <v>travertine cap for raised wall</v>
      </c>
      <c r="B333" s="2">
        <f>CUSTOM!E3</f>
        <v>1150</v>
      </c>
      <c r="C333" s="5">
        <f t="shared" ref="C333:C340" si="1">IF(B333&gt;0,1,0)</f>
        <v>1</v>
      </c>
      <c r="D333" s="2">
        <f t="shared" ref="D333:D340" si="2">B333*C333</f>
        <v>1150</v>
      </c>
    </row>
    <row r="334" spans="1:6">
      <c r="A334" t="str">
        <f>CUSTOM!A5</f>
        <v>No Custom Feature</v>
      </c>
      <c r="B334" s="2">
        <f>CUSTOM!E5</f>
        <v>0</v>
      </c>
      <c r="C334" s="5">
        <f t="shared" si="1"/>
        <v>0</v>
      </c>
      <c r="D334" s="2">
        <f t="shared" si="2"/>
        <v>0</v>
      </c>
    </row>
    <row r="335" spans="1:6">
      <c r="A335" t="str">
        <f>CUSTOM!A7</f>
        <v>No Custom Feature</v>
      </c>
      <c r="B335" s="2">
        <f>CUSTOM!E7</f>
        <v>0</v>
      </c>
      <c r="C335" s="5">
        <f t="shared" si="1"/>
        <v>0</v>
      </c>
      <c r="D335" s="2">
        <f t="shared" si="2"/>
        <v>0</v>
      </c>
    </row>
    <row r="336" spans="1:6">
      <c r="A336" t="str">
        <f>CUSTOM!A9</f>
        <v>No Custom Feature</v>
      </c>
      <c r="B336" s="2">
        <f>CUSTOM!E9</f>
        <v>0</v>
      </c>
      <c r="C336" s="5">
        <f t="shared" si="1"/>
        <v>0</v>
      </c>
      <c r="D336" s="2">
        <f t="shared" si="2"/>
        <v>0</v>
      </c>
    </row>
    <row r="337" spans="1:9">
      <c r="A337" t="str">
        <f>CUSTOM!A11</f>
        <v>No Custom Feature</v>
      </c>
      <c r="B337" s="2">
        <f>CUSTOM!E11</f>
        <v>0</v>
      </c>
      <c r="C337" s="5">
        <f t="shared" si="1"/>
        <v>0</v>
      </c>
      <c r="D337" s="2">
        <f t="shared" si="2"/>
        <v>0</v>
      </c>
    </row>
    <row r="338" spans="1:9">
      <c r="A338" t="str">
        <f>CUSTOM!A13</f>
        <v>No Custom Feature</v>
      </c>
      <c r="B338" s="2">
        <f>CUSTOM!E13</f>
        <v>0</v>
      </c>
      <c r="C338" s="5">
        <f t="shared" si="1"/>
        <v>0</v>
      </c>
      <c r="D338" s="2">
        <f t="shared" si="2"/>
        <v>0</v>
      </c>
    </row>
    <row r="339" spans="1:9">
      <c r="A339" t="str">
        <f>CUSTOM!A15</f>
        <v>No Custom Feature</v>
      </c>
      <c r="B339" s="2">
        <f>CUSTOM!E15</f>
        <v>0</v>
      </c>
      <c r="C339" s="5">
        <f t="shared" si="1"/>
        <v>0</v>
      </c>
      <c r="D339" s="2">
        <f t="shared" si="2"/>
        <v>0</v>
      </c>
    </row>
    <row r="340" spans="1:9">
      <c r="A340" t="str">
        <f>CUSTOM!A17</f>
        <v>No Custom Feature</v>
      </c>
      <c r="B340" s="2">
        <f>CUSTOM!E17</f>
        <v>0</v>
      </c>
      <c r="C340" s="5">
        <f t="shared" si="1"/>
        <v>0</v>
      </c>
      <c r="D340" s="2">
        <f t="shared" si="2"/>
        <v>0</v>
      </c>
    </row>
    <row r="341" spans="1:9" ht="15" thickBot="1">
      <c r="B341" s="2"/>
      <c r="D341" s="2"/>
    </row>
    <row r="342" spans="1:9" ht="15" thickBot="1">
      <c r="A342" s="155" t="s">
        <v>797</v>
      </c>
      <c r="B342" s="156"/>
      <c r="C342" s="157"/>
      <c r="D342" s="158">
        <f>SUM(D333:D341)</f>
        <v>1150</v>
      </c>
    </row>
    <row r="343" spans="1:9" ht="15" thickBot="1"/>
    <row r="344" spans="1:9" ht="15" thickBot="1">
      <c r="A344" s="159" t="s">
        <v>674</v>
      </c>
      <c r="B344" s="160"/>
      <c r="C344" s="161"/>
      <c r="D344" s="162">
        <f>(D330+D295+D282+D272+D229+D210+D177+D150+D121+D104+D71+D45+D23+D9+D261+D16+D77+D315+D323+D342+D301+D235)*1.01</f>
        <v>102657.60556125001</v>
      </c>
      <c r="E344" s="178">
        <v>0.7</v>
      </c>
    </row>
    <row r="345" spans="1:9">
      <c r="H345" t="s">
        <v>800</v>
      </c>
      <c r="I345" t="s">
        <v>16</v>
      </c>
    </row>
    <row r="346" spans="1:9">
      <c r="A346" t="s">
        <v>637</v>
      </c>
      <c r="D346" s="2">
        <f>'NEW POOL'!C191</f>
        <v>137910</v>
      </c>
      <c r="E346" s="183"/>
      <c r="G346" s="5">
        <f>SUM(C304:C306)</f>
        <v>0</v>
      </c>
      <c r="H346" s="3">
        <f>FIBER!C59+FIBER!C46+FIBER!C33</f>
        <v>2000</v>
      </c>
      <c r="I346" s="60">
        <f>CEILING(H346/0.75,10)*G346</f>
        <v>0</v>
      </c>
    </row>
    <row r="347" spans="1:9">
      <c r="E347" s="4"/>
    </row>
    <row r="348" spans="1:9" ht="15" thickBot="1">
      <c r="A348" t="s">
        <v>674</v>
      </c>
      <c r="D348" s="1">
        <f>-D344</f>
        <v>-102657.60556125001</v>
      </c>
      <c r="E348" s="4"/>
    </row>
    <row r="349" spans="1:9" ht="15" thickBot="1">
      <c r="A349" t="s">
        <v>671</v>
      </c>
      <c r="D349" s="1">
        <f>-D346*E349</f>
        <v>-3792.5250000000001</v>
      </c>
      <c r="E349" s="179">
        <v>2.75E-2</v>
      </c>
    </row>
    <row r="350" spans="1:9" ht="15" thickBot="1">
      <c r="A350" t="s">
        <v>672</v>
      </c>
      <c r="D350" s="1">
        <f>-D346*0.029</f>
        <v>-3999.3900000000003</v>
      </c>
      <c r="E350" s="4"/>
    </row>
    <row r="351" spans="1:9" ht="15" thickBot="1">
      <c r="A351" t="s">
        <v>673</v>
      </c>
      <c r="D351" s="2">
        <f>-D346*E351</f>
        <v>-3792.5250000000001</v>
      </c>
      <c r="E351" s="180">
        <f>E349</f>
        <v>2.75E-2</v>
      </c>
    </row>
    <row r="352" spans="1:9" ht="15" thickBot="1">
      <c r="D352" s="181"/>
    </row>
    <row r="353" spans="1:5" ht="18.600000000000001" thickBot="1">
      <c r="A353" s="189" t="s">
        <v>675</v>
      </c>
      <c r="B353" s="189"/>
      <c r="C353" s="190"/>
      <c r="D353" s="191">
        <f>SUM(D346:D352)</f>
        <v>23667.954438749992</v>
      </c>
      <c r="E353" s="192">
        <f>D353/D346</f>
        <v>0.17161884155427445</v>
      </c>
    </row>
  </sheetData>
  <mergeCells count="23">
    <mergeCell ref="A317:D317"/>
    <mergeCell ref="A332:D332"/>
    <mergeCell ref="A325:D325"/>
    <mergeCell ref="A152:D152"/>
    <mergeCell ref="A212:D212"/>
    <mergeCell ref="A237:D237"/>
    <mergeCell ref="A284:D284"/>
    <mergeCell ref="A274:D274"/>
    <mergeCell ref="A263:D263"/>
    <mergeCell ref="A303:D303"/>
    <mergeCell ref="A297:D297"/>
    <mergeCell ref="A231:D231"/>
    <mergeCell ref="A235:C235"/>
    <mergeCell ref="A2:D2"/>
    <mergeCell ref="A11:D11"/>
    <mergeCell ref="A18:D18"/>
    <mergeCell ref="A25:D25"/>
    <mergeCell ref="A47:D47"/>
    <mergeCell ref="A79:D79"/>
    <mergeCell ref="A106:D106"/>
    <mergeCell ref="A123:D123"/>
    <mergeCell ref="A73:D73"/>
    <mergeCell ref="A179:D17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8EC9-F879-4AAF-B74F-1E4CDB0F3E4F}">
  <sheetPr codeName="Sheet9">
    <pageSetUpPr fitToPage="1"/>
  </sheetPr>
  <dimension ref="A1:J73"/>
  <sheetViews>
    <sheetView topLeftCell="A37" zoomScale="110" zoomScaleNormal="110" workbookViewId="0">
      <selection activeCell="D37" sqref="D37"/>
    </sheetView>
  </sheetViews>
  <sheetFormatPr defaultRowHeight="14.4"/>
  <cols>
    <col min="1" max="1" width="24.44140625" customWidth="1"/>
    <col min="2" max="2" width="14.88671875" customWidth="1"/>
    <col min="3" max="3" width="8.5546875" style="5"/>
    <col min="4" max="4" width="14.88671875" customWidth="1"/>
    <col min="6" max="6" width="13.44140625" style="4" customWidth="1"/>
    <col min="8" max="8" width="13.44140625" style="4" customWidth="1"/>
    <col min="10" max="10" width="13.44140625" customWidth="1"/>
    <col min="12" max="12" width="13.441406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" thickBot="1"/>
    <row r="3" spans="1:10" ht="18.600000000000001" thickBot="1">
      <c r="A3" s="189" t="s">
        <v>0</v>
      </c>
      <c r="B3" s="620" t="str">
        <f>'NEW POOL'!B3</f>
        <v>Daisy Burger no sale</v>
      </c>
      <c r="C3" s="621"/>
      <c r="D3" s="622"/>
    </row>
    <row r="4" spans="1:10" ht="15" thickBot="1">
      <c r="J4" s="4"/>
    </row>
    <row r="5" spans="1:10" ht="15" thickBot="1">
      <c r="A5" s="155" t="s">
        <v>628</v>
      </c>
      <c r="B5" s="156"/>
      <c r="C5" s="157"/>
      <c r="D5" s="360">
        <f>'COST - NEW'!D9</f>
        <v>505</v>
      </c>
      <c r="F5" s="184"/>
      <c r="H5" s="24"/>
      <c r="J5" s="1"/>
    </row>
    <row r="6" spans="1:10" ht="15" thickBot="1">
      <c r="F6" s="184"/>
      <c r="H6" s="24"/>
    </row>
    <row r="7" spans="1:10" ht="15" thickBot="1">
      <c r="A7" s="155" t="s">
        <v>631</v>
      </c>
      <c r="B7" s="156"/>
      <c r="C7" s="157"/>
      <c r="D7" s="360">
        <f>'COST - NEW'!D16</f>
        <v>565</v>
      </c>
      <c r="F7" s="184"/>
      <c r="H7" s="24"/>
      <c r="J7" s="1"/>
    </row>
    <row r="8" spans="1:10" ht="15" thickBot="1">
      <c r="F8" s="184"/>
      <c r="H8" s="24"/>
    </row>
    <row r="9" spans="1:10" ht="15" thickBot="1">
      <c r="A9" s="155" t="s">
        <v>1</v>
      </c>
      <c r="B9" s="156"/>
      <c r="C9" s="157"/>
      <c r="D9" s="360">
        <f>'COST - NEW'!D23</f>
        <v>1075</v>
      </c>
      <c r="F9" s="184"/>
      <c r="H9" s="24"/>
      <c r="J9" s="1"/>
    </row>
    <row r="10" spans="1:10" ht="15" thickBot="1">
      <c r="F10" s="184"/>
      <c r="H10" s="24"/>
    </row>
    <row r="11" spans="1:10" ht="15" thickBot="1">
      <c r="A11" s="155" t="s">
        <v>521</v>
      </c>
      <c r="B11" s="156"/>
      <c r="C11" s="157"/>
      <c r="D11" s="360">
        <f>'COST - NEW'!D45</f>
        <v>8235.4500000000007</v>
      </c>
      <c r="F11" s="184"/>
      <c r="H11" s="24"/>
      <c r="J11" s="1"/>
    </row>
    <row r="12" spans="1:10" ht="15" thickBot="1">
      <c r="F12" s="184"/>
      <c r="H12" s="24"/>
    </row>
    <row r="13" spans="1:10" ht="15" thickBot="1">
      <c r="A13" s="155" t="s">
        <v>520</v>
      </c>
      <c r="B13" s="156"/>
      <c r="C13" s="157"/>
      <c r="D13" s="360">
        <f>'COST - NEW'!D71</f>
        <v>12151.75</v>
      </c>
      <c r="F13" s="184"/>
      <c r="H13" s="24"/>
      <c r="J13" s="1"/>
    </row>
    <row r="14" spans="1:10" ht="15" thickBot="1">
      <c r="A14" s="116"/>
      <c r="B14" s="116"/>
      <c r="C14" s="152"/>
      <c r="D14" s="154"/>
      <c r="F14" s="184"/>
      <c r="H14" s="24"/>
    </row>
    <row r="15" spans="1:10" ht="15" thickBot="1">
      <c r="A15" s="155" t="s">
        <v>669</v>
      </c>
      <c r="B15" s="156"/>
      <c r="C15" s="157"/>
      <c r="D15" s="360">
        <f>'COST - NEW'!D77</f>
        <v>2050</v>
      </c>
      <c r="F15" s="184"/>
      <c r="H15" s="24"/>
      <c r="J15" s="1"/>
    </row>
    <row r="16" spans="1:10" ht="15" thickBot="1">
      <c r="F16" s="184"/>
      <c r="H16" s="24"/>
    </row>
    <row r="17" spans="1:10" ht="15" thickBot="1">
      <c r="A17" s="155" t="s">
        <v>536</v>
      </c>
      <c r="B17" s="156"/>
      <c r="C17" s="157"/>
      <c r="D17" s="360">
        <f>OTHER!D17</f>
        <v>5098</v>
      </c>
      <c r="F17" s="184"/>
      <c r="H17" s="24"/>
      <c r="J17" s="1"/>
    </row>
    <row r="18" spans="1:10" ht="15" thickBot="1">
      <c r="F18" s="184"/>
      <c r="H18" s="24"/>
    </row>
    <row r="19" spans="1:10" ht="15" thickBot="1">
      <c r="A19" s="155" t="s">
        <v>559</v>
      </c>
      <c r="B19" s="156"/>
      <c r="C19" s="157"/>
      <c r="D19" s="360">
        <f>'COST - NEW'!D121</f>
        <v>2840</v>
      </c>
      <c r="F19" s="184"/>
      <c r="H19" s="24"/>
      <c r="J19" s="1"/>
    </row>
    <row r="20" spans="1:10" ht="15" thickBot="1">
      <c r="F20" s="184"/>
      <c r="H20" s="24"/>
    </row>
    <row r="21" spans="1:10" ht="15" thickBot="1">
      <c r="A21" s="155" t="s">
        <v>599</v>
      </c>
      <c r="B21" s="156"/>
      <c r="C21" s="157"/>
      <c r="D21" s="360">
        <f>OTHER!D21</f>
        <v>5110</v>
      </c>
      <c r="F21" s="184"/>
      <c r="H21" s="24"/>
      <c r="J21" s="1"/>
    </row>
    <row r="22" spans="1:10" ht="15" thickBot="1">
      <c r="F22" s="184"/>
      <c r="H22" s="24"/>
    </row>
    <row r="23" spans="1:10" ht="15" thickBot="1">
      <c r="A23" s="155" t="s">
        <v>600</v>
      </c>
      <c r="B23" s="156"/>
      <c r="C23" s="157"/>
      <c r="D23" s="360">
        <f>OTHER!D23</f>
        <v>14920.619999999999</v>
      </c>
      <c r="F23" s="184"/>
      <c r="H23" s="24"/>
      <c r="J23" s="1"/>
    </row>
    <row r="24" spans="1:10" ht="15" thickBot="1">
      <c r="D24" s="1"/>
      <c r="F24" s="184"/>
      <c r="H24" s="24"/>
    </row>
    <row r="25" spans="1:10" ht="15" thickBot="1">
      <c r="A25" s="155" t="s">
        <v>596</v>
      </c>
      <c r="B25" s="156"/>
      <c r="C25" s="157"/>
      <c r="D25" s="360">
        <f>OTHER!D25</f>
        <v>1280</v>
      </c>
      <c r="F25" s="184"/>
      <c r="H25" s="24"/>
      <c r="J25" s="1"/>
    </row>
    <row r="26" spans="1:10" ht="15" thickBot="1">
      <c r="F26" s="184"/>
      <c r="H26" s="24"/>
    </row>
    <row r="27" spans="1:10" ht="15" thickBot="1">
      <c r="A27" s="155" t="s">
        <v>597</v>
      </c>
      <c r="B27" s="156"/>
      <c r="C27" s="157"/>
      <c r="D27" s="360">
        <f>OTHER!D27</f>
        <v>963.19999999999993</v>
      </c>
      <c r="F27" s="184"/>
      <c r="H27" s="24"/>
      <c r="J27" s="1"/>
    </row>
    <row r="28" spans="1:10" ht="15" thickBot="1">
      <c r="F28" s="184"/>
      <c r="H28" s="24"/>
    </row>
    <row r="29" spans="1:10" ht="15" thickBot="1">
      <c r="A29" s="155" t="s">
        <v>605</v>
      </c>
      <c r="B29" s="156"/>
      <c r="C29" s="157"/>
      <c r="D29" s="360">
        <f>'COST - NEW'!D204</f>
        <v>2652</v>
      </c>
      <c r="F29" s="184"/>
      <c r="H29" s="24"/>
      <c r="J29" s="1"/>
    </row>
    <row r="30" spans="1:10" ht="15" thickBot="1">
      <c r="F30" s="184"/>
      <c r="H30" s="24"/>
    </row>
    <row r="31" spans="1:10" ht="15" thickBot="1">
      <c r="A31" s="155" t="s">
        <v>606</v>
      </c>
      <c r="B31" s="156"/>
      <c r="C31" s="157"/>
      <c r="D31" s="360">
        <f>'COST - NEW'!D206</f>
        <v>5245.5974999999999</v>
      </c>
      <c r="F31" s="184"/>
      <c r="H31" s="24"/>
      <c r="J31" s="1"/>
    </row>
    <row r="32" spans="1:10" ht="15" thickBot="1">
      <c r="F32" s="184"/>
      <c r="H32" s="24"/>
    </row>
    <row r="33" spans="1:10" ht="15" thickBot="1">
      <c r="A33" s="155" t="s">
        <v>617</v>
      </c>
      <c r="B33" s="156"/>
      <c r="C33" s="157"/>
      <c r="D33" s="360">
        <f>'COST - NEW'!D225</f>
        <v>2474</v>
      </c>
      <c r="F33" s="184"/>
      <c r="H33" s="24"/>
      <c r="J33" s="1"/>
    </row>
    <row r="34" spans="1:10" ht="15" thickBot="1">
      <c r="F34" s="184"/>
      <c r="H34" s="24"/>
    </row>
    <row r="35" spans="1:10" ht="15" thickBot="1">
      <c r="A35" s="155" t="s">
        <v>618</v>
      </c>
      <c r="B35" s="156"/>
      <c r="C35" s="157"/>
      <c r="D35" s="360">
        <f>'COST - NEW'!D227</f>
        <v>2854.5659999999998</v>
      </c>
      <c r="F35" s="184"/>
      <c r="H35" s="24"/>
      <c r="J35" s="1"/>
    </row>
    <row r="36" spans="1:10" ht="15" thickBot="1">
      <c r="F36" s="184"/>
      <c r="H36" s="24"/>
    </row>
    <row r="37" spans="1:10" ht="15" thickBot="1">
      <c r="A37" s="155" t="s">
        <v>849</v>
      </c>
      <c r="B37" s="156"/>
      <c r="C37" s="157"/>
      <c r="D37" s="360">
        <f>MISC!D18</f>
        <v>0</v>
      </c>
      <c r="F37" s="184"/>
      <c r="H37" s="24"/>
    </row>
    <row r="38" spans="1:10" ht="15" thickBot="1">
      <c r="F38" s="184"/>
      <c r="H38" s="24"/>
    </row>
    <row r="39" spans="1:10" ht="15" thickBot="1">
      <c r="A39" s="155" t="s">
        <v>634</v>
      </c>
      <c r="B39" s="156"/>
      <c r="C39" s="157"/>
      <c r="D39" s="360">
        <f>'COST - NEW'!D261</f>
        <v>15065.890125000002</v>
      </c>
      <c r="F39" s="184"/>
      <c r="H39" s="24"/>
      <c r="J39" s="1"/>
    </row>
    <row r="40" spans="1:10" ht="15" thickBot="1">
      <c r="F40" s="184"/>
      <c r="H40" s="24"/>
    </row>
    <row r="41" spans="1:10" ht="15" thickBot="1">
      <c r="A41" s="155" t="s">
        <v>523</v>
      </c>
      <c r="B41" s="156"/>
      <c r="C41" s="157"/>
      <c r="D41" s="360">
        <f>'COST - NEW'!D272</f>
        <v>1075</v>
      </c>
      <c r="F41" s="184"/>
      <c r="H41" s="24"/>
      <c r="J41" s="1"/>
    </row>
    <row r="42" spans="1:10" ht="15" thickBot="1">
      <c r="F42" s="184"/>
      <c r="H42" s="24"/>
    </row>
    <row r="43" spans="1:10" ht="15" thickBot="1">
      <c r="A43" s="155" t="s">
        <v>577</v>
      </c>
      <c r="B43" s="156"/>
      <c r="C43" s="157"/>
      <c r="D43" s="360">
        <f>'COST - NEW'!D282</f>
        <v>1832.5</v>
      </c>
      <c r="F43" s="184"/>
      <c r="H43" s="24"/>
      <c r="J43" s="1"/>
    </row>
    <row r="44" spans="1:10" ht="15" thickBot="1">
      <c r="F44" s="184"/>
      <c r="H44" s="24"/>
    </row>
    <row r="45" spans="1:10" ht="15" thickBot="1">
      <c r="A45" s="155" t="s">
        <v>620</v>
      </c>
      <c r="B45" s="156"/>
      <c r="C45" s="157"/>
      <c r="D45" s="360">
        <f>OTHER!D43</f>
        <v>12027.619999999999</v>
      </c>
      <c r="F45" s="184"/>
      <c r="H45" s="24"/>
      <c r="J45" s="1"/>
    </row>
    <row r="46" spans="1:10" ht="15" thickBot="1">
      <c r="A46" s="116"/>
      <c r="B46" s="116"/>
      <c r="C46" s="152"/>
      <c r="D46" s="335"/>
      <c r="F46" s="184"/>
      <c r="H46" s="24"/>
      <c r="J46" s="1"/>
    </row>
    <row r="47" spans="1:10" ht="15" thickBot="1">
      <c r="A47" s="155" t="s">
        <v>837</v>
      </c>
      <c r="B47" s="156"/>
      <c r="C47" s="157"/>
      <c r="D47" s="360">
        <f>INT!D28</f>
        <v>1470</v>
      </c>
      <c r="F47" s="184"/>
      <c r="H47" s="24"/>
    </row>
    <row r="48" spans="1:10" ht="15" thickBot="1">
      <c r="F48" s="184"/>
      <c r="H48" s="24"/>
    </row>
    <row r="49" spans="1:10" ht="15" thickBot="1">
      <c r="A49" s="155" t="s">
        <v>759</v>
      </c>
      <c r="B49" s="156"/>
      <c r="C49" s="157"/>
      <c r="D49" s="360">
        <f>OTHER!D45</f>
        <v>0</v>
      </c>
      <c r="F49" s="184"/>
      <c r="H49" s="24"/>
    </row>
    <row r="50" spans="1:10" ht="15" thickBot="1">
      <c r="F50" s="184"/>
      <c r="H50" s="24"/>
    </row>
    <row r="51" spans="1:10" ht="15" thickBot="1">
      <c r="A51" s="155" t="s">
        <v>761</v>
      </c>
      <c r="B51" s="156"/>
      <c r="C51" s="157"/>
      <c r="D51" s="360">
        <f>OTHER!D47</f>
        <v>150</v>
      </c>
      <c r="F51" s="184"/>
      <c r="H51" s="24"/>
    </row>
    <row r="52" spans="1:10" ht="15" thickBot="1">
      <c r="F52" s="184"/>
      <c r="H52" s="24"/>
    </row>
    <row r="53" spans="1:10" ht="15" thickBot="1">
      <c r="A53" s="155" t="s">
        <v>635</v>
      </c>
      <c r="B53" s="156"/>
      <c r="C53" s="157"/>
      <c r="D53" s="360">
        <f>'COST - NEW'!D330</f>
        <v>1000</v>
      </c>
      <c r="F53" s="184"/>
      <c r="H53" s="24"/>
      <c r="J53" s="1"/>
    </row>
    <row r="54" spans="1:10" ht="15" thickBot="1"/>
    <row r="55" spans="1:10" ht="15" thickBot="1">
      <c r="A55" s="155" t="str">
        <f>CUSTOM!A3</f>
        <v>travertine cap for raised wall</v>
      </c>
      <c r="B55" s="156"/>
      <c r="C55" s="157"/>
      <c r="D55" s="360">
        <f>'COST - NEW'!D333</f>
        <v>1150</v>
      </c>
    </row>
    <row r="56" spans="1:10" ht="15" thickBot="1"/>
    <row r="57" spans="1:10" ht="15" thickBot="1">
      <c r="A57" s="155" t="str">
        <f>CUSTOM!A5</f>
        <v>No Custom Feature</v>
      </c>
      <c r="B57" s="156"/>
      <c r="C57" s="157"/>
      <c r="D57" s="360">
        <f>'COST - NEW'!D334</f>
        <v>0</v>
      </c>
    </row>
    <row r="58" spans="1:10" ht="15" thickBot="1"/>
    <row r="59" spans="1:10" ht="15" thickBot="1">
      <c r="A59" s="155" t="str">
        <f>CUSTOM!A7</f>
        <v>No Custom Feature</v>
      </c>
      <c r="B59" s="156"/>
      <c r="C59" s="157"/>
      <c r="D59" s="360">
        <f>'COST - NEW'!D335</f>
        <v>0</v>
      </c>
    </row>
    <row r="60" spans="1:10" ht="15" thickBot="1"/>
    <row r="61" spans="1:10" ht="15" thickBot="1">
      <c r="A61" s="155" t="str">
        <f>CUSTOM!A9</f>
        <v>No Custom Feature</v>
      </c>
      <c r="B61" s="156"/>
      <c r="C61" s="157"/>
      <c r="D61" s="360">
        <f>'COST - NEW'!D336</f>
        <v>0</v>
      </c>
    </row>
    <row r="62" spans="1:10" ht="15" thickBot="1">
      <c r="A62" s="116"/>
      <c r="B62" s="116"/>
      <c r="C62" s="152"/>
      <c r="D62" s="335"/>
    </row>
    <row r="63" spans="1:10" ht="15" thickBot="1">
      <c r="A63" s="155" t="str">
        <f>CUSTOM!A11</f>
        <v>No Custom Feature</v>
      </c>
      <c r="B63" s="156"/>
      <c r="C63" s="157"/>
      <c r="D63" s="360">
        <f>'COST - NEW'!D337</f>
        <v>0</v>
      </c>
    </row>
    <row r="64" spans="1:10" ht="15" thickBot="1"/>
    <row r="65" spans="1:10" ht="15" thickBot="1">
      <c r="A65" s="155" t="str">
        <f>CUSTOM!A13</f>
        <v>No Custom Feature</v>
      </c>
      <c r="B65" s="156"/>
      <c r="C65" s="157"/>
      <c r="D65" s="360">
        <f>'COST - NEW'!D338</f>
        <v>0</v>
      </c>
    </row>
    <row r="66" spans="1:10" ht="15" thickBot="1"/>
    <row r="67" spans="1:10" ht="15" thickBot="1">
      <c r="A67" s="155" t="str">
        <f>CUSTOM!A15</f>
        <v>No Custom Feature</v>
      </c>
      <c r="B67" s="156"/>
      <c r="C67" s="157"/>
      <c r="D67" s="360">
        <f>'COST - NEW'!D339</f>
        <v>0</v>
      </c>
    </row>
    <row r="68" spans="1:10" ht="15" thickBot="1"/>
    <row r="69" spans="1:10" ht="15" thickBot="1">
      <c r="A69" s="155" t="str">
        <f>CUSTOM!A17</f>
        <v>No Custom Feature</v>
      </c>
      <c r="B69" s="156"/>
      <c r="C69" s="157"/>
      <c r="D69" s="360">
        <f>'COST - NEW'!D340</f>
        <v>0</v>
      </c>
    </row>
    <row r="70" spans="1:10" ht="15" thickBot="1">
      <c r="A70" s="116"/>
      <c r="B70" s="116"/>
      <c r="C70" s="152"/>
      <c r="D70" s="335"/>
    </row>
    <row r="71" spans="1:10" ht="18.600000000000001" thickBot="1">
      <c r="A71" s="361" t="s">
        <v>2</v>
      </c>
      <c r="B71" s="362"/>
      <c r="C71" s="363"/>
      <c r="D71" s="364">
        <f>SUM(D5:D70)</f>
        <v>101791.193625</v>
      </c>
      <c r="E71" s="9"/>
      <c r="F71" s="24"/>
      <c r="H71" s="24"/>
      <c r="J71" s="1"/>
    </row>
    <row r="73" spans="1:10">
      <c r="D73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A0244-79AC-474B-B481-A177BC086CCA}">
  <sheetPr codeName="Sheet6">
    <pageSetUpPr fitToPage="1"/>
  </sheetPr>
  <dimension ref="A1:M72"/>
  <sheetViews>
    <sheetView topLeftCell="A6" zoomScale="160" zoomScaleNormal="160" workbookViewId="0">
      <selection activeCell="D40" sqref="D40"/>
    </sheetView>
  </sheetViews>
  <sheetFormatPr defaultRowHeight="14.4"/>
  <cols>
    <col min="1" max="1" width="24.44140625" customWidth="1"/>
    <col min="2" max="2" width="14.88671875" customWidth="1"/>
    <col min="3" max="3" width="8.5546875" style="5"/>
    <col min="4" max="4" width="14.88671875" customWidth="1"/>
    <col min="6" max="7" width="13.44140625" style="4" customWidth="1"/>
    <col min="9" max="9" width="13.44140625" style="4" customWidth="1"/>
    <col min="11" max="11" width="13.44140625" customWidth="1"/>
    <col min="13" max="13" width="15.109375" customWidth="1"/>
  </cols>
  <sheetData>
    <row r="1" spans="1:13" ht="18.600000000000001" thickBot="1">
      <c r="A1" s="620" t="s">
        <v>638</v>
      </c>
      <c r="B1" s="621"/>
      <c r="C1" s="621"/>
      <c r="D1" s="622"/>
    </row>
    <row r="2" spans="1:13" ht="15" thickBot="1"/>
    <row r="3" spans="1:13" ht="18.600000000000001" thickBot="1">
      <c r="A3" s="116" t="s">
        <v>0</v>
      </c>
      <c r="B3" s="620" t="str">
        <f>'NEW POOL'!B3</f>
        <v>Daisy Burger no sale</v>
      </c>
      <c r="C3" s="621"/>
      <c r="D3" s="622"/>
      <c r="F3" s="4" t="s">
        <v>630</v>
      </c>
      <c r="G3" s="4" t="s">
        <v>681</v>
      </c>
      <c r="K3" s="4"/>
      <c r="M3" s="186">
        <v>0.7</v>
      </c>
    </row>
    <row r="4" spans="1:13" ht="15" thickBot="1">
      <c r="F4" s="4" t="s">
        <v>3</v>
      </c>
      <c r="G4" s="4" t="s">
        <v>3</v>
      </c>
      <c r="I4" s="4" t="s">
        <v>680</v>
      </c>
      <c r="K4" s="4" t="s">
        <v>27</v>
      </c>
      <c r="M4" s="4" t="s">
        <v>683</v>
      </c>
    </row>
    <row r="5" spans="1:13" ht="15" thickBot="1">
      <c r="A5" s="155" t="s">
        <v>628</v>
      </c>
      <c r="B5" s="156"/>
      <c r="C5" s="157"/>
      <c r="D5" s="158">
        <f>'COST - NEW'!D9</f>
        <v>505</v>
      </c>
      <c r="F5" s="108">
        <v>275</v>
      </c>
      <c r="G5" s="108">
        <v>315</v>
      </c>
      <c r="I5" s="24">
        <f>D5</f>
        <v>505</v>
      </c>
      <c r="K5" s="1">
        <f>IF(EXC!$C$27=0,OTHER!I5-OTHER!F5,OTHER!I5-OTHER!G5)</f>
        <v>190</v>
      </c>
      <c r="M5" s="1">
        <f>K5/$M$3</f>
        <v>271.42857142857144</v>
      </c>
    </row>
    <row r="6" spans="1:13" ht="15" thickBot="1">
      <c r="F6" s="21"/>
      <c r="G6" s="21"/>
      <c r="I6" s="24"/>
    </row>
    <row r="7" spans="1:13" ht="15" thickBot="1">
      <c r="A7" s="155" t="s">
        <v>631</v>
      </c>
      <c r="B7" s="156"/>
      <c r="C7" s="157"/>
      <c r="D7" s="158">
        <f>'COST - NEW'!D16</f>
        <v>565</v>
      </c>
      <c r="F7" s="108">
        <v>65</v>
      </c>
      <c r="G7" s="108">
        <v>65</v>
      </c>
      <c r="I7" s="24">
        <f>D7</f>
        <v>565</v>
      </c>
      <c r="K7" s="1">
        <f>IF(EXC!$C$27=0,OTHER!I7-OTHER!F7,OTHER!I7-OTHER!G7)</f>
        <v>500</v>
      </c>
      <c r="M7" s="1">
        <f>K7/$M$3</f>
        <v>714.28571428571433</v>
      </c>
    </row>
    <row r="8" spans="1:13" ht="15" thickBot="1">
      <c r="F8" s="21"/>
      <c r="G8" s="21"/>
      <c r="I8" s="24"/>
    </row>
    <row r="9" spans="1:13" ht="15" thickBot="1">
      <c r="A9" s="155" t="s">
        <v>1</v>
      </c>
      <c r="B9" s="156"/>
      <c r="C9" s="157"/>
      <c r="D9" s="158">
        <f>'COST - NEW'!D23</f>
        <v>1075</v>
      </c>
      <c r="F9" s="108">
        <v>925</v>
      </c>
      <c r="G9" s="108">
        <v>1075</v>
      </c>
      <c r="I9" s="24">
        <f>D9</f>
        <v>1075</v>
      </c>
      <c r="K9" s="1">
        <f>IF(EXC!$C$27=0,OTHER!I9-OTHER!F9,OTHER!I9-OTHER!G9)</f>
        <v>0</v>
      </c>
      <c r="M9" s="1">
        <f>K9/$M$3</f>
        <v>0</v>
      </c>
    </row>
    <row r="10" spans="1:13" ht="15" thickBot="1">
      <c r="F10" s="21"/>
      <c r="G10" s="21"/>
      <c r="I10" s="24"/>
    </row>
    <row r="11" spans="1:13" ht="15" thickBot="1">
      <c r="A11" s="155" t="s">
        <v>521</v>
      </c>
      <c r="B11" s="156"/>
      <c r="C11" s="157"/>
      <c r="D11" s="158">
        <f>'COST - NEW'!D45</f>
        <v>8235.4500000000007</v>
      </c>
      <c r="F11" s="108">
        <v>3650</v>
      </c>
      <c r="G11" s="108">
        <v>4000</v>
      </c>
      <c r="I11" s="24">
        <f>D11</f>
        <v>8235.4500000000007</v>
      </c>
      <c r="K11" s="1">
        <f>IF(EXC!$C$27=0,OTHER!I11-OTHER!F11,OTHER!I11-OTHER!G11)</f>
        <v>4235.4500000000007</v>
      </c>
      <c r="M11" s="1">
        <f>K11/$M$3</f>
        <v>6050.6428571428587</v>
      </c>
    </row>
    <row r="12" spans="1:13" ht="15" thickBot="1">
      <c r="F12" s="21"/>
      <c r="G12" s="21"/>
      <c r="I12" s="24"/>
    </row>
    <row r="13" spans="1:13" ht="15" thickBot="1">
      <c r="A13" s="155" t="s">
        <v>520</v>
      </c>
      <c r="B13" s="156"/>
      <c r="C13" s="157"/>
      <c r="D13" s="158">
        <f>'COST - NEW'!D71</f>
        <v>12151.75</v>
      </c>
      <c r="F13" s="108">
        <v>1833.5</v>
      </c>
      <c r="G13" s="108">
        <v>3058</v>
      </c>
      <c r="I13" s="24">
        <f>D13</f>
        <v>12151.75</v>
      </c>
      <c r="K13" s="1">
        <f>IF(EXC!$C$27=0,OTHER!I13-OTHER!F13,OTHER!I13-OTHER!G13)</f>
        <v>9093.75</v>
      </c>
      <c r="M13" s="1">
        <f>CEILING(K13/$M$3,10)</f>
        <v>13000</v>
      </c>
    </row>
    <row r="14" spans="1:13" ht="15" thickBot="1">
      <c r="A14" s="116"/>
      <c r="B14" s="116"/>
      <c r="C14" s="152"/>
      <c r="D14" s="154"/>
      <c r="F14" s="21"/>
      <c r="G14" s="21"/>
      <c r="I14" s="24"/>
    </row>
    <row r="15" spans="1:13" ht="15" thickBot="1">
      <c r="A15" s="155" t="s">
        <v>669</v>
      </c>
      <c r="B15" s="156"/>
      <c r="C15" s="157"/>
      <c r="D15" s="158">
        <f>'COST - NEW'!D77</f>
        <v>2050</v>
      </c>
      <c r="F15" s="108">
        <v>0</v>
      </c>
      <c r="G15" s="108">
        <v>0</v>
      </c>
      <c r="I15" s="24">
        <f>D15</f>
        <v>2050</v>
      </c>
      <c r="K15" s="1">
        <f>IF(EXC!$C$27=0,OTHER!I15-OTHER!F15,OTHER!I15-OTHER!G15)</f>
        <v>2050</v>
      </c>
      <c r="M15" s="1">
        <f>CEILING(K15/$M$3,10)</f>
        <v>2930</v>
      </c>
    </row>
    <row r="16" spans="1:13" ht="15" thickBot="1">
      <c r="F16" s="21"/>
      <c r="G16" s="21"/>
      <c r="I16" s="24"/>
    </row>
    <row r="17" spans="1:13" ht="15" thickBot="1">
      <c r="A17" s="155" t="s">
        <v>536</v>
      </c>
      <c r="B17" s="156"/>
      <c r="C17" s="157"/>
      <c r="D17" s="158">
        <f>IF('NEW POOL'!$B$21+'NEW POOL'!$B$22+'NEW POOL'!$B$23&gt;0,0,'COST - NEW'!D104)</f>
        <v>5098</v>
      </c>
      <c r="F17" s="108">
        <v>2950</v>
      </c>
      <c r="G17" s="108">
        <v>3450</v>
      </c>
      <c r="I17" s="24">
        <f>D17</f>
        <v>5098</v>
      </c>
      <c r="K17" s="1">
        <f>IF(EXC!$C$27=0,OTHER!I17-OTHER!F17,OTHER!I17-OTHER!G17)</f>
        <v>1648</v>
      </c>
      <c r="M17" s="1">
        <f>K17/$M$3</f>
        <v>2354.2857142857142</v>
      </c>
    </row>
    <row r="18" spans="1:13" ht="15" thickBot="1">
      <c r="F18" s="21"/>
      <c r="G18" s="21"/>
      <c r="I18" s="24"/>
    </row>
    <row r="19" spans="1:13" ht="15" thickBot="1">
      <c r="A19" s="155" t="s">
        <v>559</v>
      </c>
      <c r="B19" s="156"/>
      <c r="C19" s="157"/>
      <c r="D19" s="158">
        <f>'COST - NEW'!D121</f>
        <v>2840</v>
      </c>
      <c r="F19" s="108">
        <v>2010</v>
      </c>
      <c r="G19" s="108">
        <v>2135</v>
      </c>
      <c r="I19" s="24">
        <f>D19</f>
        <v>2840</v>
      </c>
      <c r="K19" s="1">
        <f>IF(EXC!$C$27=0,OTHER!I19-OTHER!F19,OTHER!I19-OTHER!G19)</f>
        <v>705</v>
      </c>
      <c r="M19" s="1">
        <f>K19/$M$3</f>
        <v>1007.1428571428572</v>
      </c>
    </row>
    <row r="20" spans="1:13" ht="15" thickBot="1">
      <c r="F20" s="21"/>
      <c r="G20" s="21"/>
      <c r="I20" s="24"/>
    </row>
    <row r="21" spans="1:13" ht="15" thickBot="1">
      <c r="A21" s="155" t="s">
        <v>599</v>
      </c>
      <c r="B21" s="156"/>
      <c r="C21" s="157"/>
      <c r="D21" s="158">
        <f>IF('NEW POOL'!$B$21+'NEW POOL'!$B$22+'NEW POOL'!$B$23&gt;0,0,'COST - NEW'!D145)</f>
        <v>5110</v>
      </c>
      <c r="F21" s="108">
        <v>2880</v>
      </c>
      <c r="G21" s="108">
        <v>3400</v>
      </c>
      <c r="I21" s="24">
        <f>D21</f>
        <v>5110</v>
      </c>
      <c r="K21" s="1">
        <f>IF(EXC!$C$27=0,OTHER!I21-OTHER!F21,OTHER!I21-OTHER!G21)</f>
        <v>1710</v>
      </c>
      <c r="M21" s="1">
        <f>K21/$M$3</f>
        <v>2442.8571428571431</v>
      </c>
    </row>
    <row r="22" spans="1:13" ht="15" thickBot="1">
      <c r="F22" s="21"/>
      <c r="G22" s="21"/>
      <c r="I22" s="24"/>
    </row>
    <row r="23" spans="1:13" ht="15" thickBot="1">
      <c r="A23" s="155" t="s">
        <v>600</v>
      </c>
      <c r="B23" s="156"/>
      <c r="C23" s="157"/>
      <c r="D23" s="158">
        <f>IF('NEW POOL'!$B$21+'NEW POOL'!$B$22+'NEW POOL'!$B$23&gt;0,0,'COST - NEW'!D147)</f>
        <v>14920.619999999999</v>
      </c>
      <c r="F23" s="108">
        <v>6992.7</v>
      </c>
      <c r="G23" s="108">
        <v>8113.46</v>
      </c>
      <c r="I23" s="24">
        <f>D23</f>
        <v>14920.619999999999</v>
      </c>
      <c r="K23" s="1">
        <f>IF(EXC!$C$27=0,OTHER!I23-OTHER!F23,OTHER!I23-OTHER!G23)</f>
        <v>6807.1599999999989</v>
      </c>
      <c r="M23" s="1">
        <f>K23/$M$3</f>
        <v>9724.5142857142855</v>
      </c>
    </row>
    <row r="24" spans="1:13" ht="15" thickBot="1">
      <c r="D24" s="1"/>
      <c r="F24" s="21"/>
      <c r="G24" s="21"/>
      <c r="I24" s="24"/>
    </row>
    <row r="25" spans="1:13" ht="15" thickBot="1">
      <c r="A25" s="155" t="s">
        <v>596</v>
      </c>
      <c r="B25" s="156"/>
      <c r="C25" s="157"/>
      <c r="D25" s="158">
        <f>IF('NEW POOL'!$B$21+'NEW POOL'!$B$22+'NEW POOL'!$B$23&gt;0,0,'COST - NEW'!D173)</f>
        <v>1280</v>
      </c>
      <c r="F25" s="108">
        <v>830</v>
      </c>
      <c r="G25" s="108">
        <v>1180</v>
      </c>
      <c r="I25" s="24">
        <f>D25</f>
        <v>1280</v>
      </c>
      <c r="K25" s="1">
        <f>IF(EXC!$C$27=0,OTHER!I25-OTHER!F25,OTHER!I25-OTHER!G25)</f>
        <v>100</v>
      </c>
      <c r="M25" s="1">
        <f>K25/$M$3</f>
        <v>142.85714285714286</v>
      </c>
    </row>
    <row r="26" spans="1:13" ht="15" thickBot="1">
      <c r="F26" s="21"/>
      <c r="G26" s="21"/>
      <c r="I26" s="24"/>
    </row>
    <row r="27" spans="1:13" ht="15" thickBot="1">
      <c r="A27" s="155" t="s">
        <v>597</v>
      </c>
      <c r="B27" s="156"/>
      <c r="C27" s="157"/>
      <c r="D27" s="158">
        <f>IF('NEW POOL'!$B$21+'NEW POOL'!$B$22+'NEW POOL'!$B$23&gt;0,0,'COST - NEW'!D175)</f>
        <v>963.19999999999993</v>
      </c>
      <c r="F27" s="108">
        <v>540</v>
      </c>
      <c r="G27" s="108">
        <v>752.8</v>
      </c>
      <c r="I27" s="24">
        <f>D27</f>
        <v>963.19999999999993</v>
      </c>
      <c r="K27" s="1">
        <f>IF(EXC!$C$27=0,OTHER!I27-OTHER!F27,OTHER!I27-OTHER!G27)</f>
        <v>210.39999999999998</v>
      </c>
      <c r="M27" s="1">
        <f>K27/$M$3</f>
        <v>300.57142857142856</v>
      </c>
    </row>
    <row r="28" spans="1:13" ht="15" thickBot="1">
      <c r="F28" s="21"/>
      <c r="G28" s="21"/>
      <c r="I28" s="24"/>
    </row>
    <row r="29" spans="1:13" ht="15" thickBot="1">
      <c r="A29" s="155" t="s">
        <v>605</v>
      </c>
      <c r="B29" s="156"/>
      <c r="C29" s="157"/>
      <c r="D29" s="158">
        <f>'COST - NEW'!D204</f>
        <v>2652</v>
      </c>
      <c r="F29" s="108">
        <v>0</v>
      </c>
      <c r="G29" s="108">
        <v>0</v>
      </c>
      <c r="I29" s="24">
        <f>D29</f>
        <v>2652</v>
      </c>
      <c r="K29" s="1">
        <f>IF(EXC!$C$27=0,OTHER!I29-OTHER!F29,OTHER!I29-OTHER!G29)</f>
        <v>2652</v>
      </c>
      <c r="L29" s="10">
        <v>0.745</v>
      </c>
      <c r="M29" s="1">
        <f>CEILING(K29/L29,10)</f>
        <v>3560</v>
      </c>
    </row>
    <row r="30" spans="1:13" ht="15" thickBot="1">
      <c r="F30" s="21"/>
      <c r="G30" s="21"/>
      <c r="I30" s="24"/>
    </row>
    <row r="31" spans="1:13" ht="15" thickBot="1">
      <c r="A31" s="155" t="s">
        <v>606</v>
      </c>
      <c r="B31" s="156"/>
      <c r="C31" s="157"/>
      <c r="D31" s="158">
        <f>'COST - NEW'!D206</f>
        <v>5245.5974999999999</v>
      </c>
      <c r="F31" s="108">
        <v>0</v>
      </c>
      <c r="G31" s="108">
        <v>0</v>
      </c>
      <c r="I31" s="24">
        <f>D31</f>
        <v>5245.5974999999999</v>
      </c>
      <c r="K31" s="1">
        <f>IF(EXC!$C$27=0,OTHER!I31-OTHER!F31,OTHER!I31-OTHER!G31)</f>
        <v>5245.5974999999999</v>
      </c>
      <c r="L31" s="10">
        <v>0.745</v>
      </c>
      <c r="M31" s="1">
        <f>CEILING(K31/L31,10)</f>
        <v>7050</v>
      </c>
    </row>
    <row r="32" spans="1:13" ht="15" thickBot="1">
      <c r="F32" s="21"/>
      <c r="G32" s="21"/>
      <c r="I32" s="24"/>
    </row>
    <row r="33" spans="1:13" ht="15" thickBot="1">
      <c r="A33" s="155" t="s">
        <v>617</v>
      </c>
      <c r="B33" s="156"/>
      <c r="C33" s="157"/>
      <c r="D33" s="158">
        <f>'COST - NEW'!D225</f>
        <v>2474</v>
      </c>
      <c r="F33" s="108">
        <v>0</v>
      </c>
      <c r="G33" s="108">
        <v>0</v>
      </c>
      <c r="I33" s="24">
        <f>D33</f>
        <v>2474</v>
      </c>
      <c r="K33" s="1">
        <f>IF(EXC!$C$27=0,OTHER!I33-OTHER!F33,OTHER!I33-OTHER!G33)</f>
        <v>2474</v>
      </c>
      <c r="M33" s="1">
        <f>CEILING(K33/$M$3,40)</f>
        <v>3560</v>
      </c>
    </row>
    <row r="34" spans="1:13" ht="15" thickBot="1">
      <c r="F34" s="21"/>
      <c r="G34" s="21"/>
      <c r="I34" s="24"/>
    </row>
    <row r="35" spans="1:13" ht="15" thickBot="1">
      <c r="A35" s="155" t="s">
        <v>618</v>
      </c>
      <c r="B35" s="156"/>
      <c r="C35" s="157"/>
      <c r="D35" s="158">
        <f>'COST - NEW'!D227</f>
        <v>2854.5659999999998</v>
      </c>
      <c r="F35" s="108">
        <v>0</v>
      </c>
      <c r="G35" s="108">
        <v>0</v>
      </c>
      <c r="I35" s="24">
        <f>D35</f>
        <v>2854.5659999999998</v>
      </c>
      <c r="K35" s="1">
        <f>IF(EXC!$C$27=0,OTHER!I35-OTHER!F35,OTHER!I35-OTHER!G35)</f>
        <v>2854.5659999999998</v>
      </c>
      <c r="M35" s="1">
        <f>CEILING(K35/$M$3,40)</f>
        <v>4080</v>
      </c>
    </row>
    <row r="36" spans="1:13" ht="15" thickBot="1">
      <c r="F36" s="21"/>
      <c r="G36" s="21"/>
      <c r="I36" s="24"/>
    </row>
    <row r="37" spans="1:13" ht="15" thickBot="1">
      <c r="A37" s="155" t="s">
        <v>634</v>
      </c>
      <c r="B37" s="156"/>
      <c r="C37" s="157"/>
      <c r="D37" s="158">
        <f>'COST - NEW'!D261</f>
        <v>15065.890125000002</v>
      </c>
      <c r="F37" s="108">
        <v>3504.25</v>
      </c>
      <c r="G37" s="108">
        <v>3504.25</v>
      </c>
      <c r="I37" s="24">
        <f>D37</f>
        <v>15065.890125000002</v>
      </c>
      <c r="K37" s="1">
        <f>IF(EXC!$C$27=0,OTHER!I37-OTHER!F37,OTHER!I37-OTHER!G37)</f>
        <v>11561.640125000002</v>
      </c>
      <c r="M37" s="1">
        <f>K37/$M$3</f>
        <v>16516.628750000003</v>
      </c>
    </row>
    <row r="38" spans="1:13" ht="15" thickBot="1">
      <c r="F38" s="21"/>
      <c r="G38" s="21"/>
      <c r="I38" s="24"/>
    </row>
    <row r="39" spans="1:13" ht="15" thickBot="1">
      <c r="A39" s="155" t="s">
        <v>523</v>
      </c>
      <c r="B39" s="156"/>
      <c r="C39" s="157"/>
      <c r="D39" s="158">
        <f>'COST - NEW'!D272</f>
        <v>1075</v>
      </c>
      <c r="F39" s="108">
        <v>550</v>
      </c>
      <c r="G39" s="108">
        <v>550</v>
      </c>
      <c r="I39" s="24">
        <f>D39</f>
        <v>1075</v>
      </c>
      <c r="K39" s="1">
        <f>IF(EXC!$C$27=0,OTHER!I39-OTHER!F39,OTHER!I39-OTHER!G39)</f>
        <v>525</v>
      </c>
      <c r="M39" s="1">
        <f>K39/$M$3</f>
        <v>750</v>
      </c>
    </row>
    <row r="40" spans="1:13" ht="15" thickBot="1">
      <c r="F40" s="21"/>
      <c r="G40" s="21"/>
      <c r="I40" s="24"/>
    </row>
    <row r="41" spans="1:13" ht="15" thickBot="1">
      <c r="A41" s="155" t="s">
        <v>577</v>
      </c>
      <c r="B41" s="156"/>
      <c r="C41" s="157"/>
      <c r="D41" s="158">
        <f>'COST - NEW'!D282</f>
        <v>1832.5</v>
      </c>
      <c r="F41" s="108">
        <v>700</v>
      </c>
      <c r="G41" s="108">
        <v>800</v>
      </c>
      <c r="I41" s="24">
        <f>D41</f>
        <v>1832.5</v>
      </c>
      <c r="K41" s="1">
        <f>IF(EXC!$C$27=0,OTHER!I41-OTHER!F41,OTHER!I41-OTHER!G41)</f>
        <v>1032.5</v>
      </c>
      <c r="M41" s="1">
        <f>K41/$M$3</f>
        <v>1475</v>
      </c>
    </row>
    <row r="42" spans="1:13" ht="15" thickBot="1">
      <c r="F42" s="21"/>
      <c r="G42" s="21"/>
      <c r="I42" s="24"/>
    </row>
    <row r="43" spans="1:13" ht="15" thickBot="1">
      <c r="A43" s="155" t="s">
        <v>620</v>
      </c>
      <c r="B43" s="156"/>
      <c r="C43" s="157"/>
      <c r="D43" s="158">
        <f>IF('NEW POOL'!$B$21+'NEW POOL'!$B$22+'NEW POOL'!$B$23&gt;0,0,'COST - NEW'!D295)</f>
        <v>12027.619999999999</v>
      </c>
      <c r="F43" s="108">
        <v>4278</v>
      </c>
      <c r="G43" s="108">
        <v>5340.96</v>
      </c>
      <c r="I43" s="24">
        <f>D43</f>
        <v>12027.619999999999</v>
      </c>
      <c r="K43" s="1">
        <f>IF(EXC!$C$27=0,OTHER!I43-OTHER!F43,OTHER!I43-OTHER!G43)</f>
        <v>6686.6599999999989</v>
      </c>
      <c r="M43" s="1">
        <f>IF(D43=0,0,CEILING(K43/$M$3,320))</f>
        <v>9600</v>
      </c>
    </row>
    <row r="44" spans="1:13" ht="15" thickBot="1">
      <c r="F44" s="21"/>
      <c r="G44" s="21"/>
      <c r="I44" s="24"/>
    </row>
    <row r="45" spans="1:13" ht="15" thickBot="1">
      <c r="A45" s="155" t="s">
        <v>759</v>
      </c>
      <c r="B45" s="156"/>
      <c r="C45" s="157"/>
      <c r="D45" s="158">
        <f>'COST - NEW'!D315</f>
        <v>0</v>
      </c>
      <c r="F45" s="21"/>
      <c r="G45" s="21"/>
      <c r="I45" s="24"/>
    </row>
    <row r="46" spans="1:13" ht="15" thickBot="1">
      <c r="A46" s="116"/>
      <c r="B46" s="116"/>
      <c r="C46" s="152"/>
      <c r="D46" s="154"/>
      <c r="F46" s="21"/>
      <c r="G46" s="21"/>
      <c r="I46" s="24"/>
    </row>
    <row r="47" spans="1:13" ht="15" thickBot="1">
      <c r="A47" s="155" t="s">
        <v>761</v>
      </c>
      <c r="B47" s="156"/>
      <c r="C47" s="157"/>
      <c r="D47" s="158">
        <f>SUM(FIBER!G66:G78)</f>
        <v>150</v>
      </c>
      <c r="F47" s="21"/>
      <c r="G47" s="21"/>
      <c r="I47" s="24"/>
    </row>
    <row r="48" spans="1:13" ht="15" thickBot="1">
      <c r="F48" s="21"/>
      <c r="G48" s="21"/>
      <c r="I48" s="24"/>
    </row>
    <row r="49" spans="1:13" ht="15" thickBot="1">
      <c r="A49" s="155" t="s">
        <v>635</v>
      </c>
      <c r="B49" s="156"/>
      <c r="C49" s="157"/>
      <c r="D49" s="158">
        <f>'COST - NEW'!D330</f>
        <v>1000</v>
      </c>
      <c r="F49" s="108">
        <v>500</v>
      </c>
      <c r="G49" s="108">
        <v>500</v>
      </c>
      <c r="I49" s="24">
        <f>D49</f>
        <v>1000</v>
      </c>
      <c r="K49" s="1">
        <f>IF(EXC!$C$27=0,OTHER!I49-OTHER!F49,OTHER!I49-OTHER!G49)</f>
        <v>500</v>
      </c>
      <c r="M49" s="1">
        <f>K49/$M$3</f>
        <v>714.28571428571433</v>
      </c>
    </row>
    <row r="50" spans="1:13" ht="15" thickBot="1"/>
    <row r="51" spans="1:13" ht="15" thickBot="1">
      <c r="A51" s="155" t="str">
        <f>'SUMMARY - NEW'!A55</f>
        <v>travertine cap for raised wall</v>
      </c>
      <c r="B51" s="156"/>
      <c r="C51" s="157"/>
      <c r="D51" s="158">
        <f>'SUMMARY - NEW'!D55</f>
        <v>1150</v>
      </c>
    </row>
    <row r="52" spans="1:13" ht="15" thickBot="1"/>
    <row r="53" spans="1:13" ht="15" thickBot="1">
      <c r="A53" s="155" t="str">
        <f>'SUMMARY - NEW'!A57</f>
        <v>No Custom Feature</v>
      </c>
      <c r="B53" s="156"/>
      <c r="C53" s="157"/>
      <c r="D53" s="158">
        <f>'SUMMARY - NEW'!D57</f>
        <v>0</v>
      </c>
    </row>
    <row r="54" spans="1:13" ht="15" thickBot="1"/>
    <row r="55" spans="1:13" ht="15" thickBot="1">
      <c r="A55" s="155" t="str">
        <f>'SUMMARY - NEW'!A59</f>
        <v>No Custom Feature</v>
      </c>
      <c r="B55" s="156"/>
      <c r="C55" s="157"/>
      <c r="D55" s="158">
        <f>'SUMMARY - NEW'!D59</f>
        <v>0</v>
      </c>
    </row>
    <row r="56" spans="1:13" ht="15" thickBot="1"/>
    <row r="57" spans="1:13" ht="15" thickBot="1">
      <c r="A57" s="155" t="str">
        <f>'SUMMARY - NEW'!A61</f>
        <v>No Custom Feature</v>
      </c>
      <c r="B57" s="156"/>
      <c r="C57" s="157"/>
      <c r="D57" s="158">
        <f>'SUMMARY - NEW'!D61</f>
        <v>0</v>
      </c>
    </row>
    <row r="58" spans="1:13" ht="15" thickBot="1"/>
    <row r="59" spans="1:13" ht="15" thickBot="1">
      <c r="A59" s="159" t="s">
        <v>2</v>
      </c>
      <c r="B59" s="160"/>
      <c r="C59" s="161"/>
      <c r="D59" s="162">
        <f>SUM(D5:D58)</f>
        <v>100321.193625</v>
      </c>
      <c r="E59" s="9"/>
      <c r="F59" s="24">
        <f>SUM(F5:F50)</f>
        <v>32483.45</v>
      </c>
      <c r="G59" s="24">
        <f>SUM(G5:G50)</f>
        <v>38239.47</v>
      </c>
      <c r="I59" s="24">
        <f>SUM(I5:I50)</f>
        <v>99021.193625</v>
      </c>
      <c r="K59" s="1">
        <f>I59-F59</f>
        <v>66537.743625000003</v>
      </c>
      <c r="M59" s="1">
        <f>K59/$M$3</f>
        <v>95053.919464285718</v>
      </c>
    </row>
    <row r="60" spans="1:13">
      <c r="G60" s="24">
        <f>G59-F59</f>
        <v>5756.02</v>
      </c>
      <c r="H60" s="185">
        <v>0.71</v>
      </c>
    </row>
    <row r="61" spans="1:13">
      <c r="D61" s="1"/>
      <c r="F61" s="8"/>
      <c r="G61" s="24">
        <f>G60/H60</f>
        <v>8107.0704225352119</v>
      </c>
    </row>
    <row r="63" spans="1:13">
      <c r="F63" s="8" t="s">
        <v>682</v>
      </c>
      <c r="G63" s="151">
        <v>14950</v>
      </c>
    </row>
    <row r="66" spans="1:9">
      <c r="A66" t="s">
        <v>684</v>
      </c>
      <c r="F66" s="4" t="s">
        <v>707</v>
      </c>
      <c r="G66" s="4" t="s">
        <v>16</v>
      </c>
    </row>
    <row r="67" spans="1:9">
      <c r="A67" t="s">
        <v>462</v>
      </c>
      <c r="B67" s="187">
        <v>125</v>
      </c>
      <c r="C67" s="4">
        <f>IF('NEW POOL'!B7&gt;80,'NEW POOL'!B7-80,0)</f>
        <v>20</v>
      </c>
      <c r="D67" s="1">
        <f>B67*C67</f>
        <v>2500</v>
      </c>
      <c r="F67" s="4">
        <v>6</v>
      </c>
      <c r="G67" s="108">
        <v>1050</v>
      </c>
      <c r="H67" s="4">
        <f>IF('NEW POOL'!$B$10=6,1,0)</f>
        <v>1</v>
      </c>
      <c r="I67" s="24">
        <f>G67*H67</f>
        <v>1050</v>
      </c>
    </row>
    <row r="68" spans="1:9">
      <c r="A68" t="s">
        <v>463</v>
      </c>
      <c r="B68" s="187">
        <v>12</v>
      </c>
      <c r="C68" s="5">
        <f>IF('NEW POOL'!B8&gt;400,'NEW POOL'!B8-400,0)</f>
        <v>160</v>
      </c>
      <c r="D68" s="1">
        <f>B68*C68</f>
        <v>1920</v>
      </c>
      <c r="F68" s="4">
        <v>7</v>
      </c>
      <c r="G68" s="108">
        <v>1390</v>
      </c>
      <c r="H68" s="4">
        <f>IF('NEW POOL'!$B$10=7,1,0)</f>
        <v>0</v>
      </c>
      <c r="I68" s="24">
        <f>G68*H68</f>
        <v>0</v>
      </c>
    </row>
    <row r="69" spans="1:9">
      <c r="A69" t="s">
        <v>685</v>
      </c>
      <c r="C69" s="5">
        <f>SUM(H67:H70)</f>
        <v>1</v>
      </c>
      <c r="D69" s="1">
        <f>I72</f>
        <v>1050</v>
      </c>
      <c r="F69" s="4">
        <v>8</v>
      </c>
      <c r="G69" s="108">
        <v>2750</v>
      </c>
      <c r="H69" s="4">
        <f>IF('NEW POOL'!$B$10=8,1,0)</f>
        <v>0</v>
      </c>
      <c r="I69" s="24">
        <f>G69*H69</f>
        <v>0</v>
      </c>
    </row>
    <row r="70" spans="1:9">
      <c r="F70" s="4">
        <v>9</v>
      </c>
      <c r="G70" s="108">
        <v>3880</v>
      </c>
      <c r="H70" s="4">
        <f>IF('NEW POOL'!$B$10=9,1,0)</f>
        <v>0</v>
      </c>
      <c r="I70" s="188">
        <f>G70*H70</f>
        <v>0</v>
      </c>
    </row>
    <row r="72" spans="1:9">
      <c r="I72" s="24">
        <f>SUM(I67:I70)</f>
        <v>1050</v>
      </c>
    </row>
  </sheetData>
  <mergeCells count="2">
    <mergeCell ref="A1:D1"/>
    <mergeCell ref="B3:D3"/>
  </mergeCells>
  <printOptions horizontalCentered="1"/>
  <pageMargins left="0.7" right="0.7" top="0.75" bottom="0.75" header="0.3" footer="0.3"/>
  <pageSetup scale="7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924EC-6833-468C-8E47-CA70ECC0913A}">
  <sheetPr codeName="Sheet18"/>
  <dimension ref="A2:I18"/>
  <sheetViews>
    <sheetView zoomScale="120" zoomScaleNormal="120" workbookViewId="0">
      <selection activeCell="G18" sqref="G18"/>
    </sheetView>
  </sheetViews>
  <sheetFormatPr defaultRowHeight="14.4"/>
  <cols>
    <col min="5" max="5" width="9.109375" customWidth="1"/>
    <col min="6" max="6" width="11.5546875" customWidth="1"/>
    <col min="7" max="7" width="27.44140625" customWidth="1"/>
  </cols>
  <sheetData>
    <row r="2" spans="1:9" ht="15" thickBot="1"/>
    <row r="3" spans="1:9" ht="15" thickBot="1">
      <c r="F3" s="8" t="s">
        <v>854</v>
      </c>
      <c r="G3" s="403" t="str">
        <f>'NEW POOL'!B3</f>
        <v>Daisy Burger no sale</v>
      </c>
    </row>
    <row r="4" spans="1:9" ht="15" thickBot="1">
      <c r="F4" s="8"/>
    </row>
    <row r="5" spans="1:9" ht="15" thickBot="1">
      <c r="F5" s="8" t="s">
        <v>670</v>
      </c>
      <c r="G5" s="403">
        <f>'NEW POOL'!B4</f>
        <v>0</v>
      </c>
    </row>
    <row r="8" spans="1:9" ht="15" thickBot="1"/>
    <row r="9" spans="1:9" ht="26.4" thickBot="1">
      <c r="A9" s="623" t="s">
        <v>855</v>
      </c>
      <c r="B9" s="624"/>
      <c r="C9" s="624"/>
      <c r="D9" s="624"/>
      <c r="E9" s="624"/>
      <c r="F9" s="624"/>
      <c r="G9" s="625"/>
      <c r="H9" s="394"/>
      <c r="I9" s="394"/>
    </row>
    <row r="11" spans="1:9" ht="15" thickBot="1"/>
    <row r="12" spans="1:9" ht="24" thickBot="1">
      <c r="A12" s="393" t="s">
        <v>857</v>
      </c>
      <c r="G12" s="395">
        <f>'COST - NEW'!D21</f>
        <v>75</v>
      </c>
    </row>
    <row r="14" spans="1:9" ht="15" thickBot="1"/>
    <row r="15" spans="1:9" ht="24" thickBot="1">
      <c r="A15" s="393" t="s">
        <v>865</v>
      </c>
      <c r="G15" s="395">
        <v>65</v>
      </c>
    </row>
    <row r="17" spans="1:7" ht="15" thickBot="1"/>
    <row r="18" spans="1:7" ht="24" thickBot="1">
      <c r="A18" s="393" t="s">
        <v>858</v>
      </c>
      <c r="G18" s="395">
        <f>CEILING('COST - NEW'!D293,1)</f>
        <v>2507</v>
      </c>
    </row>
  </sheetData>
  <mergeCells count="1">
    <mergeCell ref="A9:G9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735E9-53DD-40F9-951F-02A4F5E72254}">
  <sheetPr codeName="Sheet10"/>
  <dimension ref="A1:J10"/>
  <sheetViews>
    <sheetView workbookViewId="0">
      <selection activeCell="B6" sqref="B6"/>
    </sheetView>
  </sheetViews>
  <sheetFormatPr defaultRowHeight="14.4"/>
  <cols>
    <col min="1" max="1" width="22.55468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">
      <c r="A1" s="626" t="s">
        <v>493</v>
      </c>
      <c r="B1" s="626"/>
      <c r="C1" s="626"/>
      <c r="D1" s="626"/>
    </row>
    <row r="2" spans="1:10">
      <c r="J2" s="4"/>
    </row>
    <row r="3" spans="1:10">
      <c r="A3" s="627" t="s">
        <v>622</v>
      </c>
      <c r="B3" s="628"/>
      <c r="C3" s="628"/>
      <c r="D3" s="629"/>
      <c r="J3" s="4"/>
    </row>
    <row r="4" spans="1:10">
      <c r="A4" s="110" t="s">
        <v>623</v>
      </c>
      <c r="B4" s="142">
        <v>410</v>
      </c>
      <c r="C4" s="35">
        <v>1</v>
      </c>
      <c r="D4" s="30">
        <f>B4*C4</f>
        <v>410</v>
      </c>
    </row>
    <row r="5" spans="1:10">
      <c r="A5" s="110" t="s">
        <v>476</v>
      </c>
      <c r="B5" s="67">
        <v>80</v>
      </c>
      <c r="C5" s="35">
        <f>EXC!C27</f>
        <v>1</v>
      </c>
      <c r="D5" s="30">
        <f>B5*C5</f>
        <v>80</v>
      </c>
    </row>
    <row r="6" spans="1:10">
      <c r="A6" s="110" t="s">
        <v>624</v>
      </c>
      <c r="B6" s="67">
        <v>15</v>
      </c>
      <c r="C6" s="35">
        <f>IF('NEW POOL'!B167&gt;0,1,0)</f>
        <v>1</v>
      </c>
      <c r="D6" s="137">
        <f>B6*C6</f>
        <v>15</v>
      </c>
    </row>
    <row r="7" spans="1:10">
      <c r="A7" s="110" t="s">
        <v>625</v>
      </c>
      <c r="B7" s="67">
        <v>10</v>
      </c>
      <c r="C7" s="119">
        <f>'NEW POOL'!B138+'NEW POOL'!B139+'NEW POOL'!B141+'NEW POOL'!B143</f>
        <v>0</v>
      </c>
      <c r="D7" s="30">
        <f>B7*C7</f>
        <v>0</v>
      </c>
    </row>
    <row r="8" spans="1:10">
      <c r="A8" s="110" t="s">
        <v>626</v>
      </c>
      <c r="B8" s="67">
        <v>750</v>
      </c>
      <c r="C8" s="119">
        <f>'NEW POOL'!B53</f>
        <v>0</v>
      </c>
      <c r="D8" s="30">
        <f>B8*C8</f>
        <v>0</v>
      </c>
    </row>
    <row r="9" spans="1:10" s="4" customFormat="1" ht="15" thickBot="1">
      <c r="A9"/>
      <c r="B9"/>
      <c r="D9"/>
      <c r="I9"/>
      <c r="J9"/>
    </row>
    <row r="10" spans="1:10" s="4" customFormat="1" ht="15" thickBot="1">
      <c r="A10" s="106" t="s">
        <v>627</v>
      </c>
      <c r="B10" s="3"/>
      <c r="D10" s="107">
        <f>SUM(D4:D9)</f>
        <v>505</v>
      </c>
      <c r="I10"/>
      <c r="J10"/>
    </row>
  </sheetData>
  <mergeCells count="2">
    <mergeCell ref="A1:D1"/>
    <mergeCell ref="A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CE32-4620-44EC-B262-57BC37682F47}">
  <sheetPr codeName="Sheet5"/>
  <dimension ref="A1:L38"/>
  <sheetViews>
    <sheetView topLeftCell="A15" zoomScale="145" zoomScaleNormal="145" workbookViewId="0">
      <selection activeCell="B28" sqref="B28"/>
    </sheetView>
  </sheetViews>
  <sheetFormatPr defaultRowHeight="14.4"/>
  <cols>
    <col min="1" max="1" width="16.109375" customWidth="1"/>
    <col min="2" max="2" width="11.44140625" customWidth="1"/>
    <col min="3" max="3" width="8.5546875" style="4"/>
    <col min="4" max="4" width="11.44140625" customWidth="1"/>
    <col min="6" max="6" width="10.109375" customWidth="1"/>
    <col min="7" max="7" width="11" style="4" customWidth="1"/>
    <col min="8" max="8" width="12.5546875" style="4" customWidth="1"/>
    <col min="12" max="12" width="10.5546875" bestFit="1" customWidth="1"/>
  </cols>
  <sheetData>
    <row r="1" spans="1:10" ht="18.600000000000001" thickBot="1">
      <c r="A1" s="631" t="s">
        <v>936</v>
      </c>
      <c r="B1" s="632"/>
      <c r="C1" s="632"/>
      <c r="D1" s="633"/>
    </row>
    <row r="2" spans="1:10" ht="15" thickBot="1">
      <c r="J2" s="4" t="s">
        <v>492</v>
      </c>
    </row>
    <row r="3" spans="1:10">
      <c r="A3" s="630" t="s">
        <v>3</v>
      </c>
      <c r="B3" s="607"/>
      <c r="C3" s="607"/>
      <c r="D3" s="608"/>
      <c r="F3" s="121"/>
      <c r="G3" s="122"/>
      <c r="H3" s="123" t="s">
        <v>445</v>
      </c>
      <c r="J3" s="4">
        <f>IF(G5&gt;1000,G5-1000,0)</f>
        <v>0</v>
      </c>
    </row>
    <row r="4" spans="1:10">
      <c r="A4" s="110" t="s">
        <v>448</v>
      </c>
      <c r="B4" s="101">
        <v>2700</v>
      </c>
      <c r="C4" s="35">
        <f>IF(G5&lt;401,1,0)</f>
        <v>0</v>
      </c>
      <c r="D4" s="111">
        <f>B4*C4</f>
        <v>0</v>
      </c>
      <c r="F4" s="124" t="s">
        <v>12</v>
      </c>
      <c r="G4" s="135">
        <f>'NEW POOL'!B7</f>
        <v>100</v>
      </c>
      <c r="H4" s="125">
        <f>G4*1.12</f>
        <v>112.00000000000001</v>
      </c>
    </row>
    <row r="5" spans="1:10">
      <c r="A5" s="110" t="s">
        <v>449</v>
      </c>
      <c r="B5" s="112">
        <f>B4</f>
        <v>2700</v>
      </c>
      <c r="C5" s="35">
        <f>IF(C4&gt;0,0,IF($G$5&gt;400,IF($G$5&lt;451,1,0)))</f>
        <v>0</v>
      </c>
      <c r="D5" s="111">
        <f t="shared" ref="D5:D17" si="0">B5*C5</f>
        <v>0</v>
      </c>
      <c r="F5" s="124" t="s">
        <v>13</v>
      </c>
      <c r="G5" s="135">
        <f>'NEW POOL'!B8</f>
        <v>560</v>
      </c>
      <c r="H5" s="125">
        <f>G5*1.15</f>
        <v>644</v>
      </c>
    </row>
    <row r="6" spans="1:10">
      <c r="A6" s="110" t="s">
        <v>450</v>
      </c>
      <c r="B6" s="101">
        <v>2700</v>
      </c>
      <c r="C6" s="35">
        <f>IF(C4+C5&gt;0,0,IF($G$5&gt;450,IF($G$5&lt;501,1,0)))</f>
        <v>0</v>
      </c>
      <c r="D6" s="111">
        <f t="shared" si="0"/>
        <v>0</v>
      </c>
      <c r="F6" s="124" t="s">
        <v>443</v>
      </c>
      <c r="G6" s="135">
        <f>'NEW POOL'!B9</f>
        <v>3.5</v>
      </c>
      <c r="H6" s="125">
        <f>G6+1.25</f>
        <v>4.75</v>
      </c>
    </row>
    <row r="7" spans="1:10">
      <c r="A7" s="110" t="s">
        <v>451</v>
      </c>
      <c r="B7" s="112">
        <f>B6</f>
        <v>2700</v>
      </c>
      <c r="C7" s="35">
        <f>IF(C4+C5+C6&gt;0,0,IF($G$5&gt;500,IF($G$5&lt;551,1,0)))</f>
        <v>0</v>
      </c>
      <c r="D7" s="111">
        <f t="shared" si="0"/>
        <v>0</v>
      </c>
      <c r="F7" s="124" t="s">
        <v>444</v>
      </c>
      <c r="G7" s="135">
        <f>'NEW POOL'!B10</f>
        <v>6</v>
      </c>
      <c r="H7" s="125">
        <f>G7+1.25</f>
        <v>7.25</v>
      </c>
    </row>
    <row r="8" spans="1:10">
      <c r="A8" s="110" t="s">
        <v>452</v>
      </c>
      <c r="B8" s="112">
        <f>B7</f>
        <v>2700</v>
      </c>
      <c r="C8" s="35">
        <f>IF(C4+C5+C6+C7&gt;0,0,IF($G$5&gt;550,IF($G$5&lt;601,1,0)))</f>
        <v>1</v>
      </c>
      <c r="D8" s="111">
        <f t="shared" si="0"/>
        <v>2700</v>
      </c>
      <c r="F8" s="124" t="s">
        <v>446</v>
      </c>
      <c r="G8" s="135">
        <f>(G6+G7)/2</f>
        <v>4.75</v>
      </c>
      <c r="H8" s="125">
        <f>(H6+H7)/2</f>
        <v>6</v>
      </c>
    </row>
    <row r="9" spans="1:10">
      <c r="A9" s="110" t="s">
        <v>453</v>
      </c>
      <c r="B9" s="101">
        <v>2700</v>
      </c>
      <c r="C9" s="35">
        <f>IF(C4+C5+C6+C7+C8&gt;0,0,IF($G$5&gt;600,IF($G$5&lt;651,1,0)))</f>
        <v>0</v>
      </c>
      <c r="D9" s="111">
        <f t="shared" si="0"/>
        <v>0</v>
      </c>
      <c r="F9" s="124" t="s">
        <v>4</v>
      </c>
      <c r="G9" s="135">
        <f>IF(C27&gt;0,50,0)</f>
        <v>50</v>
      </c>
      <c r="H9" s="125">
        <f>IF(G9&gt;0,75,0)</f>
        <v>75</v>
      </c>
    </row>
    <row r="10" spans="1:10">
      <c r="A10" s="110" t="s">
        <v>454</v>
      </c>
      <c r="B10" s="112">
        <f>B9</f>
        <v>2700</v>
      </c>
      <c r="C10" s="35">
        <f>IF(C4+C5+C6+C7+C8+C9&gt;0,0,IF($G$5&gt;650,IF($G$5&lt;701,1,0)))</f>
        <v>0</v>
      </c>
      <c r="D10" s="111">
        <f t="shared" si="0"/>
        <v>0</v>
      </c>
      <c r="F10" s="124"/>
      <c r="G10" s="35"/>
      <c r="H10" s="125"/>
    </row>
    <row r="11" spans="1:10" ht="15" thickBot="1">
      <c r="A11" s="110" t="s">
        <v>455</v>
      </c>
      <c r="B11" s="112">
        <f>B10</f>
        <v>2700</v>
      </c>
      <c r="C11" s="35">
        <f>IF(C4+C5+C6+C7+C8+C9+C10&gt;0,0,IF($G$5&gt;700,IF($G$5&lt;751,1,0)))</f>
        <v>0</v>
      </c>
      <c r="D11" s="111">
        <f t="shared" si="0"/>
        <v>0</v>
      </c>
      <c r="F11" s="126" t="s">
        <v>447</v>
      </c>
      <c r="G11" s="127"/>
      <c r="H11" s="128">
        <f>((H5*H8)/24)+((H9*2.5)/24)</f>
        <v>168.8125</v>
      </c>
    </row>
    <row r="12" spans="1:10">
      <c r="A12" s="110" t="s">
        <v>456</v>
      </c>
      <c r="B12" s="101">
        <v>2750</v>
      </c>
      <c r="C12" s="35">
        <f>IF(C4+C5+C6+C7+C8+C9+C10+C11&gt;0,0,IF($G$5&gt;750,IF($G$5&lt;801,1,0)))</f>
        <v>0</v>
      </c>
      <c r="D12" s="111">
        <f t="shared" si="0"/>
        <v>0</v>
      </c>
    </row>
    <row r="13" spans="1:10">
      <c r="A13" s="110" t="s">
        <v>457</v>
      </c>
      <c r="B13" s="101">
        <v>3000</v>
      </c>
      <c r="C13" s="35">
        <f>IF(C4+C5+C6+C7+C8+C9+C10+C11+C12&gt;0,0,IF($G$5&gt;800,IF($G$5&lt;851,1,0)))</f>
        <v>0</v>
      </c>
      <c r="D13" s="111">
        <f t="shared" si="0"/>
        <v>0</v>
      </c>
    </row>
    <row r="14" spans="1:10">
      <c r="A14" s="110" t="s">
        <v>458</v>
      </c>
      <c r="B14" s="101">
        <v>3100</v>
      </c>
      <c r="C14" s="35">
        <f>IF(C4+C5+C6+C7+C8+C9+C10+C11+C12+C13&gt;0,0,IF($G$5&gt;850,IF($G$5&lt;901,1,0)))</f>
        <v>0</v>
      </c>
      <c r="D14" s="111">
        <f t="shared" si="0"/>
        <v>0</v>
      </c>
    </row>
    <row r="15" spans="1:10">
      <c r="A15" s="110" t="s">
        <v>459</v>
      </c>
      <c r="B15" s="101">
        <v>3150</v>
      </c>
      <c r="C15" s="35">
        <f>IF(C4+C5+C6+C7+C8+C9+C10+C11+C12+C13+C14&gt;0,0,IF($G$5&gt;900,IF($G$5&lt;951,1,0)))</f>
        <v>0</v>
      </c>
      <c r="D15" s="111">
        <f t="shared" si="0"/>
        <v>0</v>
      </c>
    </row>
    <row r="16" spans="1:10">
      <c r="A16" s="110" t="s">
        <v>460</v>
      </c>
      <c r="B16" s="232">
        <f>B15</f>
        <v>3150</v>
      </c>
      <c r="C16" s="35">
        <f>IF(C4+C5+C6+C7+C8+C9+C10+C11+C12+C13+C14+C15&gt;0,0,IF($G$5&gt;950,IF($G$5&lt;1001,1,0)))+IF('NEW POOL'!B8&gt;1000,1,0)</f>
        <v>0</v>
      </c>
      <c r="D16" s="111">
        <f t="shared" si="0"/>
        <v>0</v>
      </c>
    </row>
    <row r="17" spans="1:12" ht="15" thickBot="1">
      <c r="A17" s="110" t="s">
        <v>461</v>
      </c>
      <c r="B17" s="112">
        <v>4900</v>
      </c>
      <c r="C17" s="35">
        <f>J3</f>
        <v>0</v>
      </c>
      <c r="D17" s="120">
        <f t="shared" si="0"/>
        <v>0</v>
      </c>
    </row>
    <row r="18" spans="1:12" ht="15" thickBot="1">
      <c r="A18" s="106"/>
      <c r="B18" s="3"/>
      <c r="D18" s="107">
        <f>SUM(D4:D17)</f>
        <v>2700</v>
      </c>
    </row>
    <row r="20" spans="1:12">
      <c r="A20" s="28" t="s">
        <v>488</v>
      </c>
      <c r="B20" s="67">
        <v>90</v>
      </c>
      <c r="C20" s="35">
        <f>IF('NEW POOL'!B10&lt;8.05,0,('NEW POOL'!B10-8)*2)</f>
        <v>0</v>
      </c>
      <c r="D20" s="111">
        <f t="shared" ref="D20:D30" si="1">B20*C20</f>
        <v>0</v>
      </c>
    </row>
    <row r="21" spans="1:12">
      <c r="A21" s="28" t="s">
        <v>640</v>
      </c>
      <c r="B21" s="142">
        <v>5</v>
      </c>
      <c r="C21" s="35">
        <f>'NEW POOL'!B32</f>
        <v>46</v>
      </c>
      <c r="D21" s="111">
        <f t="shared" ref="D21:D26" si="2">B21*C21</f>
        <v>230</v>
      </c>
    </row>
    <row r="22" spans="1:12">
      <c r="A22" s="28" t="s">
        <v>641</v>
      </c>
      <c r="B22" s="142">
        <v>6.5</v>
      </c>
      <c r="C22" s="35">
        <f>'NEW POOL'!B33</f>
        <v>0</v>
      </c>
      <c r="D22" s="111">
        <f t="shared" si="2"/>
        <v>0</v>
      </c>
    </row>
    <row r="23" spans="1:12">
      <c r="A23" s="28" t="s">
        <v>642</v>
      </c>
      <c r="B23" s="142">
        <v>7.5</v>
      </c>
      <c r="C23" s="35">
        <f>'NEW POOL'!B34</f>
        <v>0</v>
      </c>
      <c r="D23" s="111">
        <f t="shared" si="2"/>
        <v>0</v>
      </c>
    </row>
    <row r="24" spans="1:12">
      <c r="A24" s="28" t="s">
        <v>643</v>
      </c>
      <c r="B24" s="142">
        <v>8.5</v>
      </c>
      <c r="C24" s="35">
        <f>'NEW POOL'!B35</f>
        <v>49</v>
      </c>
      <c r="D24" s="111">
        <f t="shared" si="2"/>
        <v>416.5</v>
      </c>
    </row>
    <row r="25" spans="1:12">
      <c r="A25" s="28" t="s">
        <v>937</v>
      </c>
      <c r="B25" s="142">
        <v>9</v>
      </c>
      <c r="C25" s="35">
        <f>'NEW POOL'!B36</f>
        <v>0</v>
      </c>
      <c r="D25" s="111">
        <f t="shared" si="2"/>
        <v>0</v>
      </c>
    </row>
    <row r="26" spans="1:12">
      <c r="A26" s="28" t="s">
        <v>645</v>
      </c>
      <c r="B26" s="142">
        <v>10</v>
      </c>
      <c r="C26" s="35">
        <f>'NEW POOL'!B37</f>
        <v>0</v>
      </c>
      <c r="D26" s="111">
        <f t="shared" si="2"/>
        <v>0</v>
      </c>
    </row>
    <row r="27" spans="1:12">
      <c r="A27" s="28" t="s">
        <v>477</v>
      </c>
      <c r="B27" s="67">
        <v>200</v>
      </c>
      <c r="C27" s="35">
        <f>IF('NEW POOL'!B17&gt;0,1,0)</f>
        <v>1</v>
      </c>
      <c r="D27" s="111">
        <f t="shared" si="1"/>
        <v>200</v>
      </c>
    </row>
    <row r="28" spans="1:12">
      <c r="A28" s="28" t="s">
        <v>490</v>
      </c>
      <c r="B28" s="67">
        <v>350</v>
      </c>
      <c r="C28" s="35">
        <f>'NEW POOL'!B18</f>
        <v>1</v>
      </c>
      <c r="D28" s="111">
        <f t="shared" si="1"/>
        <v>350</v>
      </c>
    </row>
    <row r="29" spans="1:12">
      <c r="A29" s="28" t="s">
        <v>764</v>
      </c>
      <c r="B29" s="67">
        <v>200</v>
      </c>
      <c r="C29" s="35">
        <f>'NEW POOL'!B45</f>
        <v>0</v>
      </c>
      <c r="D29" s="111">
        <f t="shared" si="1"/>
        <v>0</v>
      </c>
    </row>
    <row r="30" spans="1:12">
      <c r="A30" s="28" t="s">
        <v>842</v>
      </c>
      <c r="B30" s="67">
        <v>600</v>
      </c>
      <c r="C30" s="35">
        <v>1</v>
      </c>
      <c r="D30" s="111">
        <f t="shared" si="1"/>
        <v>600</v>
      </c>
    </row>
    <row r="31" spans="1:12">
      <c r="A31" s="28" t="s">
        <v>491</v>
      </c>
      <c r="B31" s="67">
        <v>1</v>
      </c>
      <c r="C31" s="7">
        <f>'NEW POOL'!B46*2.75</f>
        <v>2.75</v>
      </c>
      <c r="D31" s="112">
        <f>B31*C31*G5</f>
        <v>1540</v>
      </c>
      <c r="E31" t="s">
        <v>441</v>
      </c>
      <c r="G31" s="634" t="s">
        <v>904</v>
      </c>
      <c r="H31" s="635"/>
      <c r="I31" s="635"/>
      <c r="J31" s="635"/>
      <c r="K31" s="635"/>
      <c r="L31" s="636"/>
    </row>
    <row r="32" spans="1:12">
      <c r="A32" s="28" t="s">
        <v>472</v>
      </c>
      <c r="B32" s="109">
        <v>18</v>
      </c>
      <c r="C32" s="119">
        <f>'NEW POOL'!B47*H11</f>
        <v>168.8125</v>
      </c>
      <c r="D32" s="112">
        <f>B32*C32</f>
        <v>3038.625</v>
      </c>
      <c r="E32" t="s">
        <v>442</v>
      </c>
      <c r="G32" s="21">
        <v>600</v>
      </c>
      <c r="H32" s="4" t="s">
        <v>901</v>
      </c>
      <c r="L32" s="1">
        <f>G32</f>
        <v>600</v>
      </c>
    </row>
    <row r="33" spans="1:12">
      <c r="A33" s="28" t="s">
        <v>481</v>
      </c>
      <c r="B33" s="109">
        <v>450</v>
      </c>
      <c r="C33" s="119">
        <f>'NEW POOL'!B49</f>
        <v>0</v>
      </c>
      <c r="D33" s="112">
        <f>B33*C33*'NEW POOL'!E7</f>
        <v>0</v>
      </c>
      <c r="E33" t="s">
        <v>482</v>
      </c>
      <c r="G33" s="21">
        <v>90</v>
      </c>
      <c r="H33" s="4" t="s">
        <v>902</v>
      </c>
      <c r="J33">
        <v>8</v>
      </c>
      <c r="L33" s="1">
        <f>G33*J33</f>
        <v>720</v>
      </c>
    </row>
    <row r="34" spans="1:12">
      <c r="A34" s="28" t="s">
        <v>486</v>
      </c>
      <c r="B34" s="67">
        <v>7</v>
      </c>
      <c r="C34" s="35">
        <f>'NEW POOL'!E10</f>
        <v>0</v>
      </c>
      <c r="D34" s="30">
        <f>B34*C34</f>
        <v>0</v>
      </c>
      <c r="G34" s="21">
        <v>85</v>
      </c>
      <c r="H34" s="4" t="s">
        <v>903</v>
      </c>
      <c r="J34">
        <v>20</v>
      </c>
      <c r="L34" s="1">
        <f>G34*J34</f>
        <v>1700</v>
      </c>
    </row>
    <row r="35" spans="1:12" ht="15" thickBot="1">
      <c r="A35" s="28" t="s">
        <v>485</v>
      </c>
      <c r="B35" s="67">
        <v>75</v>
      </c>
      <c r="C35" s="35">
        <v>1</v>
      </c>
      <c r="D35" s="137">
        <f>B35*C35</f>
        <v>75</v>
      </c>
    </row>
    <row r="36" spans="1:12" ht="15" thickBot="1">
      <c r="B36" s="129"/>
      <c r="D36" s="436">
        <f>SUM(D20:D35)</f>
        <v>6450.125</v>
      </c>
      <c r="L36" s="1">
        <f>SUM(L32:L35)</f>
        <v>3020</v>
      </c>
    </row>
    <row r="37" spans="1:12" ht="15" thickBot="1">
      <c r="B37" s="129"/>
      <c r="D37" s="1"/>
    </row>
    <row r="38" spans="1:12" ht="15" thickBot="1">
      <c r="D38" s="134">
        <f>D18+D36</f>
        <v>9150.125</v>
      </c>
      <c r="L38" s="1"/>
    </row>
  </sheetData>
  <mergeCells count="3">
    <mergeCell ref="A3:D3"/>
    <mergeCell ref="A1:D1"/>
    <mergeCell ref="G31:L3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843B3-2BE3-4CF2-B9E3-85AF7F8DF0B3}">
  <sheetPr codeName="Sheet11"/>
  <dimension ref="A1:K49"/>
  <sheetViews>
    <sheetView zoomScaleNormal="100" workbookViewId="0">
      <selection activeCell="B15" sqref="B15"/>
    </sheetView>
  </sheetViews>
  <sheetFormatPr defaultRowHeight="14.4"/>
  <cols>
    <col min="1" max="1" width="16.109375" customWidth="1"/>
    <col min="2" max="2" width="11.44140625" customWidth="1"/>
    <col min="3" max="3" width="8.5546875" style="4"/>
    <col min="4" max="4" width="11.44140625" customWidth="1"/>
    <col min="5" max="6" width="10.109375" style="4" customWidth="1"/>
    <col min="7" max="8" width="8.5546875" style="4"/>
    <col min="11" max="11" width="9.109375" style="4"/>
  </cols>
  <sheetData>
    <row r="1" spans="1:11" ht="18.600000000000001" thickBot="1">
      <c r="A1" s="631" t="s">
        <v>936</v>
      </c>
      <c r="B1" s="632"/>
      <c r="C1" s="632"/>
      <c r="D1" s="633"/>
    </row>
    <row r="2" spans="1:11">
      <c r="J2" s="4"/>
    </row>
    <row r="3" spans="1:11">
      <c r="A3" s="627" t="s">
        <v>494</v>
      </c>
      <c r="B3" s="628"/>
      <c r="C3" s="628"/>
      <c r="D3" s="629"/>
      <c r="J3" s="4"/>
    </row>
    <row r="4" spans="1:11">
      <c r="A4" s="110" t="s">
        <v>899</v>
      </c>
      <c r="B4" s="101">
        <v>550</v>
      </c>
      <c r="C4" s="35">
        <v>1</v>
      </c>
      <c r="D4" s="111">
        <f>B4*C4</f>
        <v>550</v>
      </c>
    </row>
    <row r="5" spans="1:11" ht="15" thickBot="1">
      <c r="A5" s="110" t="s">
        <v>682</v>
      </c>
      <c r="B5" s="101">
        <v>750</v>
      </c>
      <c r="C5" s="35">
        <f>EXC!C27</f>
        <v>1</v>
      </c>
      <c r="D5" s="111">
        <f>B5*C5</f>
        <v>750</v>
      </c>
    </row>
    <row r="6" spans="1:11" ht="15" thickBot="1">
      <c r="A6" s="106"/>
      <c r="B6" s="3"/>
      <c r="D6" s="107">
        <f>SUM(D4:D5)</f>
        <v>1300</v>
      </c>
    </row>
    <row r="8" spans="1:11">
      <c r="A8" s="28" t="s">
        <v>872</v>
      </c>
      <c r="B8" s="101">
        <v>25</v>
      </c>
      <c r="C8" s="35">
        <f>IF('NEW POOL'!B58&gt;33,'NEW POOL'!B58-33,0)</f>
        <v>180</v>
      </c>
      <c r="D8" s="111">
        <f>B8*C8</f>
        <v>4500</v>
      </c>
      <c r="E8" s="4" t="s">
        <v>873</v>
      </c>
    </row>
    <row r="9" spans="1:11">
      <c r="A9" s="28" t="s">
        <v>871</v>
      </c>
      <c r="B9" s="101">
        <v>22</v>
      </c>
      <c r="C9" s="35">
        <f>IF('NEW POOL'!B69&gt;30,('NEW POOL'!B69-30),0)</f>
        <v>80</v>
      </c>
      <c r="D9" s="111">
        <f>B9*C9</f>
        <v>1760</v>
      </c>
      <c r="E9" s="4" t="s">
        <v>874</v>
      </c>
    </row>
    <row r="10" spans="1:11">
      <c r="A10" s="110" t="s">
        <v>507</v>
      </c>
      <c r="B10" s="67">
        <v>3.25</v>
      </c>
      <c r="C10" s="35">
        <f>ROUNDUP(K10,0)</f>
        <v>0</v>
      </c>
      <c r="D10" s="111">
        <f>B10*C10</f>
        <v>0</v>
      </c>
      <c r="K10" s="4">
        <f>SUM(E10:J10)</f>
        <v>0</v>
      </c>
    </row>
    <row r="11" spans="1:11">
      <c r="A11" s="110" t="s">
        <v>11</v>
      </c>
      <c r="B11" s="67">
        <v>3</v>
      </c>
      <c r="C11" s="35">
        <f t="shared" ref="C11:C16" si="0">ROUNDUP(K11,0)</f>
        <v>0</v>
      </c>
      <c r="D11" s="111">
        <f t="shared" ref="D11:D23" si="1">B11*C11</f>
        <v>0</v>
      </c>
      <c r="K11" s="4">
        <f t="shared" ref="K11:K16" si="2">SUM(E11:J11)</f>
        <v>0</v>
      </c>
    </row>
    <row r="12" spans="1:11">
      <c r="A12" s="110" t="s">
        <v>6</v>
      </c>
      <c r="B12" s="67">
        <v>3.5</v>
      </c>
      <c r="C12" s="35">
        <f t="shared" si="0"/>
        <v>0</v>
      </c>
      <c r="D12" s="111">
        <f t="shared" si="1"/>
        <v>0</v>
      </c>
      <c r="E12" s="5">
        <f>'NEW POOL'!B61</f>
        <v>0</v>
      </c>
      <c r="K12" s="4">
        <f t="shared" si="2"/>
        <v>0</v>
      </c>
    </row>
    <row r="13" spans="1:11">
      <c r="A13" s="110" t="s">
        <v>7</v>
      </c>
      <c r="B13" s="67">
        <v>4.5</v>
      </c>
      <c r="C13" s="35">
        <f>ROUNDUP(K13,0)</f>
        <v>0</v>
      </c>
      <c r="D13" s="111">
        <f t="shared" si="1"/>
        <v>0</v>
      </c>
      <c r="E13" s="5">
        <f>'NEW POOL'!B62</f>
        <v>0</v>
      </c>
      <c r="K13" s="4">
        <f t="shared" si="2"/>
        <v>0</v>
      </c>
    </row>
    <row r="14" spans="1:11">
      <c r="A14" s="110" t="s">
        <v>508</v>
      </c>
      <c r="B14" s="67">
        <v>5.5</v>
      </c>
      <c r="C14" s="35">
        <f t="shared" si="0"/>
        <v>392</v>
      </c>
      <c r="D14" s="111">
        <f t="shared" si="1"/>
        <v>2156</v>
      </c>
      <c r="E14" s="4">
        <f>'NEW POOL'!B7</f>
        <v>100</v>
      </c>
      <c r="F14" s="5">
        <f>'NEW POOL'!B58</f>
        <v>213</v>
      </c>
      <c r="G14" s="5">
        <f>'NEW POOL'!B60</f>
        <v>0</v>
      </c>
      <c r="H14" s="5">
        <f>'NEW POOL'!B66+('NEW POOL'!B67*6*1.15)</f>
        <v>0</v>
      </c>
      <c r="K14" s="4">
        <f>(SUM(E14:J14)*1.25)</f>
        <v>391.25</v>
      </c>
    </row>
    <row r="15" spans="1:11">
      <c r="A15" s="110" t="s">
        <v>8</v>
      </c>
      <c r="B15" s="109">
        <v>7</v>
      </c>
      <c r="C15" s="35">
        <f t="shared" si="0"/>
        <v>78</v>
      </c>
      <c r="D15" s="111">
        <f t="shared" si="1"/>
        <v>546</v>
      </c>
      <c r="E15" s="5">
        <f>'NEW POOL'!B59</f>
        <v>50</v>
      </c>
      <c r="F15" s="5">
        <v>0</v>
      </c>
      <c r="G15" s="4">
        <f>'NEW POOL'!B17</f>
        <v>28</v>
      </c>
      <c r="K15" s="5">
        <f>SUM(E15:J15)</f>
        <v>78</v>
      </c>
    </row>
    <row r="16" spans="1:11">
      <c r="A16" s="110" t="s">
        <v>509</v>
      </c>
      <c r="B16" s="109">
        <v>8.75</v>
      </c>
      <c r="C16" s="35">
        <f t="shared" si="0"/>
        <v>0</v>
      </c>
      <c r="D16" s="111">
        <f t="shared" si="1"/>
        <v>0</v>
      </c>
      <c r="K16" s="4">
        <f t="shared" si="2"/>
        <v>0</v>
      </c>
    </row>
    <row r="17" spans="1:11">
      <c r="A17" s="110" t="s">
        <v>879</v>
      </c>
      <c r="B17" s="109">
        <f>B14</f>
        <v>5.5</v>
      </c>
      <c r="C17" s="119">
        <f>'NEW POOL'!B62</f>
        <v>0</v>
      </c>
      <c r="D17" s="111">
        <f>K17</f>
        <v>0</v>
      </c>
      <c r="E17" s="480">
        <v>30</v>
      </c>
      <c r="F17" s="51" t="s">
        <v>1059</v>
      </c>
      <c r="H17" s="4">
        <f>IF('NEW POOL'!B62&gt;0,1,0)</f>
        <v>0</v>
      </c>
      <c r="I17" s="4">
        <f>IF('NEW POOL'!B62&lt;($E$17+1),$E$17,'NEW POOL'!B62)</f>
        <v>30</v>
      </c>
      <c r="J17" s="4">
        <f>H17*I17</f>
        <v>0</v>
      </c>
      <c r="K17" s="24">
        <f>((($E$18*H17)+((J17-$E$17)*B17)))*H17</f>
        <v>0</v>
      </c>
    </row>
    <row r="18" spans="1:11">
      <c r="A18" s="110" t="s">
        <v>880</v>
      </c>
      <c r="B18" s="479">
        <f>B17</f>
        <v>5.5</v>
      </c>
      <c r="C18" s="119">
        <f>'NEW POOL'!B63</f>
        <v>0</v>
      </c>
      <c r="D18" s="111">
        <f t="shared" ref="D18:D20" si="3">K18</f>
        <v>0</v>
      </c>
      <c r="E18" s="21">
        <v>200</v>
      </c>
      <c r="F18" s="4" t="s">
        <v>3</v>
      </c>
      <c r="H18" s="4">
        <f>IF('NEW POOL'!B63&gt;0,1,0)</f>
        <v>0</v>
      </c>
      <c r="I18" s="4">
        <f>IF('NEW POOL'!B63&lt;($E$17+1),$E$17,'NEW POOL'!B63)</f>
        <v>30</v>
      </c>
      <c r="J18" s="4">
        <f t="shared" ref="J18:J20" si="4">H18*I18</f>
        <v>0</v>
      </c>
      <c r="K18" s="24">
        <f t="shared" ref="K18:K20" si="5">((($E$18*H18)+((J18-$E$17)*B18)))*H18</f>
        <v>0</v>
      </c>
    </row>
    <row r="19" spans="1:11">
      <c r="A19" s="110" t="s">
        <v>881</v>
      </c>
      <c r="B19" s="479">
        <f>B18</f>
        <v>5.5</v>
      </c>
      <c r="C19" s="119">
        <f>'NEW POOL'!B64</f>
        <v>0</v>
      </c>
      <c r="D19" s="111">
        <f t="shared" si="3"/>
        <v>0</v>
      </c>
      <c r="H19" s="4">
        <f>IF('NEW POOL'!B64&gt;0,1,0)</f>
        <v>0</v>
      </c>
      <c r="I19" s="4">
        <f>IF('NEW POOL'!B64&lt;($E$17+1),$E$17,'NEW POOL'!B64)</f>
        <v>30</v>
      </c>
      <c r="J19" s="4">
        <f t="shared" si="4"/>
        <v>0</v>
      </c>
      <c r="K19" s="24">
        <f t="shared" si="5"/>
        <v>0</v>
      </c>
    </row>
    <row r="20" spans="1:11">
      <c r="A20" s="110" t="s">
        <v>882</v>
      </c>
      <c r="B20" s="479">
        <f>B19</f>
        <v>5.5</v>
      </c>
      <c r="C20" s="119">
        <f>'NEW POOL'!B65</f>
        <v>0</v>
      </c>
      <c r="D20" s="111">
        <f t="shared" si="3"/>
        <v>0</v>
      </c>
      <c r="H20" s="4">
        <f>IF('NEW POOL'!B65&gt;0,1,0)</f>
        <v>0</v>
      </c>
      <c r="I20" s="4">
        <f>IF('NEW POOL'!B65&lt;($E$17+1),$E$17,'NEW POOL'!B65)</f>
        <v>30</v>
      </c>
      <c r="J20" s="4">
        <f t="shared" si="4"/>
        <v>0</v>
      </c>
      <c r="K20" s="24">
        <f t="shared" si="5"/>
        <v>0</v>
      </c>
    </row>
    <row r="21" spans="1:11">
      <c r="A21" s="110" t="s">
        <v>883</v>
      </c>
      <c r="B21" s="109">
        <f>B13</f>
        <v>4.5</v>
      </c>
      <c r="C21" s="35">
        <f>E17+E18+E19+E20</f>
        <v>230</v>
      </c>
      <c r="D21" s="111">
        <f>B21*C21</f>
        <v>1035</v>
      </c>
    </row>
    <row r="22" spans="1:11">
      <c r="A22" s="28" t="s">
        <v>510</v>
      </c>
      <c r="B22" s="67">
        <v>275</v>
      </c>
      <c r="C22" s="119">
        <f>'NEW POOL'!B114+'NEW POOL'!B115</f>
        <v>0</v>
      </c>
      <c r="D22" s="30">
        <f t="shared" si="1"/>
        <v>0</v>
      </c>
    </row>
    <row r="23" spans="1:11">
      <c r="A23" s="28" t="s">
        <v>513</v>
      </c>
      <c r="B23" s="67">
        <v>175</v>
      </c>
      <c r="C23" s="35">
        <v>1</v>
      </c>
      <c r="D23" s="30">
        <f t="shared" si="1"/>
        <v>175</v>
      </c>
    </row>
    <row r="24" spans="1:11">
      <c r="A24" s="28" t="s">
        <v>870</v>
      </c>
      <c r="B24" s="67">
        <v>300</v>
      </c>
      <c r="C24" s="35">
        <f>IF((E24+F24)=1,1,0)</f>
        <v>0</v>
      </c>
      <c r="D24" s="30"/>
      <c r="E24" s="4">
        <f>C5</f>
        <v>1</v>
      </c>
      <c r="F24" s="5">
        <f>'NEW POOL'!B121</f>
        <v>1</v>
      </c>
    </row>
    <row r="25" spans="1:11">
      <c r="A25" s="28" t="s">
        <v>514</v>
      </c>
      <c r="B25" s="67">
        <v>10</v>
      </c>
      <c r="C25" s="35">
        <f>ROUNDUP(IF('NEW POOL'!B66+'NEW POOL'!B66&gt;0,'NEW POOL'!B8*0.5,0),0)</f>
        <v>0</v>
      </c>
      <c r="D25" s="30">
        <f>B25*C25</f>
        <v>0</v>
      </c>
    </row>
    <row r="26" spans="1:11">
      <c r="A26" s="28" t="s">
        <v>529</v>
      </c>
      <c r="B26" s="67">
        <v>2.75</v>
      </c>
      <c r="C26" s="35">
        <f>ROUNDUP(('NEW POOL'!B71+'NEW POOL'!B72*1.25),0)</f>
        <v>369</v>
      </c>
      <c r="D26" s="30">
        <f>B26*C26</f>
        <v>1014.75</v>
      </c>
    </row>
    <row r="27" spans="1:11">
      <c r="A27" s="28" t="s">
        <v>990</v>
      </c>
      <c r="B27" s="67">
        <v>700</v>
      </c>
      <c r="C27" s="35">
        <v>1</v>
      </c>
      <c r="D27" s="30">
        <f>B27*C27</f>
        <v>700</v>
      </c>
    </row>
    <row r="28" spans="1:11">
      <c r="A28" s="28" t="s">
        <v>486</v>
      </c>
      <c r="B28" s="67">
        <v>5</v>
      </c>
      <c r="C28" s="35">
        <v>0</v>
      </c>
      <c r="D28" s="30">
        <f>B28*C28</f>
        <v>0</v>
      </c>
    </row>
    <row r="29" spans="1:11" ht="15" thickBot="1">
      <c r="B29" s="129"/>
      <c r="D29" s="1"/>
    </row>
    <row r="30" spans="1:11" ht="15" thickBot="1">
      <c r="D30" s="134">
        <f>SUM(D10:D29)+D6</f>
        <v>6926.75</v>
      </c>
    </row>
    <row r="32" spans="1:11">
      <c r="A32" s="637" t="s">
        <v>666</v>
      </c>
      <c r="B32" s="637"/>
      <c r="C32" s="637"/>
      <c r="D32" s="637"/>
    </row>
    <row r="33" spans="1:10">
      <c r="A33" s="138" t="s">
        <v>519</v>
      </c>
      <c r="B33" s="67">
        <v>1500</v>
      </c>
      <c r="C33" s="35">
        <f>IF('NEW POOL'!B68&gt;0,1,0)</f>
        <v>1</v>
      </c>
      <c r="D33" s="30">
        <f>B33*C33</f>
        <v>1500</v>
      </c>
    </row>
    <row r="34" spans="1:10">
      <c r="A34" s="110" t="s">
        <v>667</v>
      </c>
      <c r="B34" s="67">
        <v>11</v>
      </c>
      <c r="C34" s="35">
        <f>IF('NEW POOL'!B68&gt;25,'NEW POOL'!B68-25,0)</f>
        <v>50</v>
      </c>
      <c r="D34" s="30">
        <f>B34*C34</f>
        <v>550</v>
      </c>
    </row>
    <row r="35" spans="1:10" ht="15" thickBot="1"/>
    <row r="36" spans="1:10" ht="15" thickBot="1">
      <c r="D36" s="143">
        <f>SUM(D33:D35)</f>
        <v>2050</v>
      </c>
    </row>
    <row r="38" spans="1:10">
      <c r="A38" s="637" t="s">
        <v>516</v>
      </c>
      <c r="B38" s="637"/>
      <c r="C38" s="637"/>
      <c r="D38" s="637"/>
      <c r="E38" s="4" t="s">
        <v>1000</v>
      </c>
    </row>
    <row r="39" spans="1:10">
      <c r="A39" s="138" t="s">
        <v>519</v>
      </c>
      <c r="B39" s="67">
        <v>750</v>
      </c>
      <c r="C39" s="35">
        <v>1</v>
      </c>
      <c r="D39" s="30">
        <f t="shared" ref="D39:D45" si="6">B39*C39</f>
        <v>750</v>
      </c>
    </row>
    <row r="40" spans="1:10">
      <c r="A40" s="110" t="s">
        <v>517</v>
      </c>
      <c r="B40" s="67">
        <v>150</v>
      </c>
      <c r="C40" s="35">
        <f>C22</f>
        <v>0</v>
      </c>
      <c r="D40" s="30">
        <f t="shared" si="6"/>
        <v>0</v>
      </c>
      <c r="E40" s="474">
        <v>100</v>
      </c>
    </row>
    <row r="41" spans="1:10">
      <c r="A41" s="110" t="s">
        <v>843</v>
      </c>
      <c r="B41" s="67">
        <v>200</v>
      </c>
      <c r="C41" s="35">
        <f>IF(J41&gt;0,1,0)</f>
        <v>0</v>
      </c>
      <c r="D41" s="30">
        <f t="shared" si="6"/>
        <v>0</v>
      </c>
      <c r="E41" s="474">
        <v>75</v>
      </c>
      <c r="G41" s="4">
        <f>IF('NEW POOL'!$A$127=EQUIP!$M$54,1,0)</f>
        <v>0</v>
      </c>
      <c r="H41" s="4">
        <f>IF('NEW POOL'!A128=EQUIP!M54,1,0)</f>
        <v>0</v>
      </c>
      <c r="I41" s="4">
        <f>IF('NEW POOL'!A129=EQUIP!M54,1,0)</f>
        <v>0</v>
      </c>
      <c r="J41" s="4">
        <f>SUM(G41:I41)</f>
        <v>0</v>
      </c>
    </row>
    <row r="42" spans="1:10">
      <c r="A42" s="110" t="str">
        <f>EQUIP!M55</f>
        <v>Del Ozone with UV AOP unit with Degas</v>
      </c>
      <c r="B42" s="67">
        <v>210</v>
      </c>
      <c r="C42" s="35">
        <f>IF(J42&gt;0,1,0)</f>
        <v>0</v>
      </c>
      <c r="D42" s="30">
        <f t="shared" si="6"/>
        <v>0</v>
      </c>
      <c r="E42" s="474">
        <v>100</v>
      </c>
      <c r="G42" s="4">
        <f>IF('NEW POOL'!A127=EQUIP!M55,1,0)</f>
        <v>0</v>
      </c>
      <c r="H42" s="4">
        <f>IF('NEW POOL'!A128=EQUIP!M55,1,0)</f>
        <v>0</v>
      </c>
      <c r="I42" s="4">
        <f>IF('NEW POOL'!A129=EQUIP!M55,1,0)</f>
        <v>0</v>
      </c>
      <c r="J42" s="4">
        <f>SUM(G42:I42)</f>
        <v>0</v>
      </c>
    </row>
    <row r="43" spans="1:10">
      <c r="A43" s="110" t="s">
        <v>343</v>
      </c>
      <c r="B43" s="67">
        <v>200</v>
      </c>
      <c r="C43" s="119">
        <f>'NEW POOL'!B121</f>
        <v>1</v>
      </c>
      <c r="D43" s="30">
        <f t="shared" si="6"/>
        <v>200</v>
      </c>
      <c r="E43" s="474">
        <v>200</v>
      </c>
    </row>
    <row r="44" spans="1:10">
      <c r="A44" s="110" t="s">
        <v>518</v>
      </c>
      <c r="B44" s="67">
        <v>125</v>
      </c>
      <c r="C44" s="35">
        <v>1</v>
      </c>
      <c r="D44" s="30">
        <f t="shared" si="6"/>
        <v>125</v>
      </c>
    </row>
    <row r="45" spans="1:10">
      <c r="A45" s="110" t="s">
        <v>486</v>
      </c>
      <c r="B45" s="136">
        <v>7</v>
      </c>
      <c r="C45" s="35">
        <f>C28</f>
        <v>0</v>
      </c>
      <c r="D45" s="30">
        <f t="shared" si="6"/>
        <v>0</v>
      </c>
    </row>
    <row r="46" spans="1:10" ht="15" thickBot="1"/>
    <row r="47" spans="1:10" ht="15" thickBot="1">
      <c r="D47" s="134">
        <f>SUM(D39:D46)</f>
        <v>1075</v>
      </c>
    </row>
    <row r="49" spans="1:5">
      <c r="A49" t="s">
        <v>1033</v>
      </c>
      <c r="E49" s="474">
        <v>100</v>
      </c>
    </row>
  </sheetData>
  <mergeCells count="4">
    <mergeCell ref="A1:D1"/>
    <mergeCell ref="A3:D3"/>
    <mergeCell ref="A38:D38"/>
    <mergeCell ref="A32:D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9541-DAAA-4E38-9F98-BD0BA5301383}">
  <sheetPr codeName="Sheet12"/>
  <dimension ref="A1:J28"/>
  <sheetViews>
    <sheetView zoomScaleNormal="100" workbookViewId="0">
      <selection activeCell="A18" sqref="A18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.600000000000001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524</v>
      </c>
      <c r="B3" s="628"/>
      <c r="C3" s="628"/>
      <c r="D3" s="629"/>
      <c r="J3" s="4"/>
    </row>
    <row r="4" spans="1:10">
      <c r="A4" s="110" t="s">
        <v>525</v>
      </c>
      <c r="B4" s="142">
        <v>25</v>
      </c>
      <c r="C4" s="35">
        <f>'NEW POOL'!B7</f>
        <v>100</v>
      </c>
      <c r="D4" s="30">
        <f t="shared" ref="D4:D26" si="0">B4*C4</f>
        <v>2500</v>
      </c>
    </row>
    <row r="5" spans="1:10">
      <c r="A5" s="110" t="s">
        <v>804</v>
      </c>
      <c r="B5" s="67">
        <v>100</v>
      </c>
      <c r="C5" s="35">
        <v>1</v>
      </c>
      <c r="D5" s="30">
        <f t="shared" si="0"/>
        <v>100</v>
      </c>
    </row>
    <row r="6" spans="1:10">
      <c r="A6" s="110" t="s">
        <v>526</v>
      </c>
      <c r="B6" s="67">
        <v>0</v>
      </c>
      <c r="C6" s="35">
        <f>C4</f>
        <v>100</v>
      </c>
      <c r="D6" s="137">
        <f t="shared" si="0"/>
        <v>0</v>
      </c>
    </row>
    <row r="7" spans="1:10">
      <c r="A7" s="110" t="s">
        <v>488</v>
      </c>
      <c r="B7" s="67">
        <v>100</v>
      </c>
      <c r="C7" s="35">
        <f>EXC!C20</f>
        <v>0</v>
      </c>
      <c r="D7" s="30">
        <f t="shared" si="0"/>
        <v>0</v>
      </c>
      <c r="E7" s="4" t="s">
        <v>534</v>
      </c>
    </row>
    <row r="8" spans="1:10">
      <c r="A8" s="110" t="s">
        <v>476</v>
      </c>
      <c r="B8" s="67">
        <v>450</v>
      </c>
      <c r="C8" s="35">
        <f>EXC!C27</f>
        <v>1</v>
      </c>
      <c r="D8" s="30">
        <f t="shared" si="0"/>
        <v>450</v>
      </c>
    </row>
    <row r="9" spans="1:10">
      <c r="A9" s="110" t="s">
        <v>490</v>
      </c>
      <c r="B9" s="67">
        <v>150</v>
      </c>
      <c r="C9" s="35">
        <f>'NEW POOL'!B18</f>
        <v>1</v>
      </c>
      <c r="D9" s="30">
        <f t="shared" si="0"/>
        <v>150</v>
      </c>
    </row>
    <row r="10" spans="1:10">
      <c r="A10" s="110" t="s">
        <v>527</v>
      </c>
      <c r="B10" s="67">
        <v>8</v>
      </c>
      <c r="C10" s="119">
        <f>'NEW POOL'!B11</f>
        <v>52</v>
      </c>
      <c r="D10" s="30">
        <f t="shared" si="0"/>
        <v>416</v>
      </c>
    </row>
    <row r="11" spans="1:10">
      <c r="A11" s="28" t="s">
        <v>640</v>
      </c>
      <c r="B11" s="142">
        <v>3</v>
      </c>
      <c r="C11" s="35">
        <f>'NEW POOL'!B32</f>
        <v>46</v>
      </c>
      <c r="D11" s="111">
        <f t="shared" si="0"/>
        <v>138</v>
      </c>
    </row>
    <row r="12" spans="1:10">
      <c r="A12" s="28" t="s">
        <v>641</v>
      </c>
      <c r="B12" s="142">
        <v>4</v>
      </c>
      <c r="C12" s="35">
        <f>'NEW POOL'!B33</f>
        <v>0</v>
      </c>
      <c r="D12" s="111">
        <f t="shared" si="0"/>
        <v>0</v>
      </c>
    </row>
    <row r="13" spans="1:10">
      <c r="A13" s="28" t="s">
        <v>642</v>
      </c>
      <c r="B13" s="142">
        <v>5</v>
      </c>
      <c r="C13" s="35">
        <f>'NEW POOL'!B34</f>
        <v>0</v>
      </c>
      <c r="D13" s="111">
        <f t="shared" si="0"/>
        <v>0</v>
      </c>
    </row>
    <row r="14" spans="1:10">
      <c r="A14" s="28" t="s">
        <v>643</v>
      </c>
      <c r="B14" s="142">
        <v>6</v>
      </c>
      <c r="C14" s="35">
        <f>'NEW POOL'!B35</f>
        <v>49</v>
      </c>
      <c r="D14" s="111">
        <f t="shared" si="0"/>
        <v>294</v>
      </c>
    </row>
    <row r="15" spans="1:10">
      <c r="A15" s="28" t="s">
        <v>644</v>
      </c>
      <c r="B15" s="142">
        <v>7</v>
      </c>
      <c r="C15" s="35">
        <f>'NEW POOL'!B36</f>
        <v>0</v>
      </c>
      <c r="D15" s="111">
        <f t="shared" si="0"/>
        <v>0</v>
      </c>
    </row>
    <row r="16" spans="1:10">
      <c r="A16" s="28" t="s">
        <v>645</v>
      </c>
      <c r="B16" s="142">
        <v>7</v>
      </c>
      <c r="C16" s="35">
        <f>'NEW POOL'!B37</f>
        <v>0</v>
      </c>
      <c r="D16" s="111">
        <f t="shared" si="0"/>
        <v>0</v>
      </c>
    </row>
    <row r="17" spans="1:4">
      <c r="A17" s="110" t="s">
        <v>518</v>
      </c>
      <c r="B17" s="67">
        <v>500</v>
      </c>
      <c r="C17" s="35">
        <v>1</v>
      </c>
      <c r="D17" s="30">
        <f t="shared" si="0"/>
        <v>500</v>
      </c>
    </row>
    <row r="18" spans="1:4">
      <c r="A18" s="110" t="s">
        <v>535</v>
      </c>
      <c r="B18" s="67">
        <v>0</v>
      </c>
      <c r="C18" s="119">
        <f>'NEW POOL'!B124+'NEW POOL'!B125</f>
        <v>4</v>
      </c>
      <c r="D18" s="30">
        <f t="shared" si="0"/>
        <v>0</v>
      </c>
    </row>
    <row r="19" spans="1:4">
      <c r="A19" s="110" t="s">
        <v>905</v>
      </c>
      <c r="B19" s="67">
        <v>0</v>
      </c>
      <c r="C19" s="35">
        <f>IF('NEW POOL'!B10&gt;6,1,0)</f>
        <v>0</v>
      </c>
      <c r="D19" s="30">
        <f t="shared" si="0"/>
        <v>0</v>
      </c>
    </row>
    <row r="20" spans="1:4">
      <c r="A20" s="110" t="s">
        <v>906</v>
      </c>
      <c r="B20" s="67">
        <v>80</v>
      </c>
      <c r="C20" s="35">
        <f>IF('NEW POOL'!B10&gt;8.1,1,0)</f>
        <v>0</v>
      </c>
      <c r="D20" s="30">
        <f t="shared" si="0"/>
        <v>0</v>
      </c>
    </row>
    <row r="21" spans="1:4">
      <c r="A21" s="139" t="s">
        <v>528</v>
      </c>
      <c r="B21" s="141">
        <v>750</v>
      </c>
      <c r="C21" s="135">
        <v>0</v>
      </c>
      <c r="D21" s="140">
        <f t="shared" si="0"/>
        <v>0</v>
      </c>
    </row>
    <row r="22" spans="1:4">
      <c r="A22" s="110" t="s">
        <v>802</v>
      </c>
      <c r="B22" s="67">
        <v>275</v>
      </c>
      <c r="C22" s="119">
        <f>'NEW POOL'!B12</f>
        <v>1</v>
      </c>
      <c r="D22" s="30">
        <f t="shared" si="0"/>
        <v>275</v>
      </c>
    </row>
    <row r="23" spans="1:4">
      <c r="A23" s="110" t="s">
        <v>801</v>
      </c>
      <c r="B23" s="67">
        <v>100</v>
      </c>
      <c r="C23" s="35">
        <v>2</v>
      </c>
      <c r="D23" s="30">
        <f t="shared" si="0"/>
        <v>200</v>
      </c>
    </row>
    <row r="24" spans="1:4">
      <c r="A24" s="110" t="s">
        <v>907</v>
      </c>
      <c r="B24" s="67">
        <v>75</v>
      </c>
      <c r="C24" s="35">
        <f>IF('NEW POOL'!B14&gt;0,1,0)</f>
        <v>1</v>
      </c>
      <c r="D24" s="30">
        <f t="shared" si="0"/>
        <v>75</v>
      </c>
    </row>
    <row r="25" spans="1:4">
      <c r="A25" s="110" t="s">
        <v>805</v>
      </c>
      <c r="B25" s="67">
        <v>35</v>
      </c>
      <c r="C25" s="35">
        <f>'NEW POOL'!B51</f>
        <v>0</v>
      </c>
      <c r="D25" s="30">
        <f t="shared" si="0"/>
        <v>0</v>
      </c>
    </row>
    <row r="26" spans="1:4">
      <c r="A26" s="110" t="s">
        <v>486</v>
      </c>
      <c r="B26" s="67">
        <v>7</v>
      </c>
      <c r="C26" s="35">
        <f>'NEW POOL'!E10</f>
        <v>0</v>
      </c>
      <c r="D26" s="30">
        <f t="shared" si="0"/>
        <v>0</v>
      </c>
    </row>
    <row r="27" spans="1:4" ht="15" thickBot="1"/>
    <row r="28" spans="1:4" ht="15" thickBot="1">
      <c r="A28" s="106"/>
      <c r="B28" s="3"/>
      <c r="D28" s="107">
        <f>SUM(D4:D27)</f>
        <v>5098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7A22-CF0D-4470-BB7B-147F5AC2BE41}">
  <sheetPr codeName="Sheet13"/>
  <dimension ref="A1:J17"/>
  <sheetViews>
    <sheetView workbookViewId="0">
      <selection activeCell="I15" sqref="I15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.600000000000001" thickBot="1">
      <c r="A1" s="631" t="s">
        <v>936</v>
      </c>
      <c r="B1" s="632"/>
      <c r="C1" s="632"/>
      <c r="D1" s="633"/>
    </row>
    <row r="2" spans="1:10">
      <c r="J2" s="4"/>
    </row>
    <row r="3" spans="1:10">
      <c r="A3" s="627" t="s">
        <v>537</v>
      </c>
      <c r="B3" s="628"/>
      <c r="C3" s="628"/>
      <c r="D3" s="629"/>
      <c r="J3" s="4"/>
    </row>
    <row r="4" spans="1:10">
      <c r="A4" s="110" t="s">
        <v>525</v>
      </c>
      <c r="B4" s="142">
        <v>1650</v>
      </c>
      <c r="C4" s="35">
        <v>1</v>
      </c>
      <c r="D4" s="30">
        <f t="shared" ref="D4:D15" si="0">B4*C4</f>
        <v>1650</v>
      </c>
    </row>
    <row r="5" spans="1:10">
      <c r="A5" s="110" t="s">
        <v>538</v>
      </c>
      <c r="B5" s="67">
        <v>18</v>
      </c>
      <c r="C5" s="35">
        <f>IF('NEW POOL'!B71&gt;E5,'NEW POOL'!B71-E5,0)</f>
        <v>0</v>
      </c>
      <c r="D5" s="30">
        <f t="shared" si="0"/>
        <v>0</v>
      </c>
      <c r="E5" s="4">
        <v>65</v>
      </c>
      <c r="F5" s="4" t="s">
        <v>539</v>
      </c>
    </row>
    <row r="6" spans="1:10">
      <c r="A6" s="110" t="s">
        <v>339</v>
      </c>
      <c r="B6" s="67">
        <v>100</v>
      </c>
      <c r="C6" s="35">
        <f>IF(STEEL!C18&gt;E6,STEEL!C18-E6)</f>
        <v>3</v>
      </c>
      <c r="D6" s="137">
        <f t="shared" si="0"/>
        <v>300</v>
      </c>
      <c r="E6" s="4">
        <v>1</v>
      </c>
      <c r="F6" s="4" t="s">
        <v>539</v>
      </c>
    </row>
    <row r="7" spans="1:10">
      <c r="A7" s="110" t="s">
        <v>343</v>
      </c>
      <c r="B7" s="67">
        <v>255</v>
      </c>
      <c r="C7" s="119">
        <f>'NEW POOL'!B121</f>
        <v>1</v>
      </c>
      <c r="D7" s="30">
        <f t="shared" si="0"/>
        <v>255</v>
      </c>
    </row>
    <row r="8" spans="1:10">
      <c r="A8" s="110" t="s">
        <v>826</v>
      </c>
      <c r="B8" s="67">
        <f>450</f>
        <v>450</v>
      </c>
      <c r="C8" s="119">
        <f>IF('NEW POOL'!E121="",0,1)</f>
        <v>0</v>
      </c>
      <c r="D8" s="30">
        <f t="shared" si="0"/>
        <v>0</v>
      </c>
    </row>
    <row r="9" spans="1:10">
      <c r="A9" s="110" t="s">
        <v>827</v>
      </c>
      <c r="B9" s="67">
        <v>6</v>
      </c>
      <c r="C9" s="119">
        <f>IF('NEW POOL'!B73&gt;40,'NEW POOL'!B73-40,0)</f>
        <v>0</v>
      </c>
      <c r="D9" s="30">
        <f t="shared" si="0"/>
        <v>0</v>
      </c>
      <c r="E9" s="4">
        <v>40</v>
      </c>
      <c r="F9" s="4" t="s">
        <v>539</v>
      </c>
    </row>
    <row r="10" spans="1:10">
      <c r="A10" s="110" t="s">
        <v>540</v>
      </c>
      <c r="B10" s="67">
        <v>200</v>
      </c>
      <c r="C10" s="119">
        <f>'NEW POOL'!E127+'NEW POOL'!E128+'NEW POOL'!E129</f>
        <v>0</v>
      </c>
      <c r="D10" s="30">
        <f t="shared" si="0"/>
        <v>0</v>
      </c>
    </row>
    <row r="11" spans="1:10">
      <c r="A11" s="110" t="s">
        <v>355</v>
      </c>
      <c r="B11" s="67">
        <v>250</v>
      </c>
      <c r="C11" s="119">
        <f>'NEW POOL'!B131</f>
        <v>1</v>
      </c>
      <c r="D11" s="30">
        <f t="shared" si="0"/>
        <v>250</v>
      </c>
    </row>
    <row r="12" spans="1:10">
      <c r="A12" s="110" t="s">
        <v>786</v>
      </c>
      <c r="B12" s="67">
        <v>300</v>
      </c>
      <c r="C12" s="119">
        <v>1</v>
      </c>
      <c r="D12" s="30">
        <f t="shared" si="0"/>
        <v>300</v>
      </c>
    </row>
    <row r="13" spans="1:10">
      <c r="A13" s="110" t="s">
        <v>787</v>
      </c>
      <c r="B13" s="67">
        <v>85</v>
      </c>
      <c r="C13" s="119">
        <v>1</v>
      </c>
      <c r="D13" s="30">
        <f t="shared" si="0"/>
        <v>85</v>
      </c>
    </row>
    <row r="14" spans="1:10">
      <c r="A14" s="110" t="s">
        <v>486</v>
      </c>
      <c r="B14" s="67">
        <v>7</v>
      </c>
      <c r="C14" s="35">
        <f>'NEW POOL'!E10</f>
        <v>0</v>
      </c>
      <c r="D14" s="30">
        <f t="shared" si="0"/>
        <v>0</v>
      </c>
    </row>
    <row r="15" spans="1:10">
      <c r="A15" s="110" t="s">
        <v>868</v>
      </c>
      <c r="B15" s="67">
        <v>3</v>
      </c>
      <c r="C15" s="119">
        <f>'NEW POOL'!B134</f>
        <v>0</v>
      </c>
      <c r="D15" s="30">
        <f t="shared" si="0"/>
        <v>0</v>
      </c>
      <c r="E15" s="24">
        <f>D15/0.7</f>
        <v>0</v>
      </c>
    </row>
    <row r="16" spans="1:10" s="4" customFormat="1" ht="15" thickBot="1">
      <c r="A16"/>
      <c r="B16"/>
      <c r="D16"/>
      <c r="I16"/>
      <c r="J16"/>
    </row>
    <row r="17" spans="1:10" s="4" customFormat="1" ht="15" thickBot="1">
      <c r="A17" s="106"/>
      <c r="B17" s="3"/>
      <c r="D17" s="107">
        <f>SUM(D4:D16)</f>
        <v>2840</v>
      </c>
      <c r="I17"/>
      <c r="J17"/>
    </row>
  </sheetData>
  <mergeCells count="2">
    <mergeCell ref="A1:D1"/>
    <mergeCell ref="A3:D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1BA9-5C50-4664-83E3-EEC664E6464A}">
  <sheetPr codeName="Sheet14"/>
  <dimension ref="A1:L27"/>
  <sheetViews>
    <sheetView zoomScaleNormal="100" workbookViewId="0">
      <selection activeCell="B16" sqref="B16"/>
    </sheetView>
  </sheetViews>
  <sheetFormatPr defaultRowHeight="14.4"/>
  <cols>
    <col min="1" max="1" width="18.109375" customWidth="1"/>
    <col min="2" max="2" width="11.44140625" customWidth="1"/>
    <col min="3" max="3" width="9.44140625" style="4" bestFit="1" customWidth="1"/>
    <col min="4" max="4" width="14.109375" customWidth="1"/>
    <col min="5" max="5" width="8.5546875" style="4"/>
    <col min="6" max="6" width="11.88671875" style="4" customWidth="1"/>
    <col min="7" max="8" width="8.5546875" style="4"/>
    <col min="12" max="12" width="10.109375" bestFit="1" customWidth="1"/>
  </cols>
  <sheetData>
    <row r="1" spans="1:12" ht="18">
      <c r="A1" s="626" t="s">
        <v>985</v>
      </c>
      <c r="B1" s="626"/>
      <c r="C1" s="626"/>
      <c r="D1" s="626"/>
    </row>
    <row r="2" spans="1:12" ht="21">
      <c r="C2" s="8" t="s">
        <v>554</v>
      </c>
      <c r="D2" s="5">
        <f>((('NEW POOL'!B9+'NEW POOL'!B10)/2)*'NEW POOL'!B7)+'NEW POOL'!B8</f>
        <v>1035</v>
      </c>
      <c r="E2" s="4" t="s">
        <v>553</v>
      </c>
      <c r="F2" s="98">
        <f>ROUNDUP(((((('NEW POOL'!B7*1)+(D2*0.67))+('NEW POOL'!B38))/24)+((('NEW POOL'!B17*1)+('NEW POOL'!B17*3)+(40))/25)+('NEW POOL'!B167/10))*1.1,0)+('NEW POOL'!B51/20)+('NEW POOL'!B18*2)</f>
        <v>54</v>
      </c>
      <c r="J2" s="4"/>
    </row>
    <row r="3" spans="1:12">
      <c r="A3" s="627" t="s">
        <v>551</v>
      </c>
      <c r="B3" s="628"/>
      <c r="C3" s="628"/>
      <c r="D3" s="629"/>
      <c r="J3" s="4" t="str">
        <f>'NEW POOL'!A32</f>
        <v>6" RBB:</v>
      </c>
      <c r="K3" s="4">
        <f>'NEW POOL'!B32</f>
        <v>46</v>
      </c>
      <c r="L3" s="4">
        <f>K3*0.5</f>
        <v>23</v>
      </c>
    </row>
    <row r="4" spans="1:12">
      <c r="A4" s="110" t="s">
        <v>542</v>
      </c>
      <c r="B4" s="142">
        <v>90</v>
      </c>
      <c r="C4" s="35">
        <f>E4</f>
        <v>32</v>
      </c>
      <c r="D4" s="30">
        <f t="shared" ref="D4:D10" si="0">B4*C4</f>
        <v>2880</v>
      </c>
      <c r="E4" s="4">
        <v>32</v>
      </c>
      <c r="F4" t="s">
        <v>543</v>
      </c>
      <c r="J4" s="4" t="str">
        <f>'NEW POOL'!A33</f>
        <v>12" RBB:</v>
      </c>
      <c r="K4" s="4">
        <f>'NEW POOL'!B33</f>
        <v>0</v>
      </c>
      <c r="L4" s="4">
        <f>K4*1</f>
        <v>0</v>
      </c>
    </row>
    <row r="5" spans="1:12">
      <c r="A5" s="110" t="s">
        <v>544</v>
      </c>
      <c r="B5" s="136">
        <f>B4</f>
        <v>90</v>
      </c>
      <c r="C5" s="119">
        <f>IF(F2&gt;32,F2-32,0)</f>
        <v>22</v>
      </c>
      <c r="D5" s="30">
        <f t="shared" si="0"/>
        <v>1980</v>
      </c>
      <c r="E5" s="4">
        <v>75</v>
      </c>
      <c r="F5" t="s">
        <v>539</v>
      </c>
      <c r="J5" s="4" t="str">
        <f>'NEW POOL'!A34</f>
        <v>18" RBB:</v>
      </c>
      <c r="K5" s="4">
        <f>'NEW POOL'!B34</f>
        <v>0</v>
      </c>
      <c r="L5" s="4">
        <f>K5*1.5</f>
        <v>0</v>
      </c>
    </row>
    <row r="6" spans="1:12">
      <c r="A6" s="110" t="s">
        <v>476</v>
      </c>
      <c r="B6" s="67">
        <v>250</v>
      </c>
      <c r="C6" s="35">
        <f>EXC!C27</f>
        <v>1</v>
      </c>
      <c r="D6" s="137">
        <f t="shared" si="0"/>
        <v>250</v>
      </c>
      <c r="E6" s="4">
        <v>1</v>
      </c>
      <c r="F6" t="s">
        <v>539</v>
      </c>
      <c r="J6" s="4" t="str">
        <f>'NEW POOL'!A35</f>
        <v>24" RBB:</v>
      </c>
      <c r="K6" s="4">
        <f>'NEW POOL'!B35</f>
        <v>49</v>
      </c>
      <c r="L6" s="4">
        <f>K6*2</f>
        <v>98</v>
      </c>
    </row>
    <row r="7" spans="1:12">
      <c r="A7" s="110" t="s">
        <v>546</v>
      </c>
      <c r="B7" s="136">
        <v>250</v>
      </c>
      <c r="C7" s="119">
        <f>K13*'NEW POOL'!B49</f>
        <v>0</v>
      </c>
      <c r="D7" s="30">
        <f t="shared" si="0"/>
        <v>0</v>
      </c>
      <c r="E7" s="4" t="s">
        <v>534</v>
      </c>
      <c r="J7" s="4" t="str">
        <f>'NEW POOL'!A36</f>
        <v>30" RBB:</v>
      </c>
      <c r="K7" s="4">
        <f>'NEW POOL'!B36</f>
        <v>0</v>
      </c>
      <c r="L7" s="4">
        <f>K7*2.5</f>
        <v>0</v>
      </c>
    </row>
    <row r="8" spans="1:12">
      <c r="A8" s="110" t="s">
        <v>547</v>
      </c>
      <c r="B8" s="67">
        <v>500</v>
      </c>
      <c r="C8" s="119">
        <f>IF('NEW POOL'!E11=1,1,0)</f>
        <v>0</v>
      </c>
      <c r="D8" s="30">
        <f t="shared" si="0"/>
        <v>0</v>
      </c>
      <c r="J8" s="4" t="str">
        <f>'NEW POOL'!A37</f>
        <v>36" RBB:</v>
      </c>
      <c r="K8" s="4">
        <f>'NEW POOL'!B37</f>
        <v>0</v>
      </c>
      <c r="L8" s="4">
        <f>K8*3</f>
        <v>0</v>
      </c>
    </row>
    <row r="9" spans="1:12">
      <c r="A9" s="110" t="s">
        <v>548</v>
      </c>
      <c r="B9" s="67">
        <v>1000</v>
      </c>
      <c r="C9" s="119">
        <f>IF('NEW POOL'!E11=2,1,0)</f>
        <v>0</v>
      </c>
      <c r="D9" s="30">
        <f t="shared" si="0"/>
        <v>0</v>
      </c>
      <c r="J9" s="4"/>
      <c r="K9" s="4"/>
    </row>
    <row r="10" spans="1:12">
      <c r="A10" s="110" t="s">
        <v>486</v>
      </c>
      <c r="B10" s="67">
        <v>7</v>
      </c>
      <c r="C10" s="35">
        <f>'NEW POOL'!E10</f>
        <v>0</v>
      </c>
      <c r="D10" s="30">
        <f t="shared" si="0"/>
        <v>0</v>
      </c>
      <c r="F10" s="24">
        <f>B5+B15</f>
        <v>318</v>
      </c>
      <c r="J10" s="4"/>
      <c r="K10" s="4" t="s">
        <v>649</v>
      </c>
      <c r="L10" s="4">
        <f>SUM(L3:L9)</f>
        <v>121</v>
      </c>
    </row>
    <row r="11" spans="1:12" ht="15" thickBot="1">
      <c r="A11" s="106"/>
      <c r="B11" s="129"/>
      <c r="D11" s="1"/>
    </row>
    <row r="12" spans="1:12" s="4" customFormat="1" ht="15" thickBot="1">
      <c r="A12" t="s">
        <v>549</v>
      </c>
      <c r="B12"/>
      <c r="D12" s="143">
        <f>SUM(D4:D11)</f>
        <v>5110</v>
      </c>
      <c r="I12"/>
      <c r="J12" s="630" t="s">
        <v>706</v>
      </c>
      <c r="K12" s="607"/>
      <c r="L12" s="608"/>
    </row>
    <row r="13" spans="1:12" s="4" customFormat="1">
      <c r="A13" s="106"/>
      <c r="B13" s="3"/>
      <c r="I13"/>
      <c r="J13" s="4">
        <f>'NEW POOL'!E7+2</f>
        <v>20</v>
      </c>
      <c r="K13" s="4">
        <f>ROUNDUP((J13*7/22),0)</f>
        <v>7</v>
      </c>
      <c r="L13" s="24">
        <f>D7+D17</f>
        <v>0</v>
      </c>
    </row>
    <row r="14" spans="1:12">
      <c r="A14" s="627" t="s">
        <v>552</v>
      </c>
      <c r="B14" s="628"/>
      <c r="C14" s="628"/>
      <c r="D14" s="629"/>
    </row>
    <row r="15" spans="1:12">
      <c r="A15" s="110" t="s">
        <v>555</v>
      </c>
      <c r="B15" s="142">
        <v>228</v>
      </c>
      <c r="C15" s="119">
        <f>F2</f>
        <v>54</v>
      </c>
      <c r="D15" s="30">
        <f>B15*C15</f>
        <v>12312</v>
      </c>
    </row>
    <row r="16" spans="1:12">
      <c r="A16" s="110" t="s">
        <v>556</v>
      </c>
      <c r="B16" s="67">
        <v>125</v>
      </c>
      <c r="C16" s="35">
        <v>1</v>
      </c>
      <c r="D16" s="30">
        <f>B16*C16</f>
        <v>125</v>
      </c>
    </row>
    <row r="17" spans="1:4">
      <c r="A17" s="110" t="s">
        <v>546</v>
      </c>
      <c r="B17" s="136">
        <f>B15</f>
        <v>228</v>
      </c>
      <c r="C17" s="119">
        <f>C7</f>
        <v>0</v>
      </c>
      <c r="D17" s="30">
        <f>B17*C17</f>
        <v>0</v>
      </c>
    </row>
    <row r="18" spans="1:4">
      <c r="A18" s="110" t="s">
        <v>766</v>
      </c>
      <c r="B18" s="67">
        <v>25</v>
      </c>
      <c r="C18" s="119">
        <f>C15</f>
        <v>54</v>
      </c>
      <c r="D18" s="30">
        <f>B18*C18</f>
        <v>1350</v>
      </c>
    </row>
    <row r="19" spans="1:4">
      <c r="A19" s="110" t="s">
        <v>557</v>
      </c>
      <c r="B19" s="67">
        <v>150</v>
      </c>
      <c r="C19" s="119">
        <v>1</v>
      </c>
      <c r="D19" s="30">
        <v>125</v>
      </c>
    </row>
    <row r="20" spans="1:4">
      <c r="A20" s="110" t="s">
        <v>486</v>
      </c>
      <c r="B20" s="67">
        <v>7</v>
      </c>
      <c r="C20" s="35">
        <f>'NEW POOL'!E10</f>
        <v>0</v>
      </c>
      <c r="D20" s="30">
        <f>B20*C20</f>
        <v>0</v>
      </c>
    </row>
    <row r="21" spans="1:4">
      <c r="A21" s="298"/>
      <c r="B21" s="129"/>
      <c r="C21" s="117" t="s">
        <v>769</v>
      </c>
      <c r="D21" s="154">
        <f>SUM(D15:D20)</f>
        <v>13912</v>
      </c>
    </row>
    <row r="22" spans="1:4">
      <c r="A22" s="298" t="s">
        <v>767</v>
      </c>
      <c r="B22" s="299">
        <v>2.5000000000000001E-2</v>
      </c>
      <c r="D22" s="30">
        <f>D21*B22</f>
        <v>347.8</v>
      </c>
    </row>
    <row r="23" spans="1:4">
      <c r="A23" s="298" t="s">
        <v>768</v>
      </c>
      <c r="B23" s="299">
        <v>4.7500000000000001E-2</v>
      </c>
      <c r="D23" s="30">
        <f>D21*B23</f>
        <v>660.82</v>
      </c>
    </row>
    <row r="24" spans="1:4" ht="15" thickBot="1">
      <c r="A24" s="106"/>
      <c r="B24" s="129"/>
      <c r="D24" s="1"/>
    </row>
    <row r="25" spans="1:4" ht="15" thickBot="1">
      <c r="A25" t="s">
        <v>562</v>
      </c>
      <c r="D25" s="143">
        <f>D21+D22+D23</f>
        <v>14920.619999999999</v>
      </c>
    </row>
    <row r="26" spans="1:4" ht="15" thickBot="1"/>
    <row r="27" spans="1:4" ht="15" thickBot="1">
      <c r="A27" t="s">
        <v>558</v>
      </c>
      <c r="D27" s="143">
        <f>D12+D25</f>
        <v>20030.62</v>
      </c>
    </row>
  </sheetData>
  <mergeCells count="4">
    <mergeCell ref="A1:D1"/>
    <mergeCell ref="A3:D3"/>
    <mergeCell ref="A14:D14"/>
    <mergeCell ref="J12:L12"/>
  </mergeCells>
  <phoneticPr fontId="47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1112E-D882-44C7-95A8-CBE51F1172CF}">
  <sheetPr codeName="Sheet15"/>
  <dimension ref="A1:O58"/>
  <sheetViews>
    <sheetView topLeftCell="A12" zoomScaleNormal="100" workbookViewId="0">
      <selection activeCell="B57" sqref="B57"/>
    </sheetView>
  </sheetViews>
  <sheetFormatPr defaultRowHeight="14.4"/>
  <cols>
    <col min="1" max="1" width="28.44140625" customWidth="1"/>
    <col min="2" max="2" width="11.44140625" customWidth="1"/>
    <col min="3" max="3" width="10.109375" style="4" bestFit="1" customWidth="1"/>
    <col min="4" max="4" width="11.44140625" customWidth="1"/>
    <col min="5" max="5" width="8.5546875" style="4"/>
    <col min="6" max="6" width="10.109375" style="4" customWidth="1"/>
    <col min="7" max="7" width="8.5546875" style="4"/>
  </cols>
  <sheetData>
    <row r="1" spans="1:13" ht="18.600000000000001" thickBot="1">
      <c r="A1" s="631" t="s">
        <v>973</v>
      </c>
      <c r="B1" s="632"/>
      <c r="C1" s="632"/>
      <c r="D1" s="633"/>
    </row>
    <row r="2" spans="1:13">
      <c r="I2" s="4"/>
    </row>
    <row r="3" spans="1:13">
      <c r="A3" s="627" t="s">
        <v>582</v>
      </c>
      <c r="B3" s="628"/>
      <c r="C3" s="628"/>
      <c r="D3" s="629"/>
      <c r="G3" s="627" t="s">
        <v>660</v>
      </c>
      <c r="H3" s="628"/>
      <c r="I3" s="628"/>
      <c r="J3" s="629"/>
    </row>
    <row r="4" spans="1:13">
      <c r="A4" s="110" t="s">
        <v>578</v>
      </c>
      <c r="B4" s="142">
        <v>10</v>
      </c>
      <c r="C4" s="35">
        <f>'NEW POOL'!B7</f>
        <v>100</v>
      </c>
      <c r="D4" s="30">
        <f t="shared" ref="D4:D18" si="0">B4*C4</f>
        <v>1000</v>
      </c>
      <c r="G4" s="176" t="str">
        <f>'NEW POOL'!A32</f>
        <v>6" RBB:</v>
      </c>
      <c r="H4" s="35">
        <f>'NEW POOL'!B32</f>
        <v>46</v>
      </c>
      <c r="I4" s="35">
        <f>IF('NEW POOL'!C32=1,1,0)</f>
        <v>0</v>
      </c>
      <c r="J4" s="35">
        <f>H4*0.5*I4</f>
        <v>0</v>
      </c>
    </row>
    <row r="5" spans="1:13">
      <c r="A5" s="110" t="s">
        <v>919</v>
      </c>
      <c r="B5" s="67">
        <v>7</v>
      </c>
      <c r="C5" s="35">
        <f>$C$4*E5</f>
        <v>100</v>
      </c>
      <c r="D5" s="30">
        <f t="shared" si="0"/>
        <v>700</v>
      </c>
      <c r="E5" s="4">
        <f>IF('NEW POOL'!B81="INCLUDED",1,0)</f>
        <v>1</v>
      </c>
      <c r="F5" s="4" t="s">
        <v>539</v>
      </c>
      <c r="G5" s="176" t="str">
        <f>'NEW POOL'!A33</f>
        <v>12" RBB:</v>
      </c>
      <c r="H5" s="35">
        <f>'NEW POOL'!B33</f>
        <v>0</v>
      </c>
      <c r="I5" s="35">
        <f>IF('NEW POOL'!C33=1,1,0)</f>
        <v>0</v>
      </c>
      <c r="J5" s="35">
        <f>H5*2*I5</f>
        <v>0</v>
      </c>
    </row>
    <row r="6" spans="1:13">
      <c r="A6" s="110" t="s">
        <v>920</v>
      </c>
      <c r="B6" s="67">
        <v>20</v>
      </c>
      <c r="C6" s="35">
        <f>$C$4*'NEW POOL'!B82</f>
        <v>0</v>
      </c>
      <c r="D6" s="30">
        <f t="shared" si="0"/>
        <v>0</v>
      </c>
      <c r="F6" s="4" t="s">
        <v>539</v>
      </c>
      <c r="G6" s="176" t="str">
        <f>'NEW POOL'!A34</f>
        <v>18" RBB:</v>
      </c>
      <c r="H6" s="35">
        <f>'NEW POOL'!B34</f>
        <v>0</v>
      </c>
      <c r="I6" s="35">
        <f>IF('NEW POOL'!C34=1,1,0)</f>
        <v>0</v>
      </c>
      <c r="J6" s="35">
        <f>H6*3*I6</f>
        <v>0</v>
      </c>
    </row>
    <row r="7" spans="1:13">
      <c r="A7" s="110" t="s">
        <v>921</v>
      </c>
      <c r="B7" s="67">
        <v>50</v>
      </c>
      <c r="C7" s="35">
        <f>$C$4*'NEW POOL'!B83</f>
        <v>0</v>
      </c>
      <c r="D7" s="30">
        <f t="shared" si="0"/>
        <v>0</v>
      </c>
      <c r="G7" s="176" t="str">
        <f>'NEW POOL'!A35</f>
        <v>24" RBB:</v>
      </c>
      <c r="H7" s="35">
        <f>'NEW POOL'!B35</f>
        <v>49</v>
      </c>
      <c r="I7" s="35">
        <f>IF('NEW POOL'!C35=1,1,0)</f>
        <v>0</v>
      </c>
      <c r="J7" s="35">
        <f>H7*4*I7</f>
        <v>0</v>
      </c>
    </row>
    <row r="8" spans="1:13">
      <c r="A8" s="110" t="s">
        <v>579</v>
      </c>
      <c r="B8" s="136">
        <f t="shared" ref="B8:B15" si="1">B4</f>
        <v>10</v>
      </c>
      <c r="C8" s="35">
        <f>'NEW POOL'!B17</f>
        <v>28</v>
      </c>
      <c r="D8" s="137">
        <f t="shared" si="0"/>
        <v>280</v>
      </c>
      <c r="G8" s="176" t="str">
        <f>'NEW POOL'!A36</f>
        <v>30" RBB:</v>
      </c>
      <c r="H8" s="35">
        <f>'NEW POOL'!B36</f>
        <v>0</v>
      </c>
      <c r="I8" s="35">
        <f>IF('NEW POOL'!C36=1,1,0)</f>
        <v>0</v>
      </c>
      <c r="J8" s="35">
        <f>H92*I8</f>
        <v>0</v>
      </c>
    </row>
    <row r="9" spans="1:13">
      <c r="A9" s="110" t="s">
        <v>925</v>
      </c>
      <c r="B9" s="136">
        <f t="shared" si="1"/>
        <v>7</v>
      </c>
      <c r="C9" s="119">
        <f>$C$8*E9</f>
        <v>28</v>
      </c>
      <c r="D9" s="30">
        <f t="shared" si="0"/>
        <v>196</v>
      </c>
      <c r="E9" s="4">
        <f>E5</f>
        <v>1</v>
      </c>
      <c r="G9" s="176" t="str">
        <f>'NEW POOL'!A37</f>
        <v>36" RBB:</v>
      </c>
      <c r="H9" s="35">
        <f>'NEW POOL'!B37</f>
        <v>0</v>
      </c>
      <c r="I9" s="35">
        <f>IF('NEW POOL'!C37=1,1,0)</f>
        <v>0</v>
      </c>
      <c r="J9" s="35">
        <f>H9*6*I9</f>
        <v>0</v>
      </c>
    </row>
    <row r="10" spans="1:13">
      <c r="A10" s="110" t="s">
        <v>926</v>
      </c>
      <c r="B10" s="1">
        <f t="shared" si="1"/>
        <v>20</v>
      </c>
      <c r="C10" s="119">
        <f>$C$8*'NEW POOL'!B82</f>
        <v>0</v>
      </c>
      <c r="D10" s="30">
        <f t="shared" si="0"/>
        <v>0</v>
      </c>
      <c r="G10" s="176" t="s">
        <v>662</v>
      </c>
      <c r="H10" s="35">
        <f>H48</f>
        <v>0</v>
      </c>
      <c r="I10" s="35">
        <f>IF('NEW POOL'!C40=1,1,0)</f>
        <v>0</v>
      </c>
      <c r="J10" s="35">
        <f>H10*I10*((('NEW POOL'!$B$41*'NEW POOL'!$B$43*2)+('NEW POOL'!$B$42*'NEW POOL'!$B$43*2))*2)</f>
        <v>0</v>
      </c>
    </row>
    <row r="11" spans="1:13" s="4" customFormat="1">
      <c r="A11" s="110" t="s">
        <v>927</v>
      </c>
      <c r="B11" s="24">
        <f t="shared" si="1"/>
        <v>50</v>
      </c>
      <c r="C11" s="119">
        <f>$C$8*'NEW POOL'!B83</f>
        <v>0</v>
      </c>
      <c r="D11" s="30">
        <f t="shared" si="0"/>
        <v>0</v>
      </c>
      <c r="I11" s="4" t="s">
        <v>468</v>
      </c>
      <c r="J11" s="177">
        <f>SUM(J4:J10)</f>
        <v>0</v>
      </c>
      <c r="K11"/>
    </row>
    <row r="12" spans="1:13" s="4" customFormat="1">
      <c r="A12" s="28" t="s">
        <v>652</v>
      </c>
      <c r="B12" s="30">
        <f t="shared" si="1"/>
        <v>10</v>
      </c>
      <c r="C12" s="119">
        <f>J14+J11+'NEW POOL'!B77</f>
        <v>0</v>
      </c>
      <c r="D12" s="30">
        <f t="shared" si="0"/>
        <v>0</v>
      </c>
      <c r="H12"/>
      <c r="I12"/>
      <c r="M12" s="5">
        <f>'NEW POOL'!B82+'NEW POOL'!B83</f>
        <v>0</v>
      </c>
    </row>
    <row r="13" spans="1:13">
      <c r="A13" s="110" t="s">
        <v>929</v>
      </c>
      <c r="B13" s="136">
        <f t="shared" si="1"/>
        <v>7</v>
      </c>
      <c r="C13" s="119">
        <f>IF(M12=1,0,'TILE COPING'!C12)</f>
        <v>0</v>
      </c>
      <c r="D13" s="30">
        <f t="shared" si="0"/>
        <v>0</v>
      </c>
      <c r="E13" s="4">
        <f>E5</f>
        <v>1</v>
      </c>
      <c r="G13" s="627" t="s">
        <v>654</v>
      </c>
      <c r="H13" s="628"/>
      <c r="I13" s="628"/>
      <c r="J13" s="629"/>
      <c r="K13" s="4"/>
    </row>
    <row r="14" spans="1:13">
      <c r="A14" s="110" t="s">
        <v>928</v>
      </c>
      <c r="B14" s="1">
        <f t="shared" si="1"/>
        <v>20</v>
      </c>
      <c r="C14" s="119">
        <f>C12*'NEW POOL'!B82</f>
        <v>0</v>
      </c>
      <c r="D14" s="30">
        <f t="shared" si="0"/>
        <v>0</v>
      </c>
      <c r="G14" s="35" t="s">
        <v>655</v>
      </c>
      <c r="H14" s="35">
        <f>'NEW POOL'!$B$18</f>
        <v>1</v>
      </c>
      <c r="I14" s="35">
        <f>IF('NEW POOL'!B19=1,1,0)</f>
        <v>0</v>
      </c>
      <c r="J14" s="35">
        <f>ROUNDUP(((H14*I14*'NEW POOL'!$B$17*3)*1.1),0)</f>
        <v>0</v>
      </c>
      <c r="K14" t="s">
        <v>468</v>
      </c>
    </row>
    <row r="15" spans="1:13">
      <c r="A15" s="110" t="s">
        <v>930</v>
      </c>
      <c r="B15" s="24">
        <f t="shared" si="1"/>
        <v>50</v>
      </c>
      <c r="C15" s="119">
        <f>C12*'NEW POOL'!B83</f>
        <v>0</v>
      </c>
      <c r="D15" s="30">
        <f t="shared" si="0"/>
        <v>0</v>
      </c>
      <c r="G15" s="35" t="s">
        <v>656</v>
      </c>
      <c r="H15" s="35">
        <f>'NEW POOL'!$B$18</f>
        <v>1</v>
      </c>
      <c r="I15" s="35">
        <f>IF('NEW POOL'!B19=2,1,0)</f>
        <v>1</v>
      </c>
      <c r="J15" s="35">
        <f>ROUNDUP(((H15*I15*'NEW POOL'!$B$17*1.5)*1.1),0)</f>
        <v>47</v>
      </c>
      <c r="K15" t="s">
        <v>435</v>
      </c>
    </row>
    <row r="16" spans="1:13">
      <c r="A16" s="110" t="s">
        <v>580</v>
      </c>
      <c r="B16" s="67">
        <v>10</v>
      </c>
      <c r="C16" s="119">
        <f>('NEW POOL'!B11+('NEW POOL'!B17*0.8))*'NEW POOL'!B79</f>
        <v>0</v>
      </c>
      <c r="D16" s="30">
        <f t="shared" si="0"/>
        <v>0</v>
      </c>
      <c r="G16" s="35" t="s">
        <v>657</v>
      </c>
      <c r="H16" s="35">
        <f>'NEW POOL'!$B$18</f>
        <v>1</v>
      </c>
      <c r="I16" s="35">
        <f>IF('NEW POOL'!B19=3,1,0)</f>
        <v>0</v>
      </c>
      <c r="J16" s="35">
        <f>ROUNDUP(((H16*I16*'NEW POOL'!$B$17*1.5)*1.1),0)</f>
        <v>0</v>
      </c>
      <c r="K16" t="s">
        <v>435</v>
      </c>
    </row>
    <row r="17" spans="1:11">
      <c r="A17" s="110" t="s">
        <v>581</v>
      </c>
      <c r="B17" s="67">
        <v>4</v>
      </c>
      <c r="C17" s="119">
        <f>C16</f>
        <v>0</v>
      </c>
      <c r="D17" s="30">
        <f t="shared" si="0"/>
        <v>0</v>
      </c>
    </row>
    <row r="18" spans="1:11">
      <c r="A18" s="110" t="s">
        <v>486</v>
      </c>
      <c r="B18" s="67">
        <v>7</v>
      </c>
      <c r="C18" s="35">
        <f>'NEW POOL'!E10</f>
        <v>0</v>
      </c>
      <c r="D18" s="30">
        <f t="shared" si="0"/>
        <v>0</v>
      </c>
      <c r="F18" s="464" t="s">
        <v>1013</v>
      </c>
      <c r="J18" s="8" t="s">
        <v>1016</v>
      </c>
      <c r="K18" s="4">
        <f>REMODEL!B7</f>
        <v>80</v>
      </c>
    </row>
    <row r="19" spans="1:11" ht="15" thickBot="1">
      <c r="F19" s="638" t="s">
        <v>1014</v>
      </c>
      <c r="G19" s="638"/>
      <c r="H19" s="638"/>
      <c r="I19" s="465">
        <v>19.5</v>
      </c>
      <c r="J19" s="8" t="s">
        <v>4</v>
      </c>
      <c r="K19" s="4">
        <f>REMODEL!B17</f>
        <v>0</v>
      </c>
    </row>
    <row r="20" spans="1:11" ht="15" thickBot="1">
      <c r="A20" s="106" t="s">
        <v>583</v>
      </c>
      <c r="B20" s="3"/>
      <c r="D20" s="107">
        <f>SUM(D4:D19)</f>
        <v>2176</v>
      </c>
      <c r="F20" s="638" t="s">
        <v>1015</v>
      </c>
      <c r="G20" s="638"/>
      <c r="H20" s="638"/>
      <c r="I20" s="465">
        <v>50</v>
      </c>
      <c r="J20" s="8" t="s">
        <v>1015</v>
      </c>
      <c r="K20" s="5">
        <f>REMODEL!B37</f>
        <v>1</v>
      </c>
    </row>
    <row r="21" spans="1:11">
      <c r="F21" s="138" t="str">
        <f>A5</f>
        <v>Material - Level 1 - Pool:</v>
      </c>
      <c r="G21" s="35"/>
      <c r="H21" s="28"/>
      <c r="I21" s="30">
        <f>B5</f>
        <v>7</v>
      </c>
      <c r="J21" s="4">
        <f>IF(REMODEL!B39="INCLUDED",1,0)</f>
        <v>1</v>
      </c>
    </row>
    <row r="22" spans="1:11">
      <c r="A22" s="420" t="s">
        <v>594</v>
      </c>
      <c r="B22" s="421"/>
      <c r="C22" s="421"/>
      <c r="D22" s="422"/>
      <c r="F22" s="138" t="str">
        <f>A6</f>
        <v>Material - Level 2 - Pool:</v>
      </c>
      <c r="G22" s="35"/>
      <c r="H22" s="28"/>
      <c r="I22" s="30">
        <f t="shared" ref="I22:I23" si="2">B6</f>
        <v>20</v>
      </c>
      <c r="J22" s="5">
        <f>REMODEL!B40</f>
        <v>0</v>
      </c>
    </row>
    <row r="23" spans="1:11">
      <c r="A23" s="110" t="s">
        <v>585</v>
      </c>
      <c r="B23" s="142">
        <v>12</v>
      </c>
      <c r="C23" s="119">
        <f>ROUNDUP((('NEW POOL'!$B$7*1.1)+('NEW POOL'!$B$17*2.15)),0)*'NEW POOL'!B87</f>
        <v>0</v>
      </c>
      <c r="D23" s="30">
        <f t="shared" ref="D23:D29" si="3">B23*C23</f>
        <v>0</v>
      </c>
      <c r="E23" s="4" t="s">
        <v>468</v>
      </c>
      <c r="F23" s="138" t="str">
        <f>A7</f>
        <v>Material - Level 3 - Pool:</v>
      </c>
      <c r="G23" s="35"/>
      <c r="H23" s="28"/>
      <c r="I23" s="30">
        <f t="shared" si="2"/>
        <v>50</v>
      </c>
      <c r="J23" s="5">
        <f>REMODEL!B41</f>
        <v>0</v>
      </c>
    </row>
    <row r="24" spans="1:11">
      <c r="A24" s="110" t="s">
        <v>593</v>
      </c>
      <c r="B24" s="142">
        <v>8</v>
      </c>
      <c r="C24" s="119">
        <f>'NEW POOL'!E9*1.05*'NEW POOL'!B88</f>
        <v>0</v>
      </c>
      <c r="D24" s="30">
        <f t="shared" si="3"/>
        <v>0</v>
      </c>
      <c r="E24" s="4" t="s">
        <v>435</v>
      </c>
      <c r="F24" s="466" t="s">
        <v>1022</v>
      </c>
      <c r="G24" s="462"/>
      <c r="H24" s="467"/>
      <c r="I24" s="468">
        <v>7.5</v>
      </c>
    </row>
    <row r="25" spans="1:11">
      <c r="A25" s="110" t="s">
        <v>601</v>
      </c>
      <c r="B25" s="136">
        <f>B23</f>
        <v>12</v>
      </c>
      <c r="C25" s="119">
        <f>ROUNDUP((('NEW POOL'!$B$7*1.1)+('NEW POOL'!$B$17*2.15)),0)*('NEW POOL'!B90+'NEW POOL'!B93)</f>
        <v>171</v>
      </c>
      <c r="D25" s="30">
        <f t="shared" si="3"/>
        <v>2052</v>
      </c>
      <c r="E25" s="4" t="s">
        <v>468</v>
      </c>
      <c r="F25" s="466" t="s">
        <v>1024</v>
      </c>
      <c r="G25" s="462"/>
      <c r="H25" s="467"/>
      <c r="I25" s="468">
        <v>22</v>
      </c>
    </row>
    <row r="26" spans="1:11">
      <c r="A26" s="110" t="s">
        <v>602</v>
      </c>
      <c r="B26" s="136">
        <f>B24</f>
        <v>8</v>
      </c>
      <c r="C26" s="119">
        <f>'NEW POOL'!E9*1.05*('NEW POOL'!B91+'NEW POOL'!B94)</f>
        <v>0</v>
      </c>
      <c r="D26" s="30">
        <f t="shared" si="3"/>
        <v>0</v>
      </c>
      <c r="E26" s="4" t="s">
        <v>435</v>
      </c>
      <c r="F26" s="4" t="s">
        <v>1019</v>
      </c>
      <c r="G26" s="4">
        <f>DEMO!D6</f>
        <v>0</v>
      </c>
    </row>
    <row r="27" spans="1:11">
      <c r="A27" s="110" t="s">
        <v>806</v>
      </c>
      <c r="B27" s="142">
        <v>15</v>
      </c>
      <c r="C27" s="119">
        <f>ROUNDUP((('NEW POOL'!$B$7*1.1)+('NEW POOL'!$B$17*2.15)),0)*'NEW POOL'!B85</f>
        <v>0</v>
      </c>
      <c r="D27" s="30">
        <f t="shared" si="3"/>
        <v>0</v>
      </c>
      <c r="F27" s="4" t="s">
        <v>589</v>
      </c>
      <c r="G27" s="4">
        <f>REMODEL!E9</f>
        <v>0</v>
      </c>
    </row>
    <row r="28" spans="1:11">
      <c r="A28" s="110" t="s">
        <v>789</v>
      </c>
      <c r="B28" s="67">
        <v>16.5</v>
      </c>
      <c r="C28" s="119">
        <f>('NEW POOL'!B7*'NEW POOL'!B96)*'NEW POOL'!B96</f>
        <v>0</v>
      </c>
      <c r="D28" s="30">
        <f t="shared" si="3"/>
        <v>0</v>
      </c>
      <c r="E28" s="4" t="s">
        <v>435</v>
      </c>
    </row>
    <row r="29" spans="1:11">
      <c r="A29" s="110" t="s">
        <v>790</v>
      </c>
      <c r="B29" s="67">
        <v>600</v>
      </c>
      <c r="C29" s="119">
        <f>IF(('NEW POOL'!B96+'NEW POOL'!B97)&gt;0,1,0)</f>
        <v>1</v>
      </c>
      <c r="D29" s="30">
        <f t="shared" si="3"/>
        <v>600</v>
      </c>
    </row>
    <row r="30" spans="1:11" ht="15" thickBot="1">
      <c r="A30" s="110" t="s">
        <v>1060</v>
      </c>
      <c r="B30" s="67">
        <v>27</v>
      </c>
      <c r="C30" s="119">
        <f>'NEW POOL'!B98</f>
        <v>0</v>
      </c>
      <c r="D30" s="137">
        <f>B30*C30</f>
        <v>0</v>
      </c>
      <c r="F30" s="51" t="s">
        <v>1131</v>
      </c>
    </row>
    <row r="31" spans="1:11" ht="15" thickBot="1">
      <c r="A31" s="106" t="s">
        <v>560</v>
      </c>
      <c r="B31" s="129"/>
      <c r="C31" s="5"/>
      <c r="D31" s="143">
        <f>SUM(D23:D30)</f>
        <v>2652</v>
      </c>
      <c r="F31" s="51" t="s">
        <v>1131</v>
      </c>
    </row>
    <row r="32" spans="1:11">
      <c r="A32" s="106"/>
      <c r="B32" s="129"/>
      <c r="C32" s="5"/>
      <c r="D32" s="1"/>
      <c r="F32" s="51" t="s">
        <v>1132</v>
      </c>
      <c r="I32" s="4"/>
      <c r="J32" s="4"/>
    </row>
    <row r="33" spans="1:15">
      <c r="A33" s="420" t="s">
        <v>595</v>
      </c>
      <c r="B33" s="421"/>
      <c r="C33" s="421"/>
      <c r="D33" s="422"/>
      <c r="F33" s="51" t="s">
        <v>1132</v>
      </c>
      <c r="I33" s="4"/>
      <c r="J33" s="4"/>
    </row>
    <row r="34" spans="1:15">
      <c r="A34" s="110" t="s">
        <v>603</v>
      </c>
      <c r="B34" s="142">
        <v>9</v>
      </c>
      <c r="C34" s="119">
        <f>C23</f>
        <v>0</v>
      </c>
      <c r="D34" s="30">
        <f t="shared" ref="D34:D42" si="4">B34*C34</f>
        <v>0</v>
      </c>
      <c r="E34" s="4" t="s">
        <v>468</v>
      </c>
      <c r="F34" s="370">
        <f>1000+120</f>
        <v>1120</v>
      </c>
      <c r="G34" s="4">
        <v>90</v>
      </c>
      <c r="I34" s="4" t="s">
        <v>3</v>
      </c>
      <c r="J34" s="4" t="s">
        <v>815</v>
      </c>
    </row>
    <row r="35" spans="1:15">
      <c r="A35" s="110" t="s">
        <v>604</v>
      </c>
      <c r="B35" s="142">
        <v>7</v>
      </c>
      <c r="C35" s="119">
        <f>C24</f>
        <v>0</v>
      </c>
      <c r="D35" s="30">
        <f t="shared" si="4"/>
        <v>0</v>
      </c>
      <c r="E35" s="4" t="s">
        <v>435</v>
      </c>
      <c r="G35" s="8" t="s">
        <v>814</v>
      </c>
      <c r="H35" s="5">
        <f>'NEW POOL'!B97</f>
        <v>1</v>
      </c>
      <c r="I35" s="4">
        <f>(H35*'NEW POOL'!B7*4)*1.1</f>
        <v>440.00000000000006</v>
      </c>
      <c r="J35" s="4">
        <f>'NEW POOL'!E9-'TILE COPING'!I35</f>
        <v>-14.000000000000057</v>
      </c>
    </row>
    <row r="36" spans="1:15">
      <c r="A36" s="110" t="s">
        <v>822</v>
      </c>
      <c r="B36" s="67">
        <v>11</v>
      </c>
      <c r="C36" s="119">
        <f>IF('NEW POOL'!B90=1,C25,0)</f>
        <v>171</v>
      </c>
      <c r="D36" s="30">
        <f t="shared" si="4"/>
        <v>1881</v>
      </c>
      <c r="E36" s="4" t="s">
        <v>468</v>
      </c>
    </row>
    <row r="37" spans="1:15">
      <c r="A37" s="110" t="s">
        <v>823</v>
      </c>
      <c r="B37" s="67">
        <v>7.5</v>
      </c>
      <c r="C37" s="119">
        <f>IF('NEW POOL'!B91=1,C26,0)</f>
        <v>0</v>
      </c>
      <c r="D37" s="30">
        <f t="shared" si="4"/>
        <v>0</v>
      </c>
      <c r="E37" s="4" t="s">
        <v>435</v>
      </c>
    </row>
    <row r="38" spans="1:15">
      <c r="A38" s="110" t="s">
        <v>824</v>
      </c>
      <c r="B38" s="142">
        <v>12</v>
      </c>
      <c r="C38" s="119">
        <f>IF('NEW POOL'!B93=1,C25,0)</f>
        <v>0</v>
      </c>
      <c r="D38" s="30">
        <f>B38*C38</f>
        <v>0</v>
      </c>
      <c r="E38" s="4" t="s">
        <v>468</v>
      </c>
    </row>
    <row r="39" spans="1:15">
      <c r="A39" s="110" t="s">
        <v>825</v>
      </c>
      <c r="B39" s="142">
        <v>9.75</v>
      </c>
      <c r="C39" s="119">
        <f>IF('NEW POOL'!B94=1,C26,0)</f>
        <v>0</v>
      </c>
      <c r="D39" s="30">
        <f>B39*C39</f>
        <v>0</v>
      </c>
      <c r="E39" s="4" t="s">
        <v>435</v>
      </c>
    </row>
    <row r="40" spans="1:15">
      <c r="A40" s="110" t="s">
        <v>819</v>
      </c>
      <c r="B40" s="67">
        <v>25</v>
      </c>
      <c r="C40" s="119">
        <f>'NEW POOL'!B85*'NEW POOL'!B7</f>
        <v>0</v>
      </c>
      <c r="D40" s="30">
        <f t="shared" si="4"/>
        <v>0</v>
      </c>
      <c r="E40" s="4" t="s">
        <v>468</v>
      </c>
    </row>
    <row r="41" spans="1:15">
      <c r="A41" s="110" t="s">
        <v>812</v>
      </c>
      <c r="B41" s="67">
        <v>7</v>
      </c>
      <c r="C41" s="119">
        <f>CEILING(I35,10)</f>
        <v>440</v>
      </c>
      <c r="D41" s="30">
        <f t="shared" si="4"/>
        <v>3080</v>
      </c>
      <c r="E41" s="4" t="s">
        <v>435</v>
      </c>
      <c r="G41" s="627" t="s">
        <v>661</v>
      </c>
      <c r="H41" s="628"/>
      <c r="I41" s="628"/>
      <c r="J41" s="629"/>
      <c r="L41" s="627" t="s">
        <v>722</v>
      </c>
      <c r="M41" s="628"/>
      <c r="N41" s="628"/>
      <c r="O41" s="629"/>
    </row>
    <row r="42" spans="1:15">
      <c r="A42" s="110" t="s">
        <v>813</v>
      </c>
      <c r="B42" s="67">
        <v>7</v>
      </c>
      <c r="C42" s="119">
        <f>IF('NEW POOL'!B97&gt;0,CEILING(J35,10),0)</f>
        <v>-10</v>
      </c>
      <c r="D42" s="30">
        <f t="shared" si="4"/>
        <v>-70</v>
      </c>
      <c r="E42" s="4" t="s">
        <v>435</v>
      </c>
      <c r="G42" s="176" t="str">
        <f>'NEW POOL'!A32</f>
        <v>6" RBB:</v>
      </c>
      <c r="H42" s="35">
        <f>'NEW POOL'!B32</f>
        <v>46</v>
      </c>
      <c r="I42" s="35">
        <f>IF('NEW POOL'!C32=2,1,0)</f>
        <v>1</v>
      </c>
      <c r="J42" s="35">
        <f>H42*0.5*I42</f>
        <v>23</v>
      </c>
      <c r="L42" s="176" t="str">
        <f t="shared" ref="L42:M47" si="5">G42</f>
        <v>6" RBB:</v>
      </c>
      <c r="M42" s="35">
        <f t="shared" si="5"/>
        <v>46</v>
      </c>
      <c r="N42" s="35">
        <f>IF('NEW POOL'!C32=3,1,0)</f>
        <v>0</v>
      </c>
      <c r="O42" s="35">
        <f>M42*0.5*N42</f>
        <v>0</v>
      </c>
    </row>
    <row r="43" spans="1:15">
      <c r="A43" s="110" t="s">
        <v>820</v>
      </c>
      <c r="B43" s="67">
        <v>7</v>
      </c>
      <c r="C43" s="119">
        <f>(('NEW POOL'!B21+'NEW POOL'!B22+'NEW POOL'!B23)*'NEW POOL'!B7*1.25)</f>
        <v>0</v>
      </c>
      <c r="D43" s="30">
        <f>B43*C43</f>
        <v>0</v>
      </c>
      <c r="E43" s="4" t="s">
        <v>435</v>
      </c>
      <c r="G43" s="176" t="str">
        <f>'NEW POOL'!A33</f>
        <v>12" RBB:</v>
      </c>
      <c r="H43" s="35">
        <f>'NEW POOL'!B33</f>
        <v>0</v>
      </c>
      <c r="I43" s="35">
        <f>IF('NEW POOL'!C33=2,1,0)</f>
        <v>0</v>
      </c>
      <c r="J43" s="35">
        <f>H43*1*I43</f>
        <v>0</v>
      </c>
      <c r="L43" s="176" t="str">
        <f t="shared" si="5"/>
        <v>12" RBB:</v>
      </c>
      <c r="M43" s="35">
        <f t="shared" si="5"/>
        <v>0</v>
      </c>
      <c r="N43" s="35">
        <f>IF('NEW POOL'!C33=3,1,0)</f>
        <v>0</v>
      </c>
      <c r="O43" s="35">
        <f>M43*1*N43</f>
        <v>0</v>
      </c>
    </row>
    <row r="44" spans="1:15" ht="15" thickBot="1">
      <c r="A44" s="106"/>
      <c r="B44" s="129"/>
      <c r="C44" s="5"/>
      <c r="D44" s="1"/>
      <c r="G44" s="176" t="str">
        <f>'NEW POOL'!A34</f>
        <v>18" RBB:</v>
      </c>
      <c r="H44" s="35">
        <f>'NEW POOL'!B34</f>
        <v>0</v>
      </c>
      <c r="I44" s="35">
        <f>IF('NEW POOL'!C34=2,1,0)</f>
        <v>0</v>
      </c>
      <c r="J44" s="35">
        <f>H44*1.5*I44</f>
        <v>0</v>
      </c>
      <c r="L44" s="176" t="str">
        <f t="shared" si="5"/>
        <v>18" RBB:</v>
      </c>
      <c r="M44" s="35">
        <f t="shared" si="5"/>
        <v>0</v>
      </c>
      <c r="N44" s="35">
        <f>IF('NEW POOL'!C34=3,1,0)</f>
        <v>0</v>
      </c>
      <c r="O44" s="35">
        <f>M44*1.5*N44</f>
        <v>0</v>
      </c>
    </row>
    <row r="45" spans="1:15" ht="15" thickBot="1">
      <c r="A45" s="106" t="s">
        <v>615</v>
      </c>
      <c r="B45" s="129"/>
      <c r="C45" s="5"/>
      <c r="D45" s="143">
        <f>SUM(D34:D44)</f>
        <v>4891</v>
      </c>
      <c r="G45" s="176" t="str">
        <f>'NEW POOL'!A35</f>
        <v>24" RBB:</v>
      </c>
      <c r="H45" s="35">
        <f>'NEW POOL'!B35</f>
        <v>49</v>
      </c>
      <c r="I45" s="35">
        <f>IF('NEW POOL'!C35=2,1,0)</f>
        <v>1</v>
      </c>
      <c r="J45" s="35">
        <f>H45*2*I45</f>
        <v>98</v>
      </c>
      <c r="L45" s="176" t="str">
        <f t="shared" si="5"/>
        <v>24" RBB:</v>
      </c>
      <c r="M45" s="35">
        <f t="shared" si="5"/>
        <v>49</v>
      </c>
      <c r="N45" s="35">
        <f>IF('NEW POOL'!C35=3,1,0)</f>
        <v>0</v>
      </c>
      <c r="O45" s="35">
        <f>M45*2*N45</f>
        <v>0</v>
      </c>
    </row>
    <row r="46" spans="1:15">
      <c r="G46" s="176" t="str">
        <f>'NEW POOL'!A36</f>
        <v>30" RBB:</v>
      </c>
      <c r="H46" s="35">
        <f>'NEW POOL'!B36</f>
        <v>0</v>
      </c>
      <c r="I46" s="35">
        <f>IF('NEW POOL'!C36=2,1,0)</f>
        <v>0</v>
      </c>
      <c r="J46" s="35">
        <f>H46*2.5*I46</f>
        <v>0</v>
      </c>
      <c r="L46" s="176" t="str">
        <f t="shared" si="5"/>
        <v>30" RBB:</v>
      </c>
      <c r="M46" s="35">
        <f t="shared" si="5"/>
        <v>0</v>
      </c>
      <c r="N46" s="35">
        <f>IF('NEW POOL'!C36=3,1,0)</f>
        <v>0</v>
      </c>
      <c r="O46" s="35">
        <f>M46*2.5*N46</f>
        <v>0</v>
      </c>
    </row>
    <row r="47" spans="1:15">
      <c r="A47" s="420" t="s">
        <v>608</v>
      </c>
      <c r="B47" s="421"/>
      <c r="C47" s="421"/>
      <c r="D47" s="422"/>
      <c r="G47" s="176" t="str">
        <f>'NEW POOL'!A37</f>
        <v>36" RBB:</v>
      </c>
      <c r="H47" s="35">
        <f>'NEW POOL'!B37</f>
        <v>0</v>
      </c>
      <c r="I47" s="35">
        <f>IF('NEW POOL'!C37=2,1,0)</f>
        <v>0</v>
      </c>
      <c r="J47" s="35">
        <f>H47*3*I47</f>
        <v>0</v>
      </c>
      <c r="L47" s="176" t="str">
        <f t="shared" si="5"/>
        <v>36" RBB:</v>
      </c>
      <c r="M47" s="35">
        <f t="shared" si="5"/>
        <v>0</v>
      </c>
      <c r="N47" s="35">
        <f>IF('NEW POOL'!C37=3,1,0)</f>
        <v>0</v>
      </c>
      <c r="O47" s="35">
        <f>M47*3*N47</f>
        <v>0</v>
      </c>
    </row>
    <row r="48" spans="1:15">
      <c r="A48" s="110" t="s">
        <v>609</v>
      </c>
      <c r="B48" s="142">
        <v>12.5</v>
      </c>
      <c r="C48" s="35">
        <f>ROUNDUP((J49+J15),0)</f>
        <v>168</v>
      </c>
      <c r="D48" s="30">
        <f>B48*C48</f>
        <v>2100</v>
      </c>
      <c r="E48" s="4" t="s">
        <v>435</v>
      </c>
      <c r="G48" s="176" t="s">
        <v>662</v>
      </c>
      <c r="H48" s="35">
        <f>'NEW POOL'!B40</f>
        <v>0</v>
      </c>
      <c r="I48" s="35">
        <f>IF('NEW POOL'!C40=2,1,0)</f>
        <v>0</v>
      </c>
      <c r="J48" s="35">
        <f>H48*I48*(('NEW POOL'!$B$41*'NEW POOL'!$B$43*2)+('NEW POOL'!$B$42*'NEW POOL'!$B$43*2))</f>
        <v>0</v>
      </c>
      <c r="L48" s="176" t="s">
        <v>662</v>
      </c>
      <c r="M48" s="35">
        <f>H48</f>
        <v>0</v>
      </c>
      <c r="N48" s="35">
        <f>IF('NEW POOL'!C40=3,1,)</f>
        <v>0</v>
      </c>
      <c r="O48" s="35">
        <f>M48*N48*(('NEW POOL'!$B$41*'NEW POOL'!$B$43*2)+('NEW POOL'!$B$42*'NEW POOL'!$B$43*2))</f>
        <v>0</v>
      </c>
    </row>
    <row r="49" spans="1:15">
      <c r="A49" s="110" t="s">
        <v>610</v>
      </c>
      <c r="B49" s="67">
        <v>16</v>
      </c>
      <c r="C49" s="35">
        <f>ROUNDUP((J16+O49),0)</f>
        <v>0</v>
      </c>
      <c r="D49" s="30">
        <f>B49*C49</f>
        <v>0</v>
      </c>
      <c r="E49" s="4" t="s">
        <v>435</v>
      </c>
      <c r="I49" s="4" t="s">
        <v>435</v>
      </c>
      <c r="J49" s="177">
        <f>SUM(J42:J48)</f>
        <v>121</v>
      </c>
      <c r="N49" s="4" t="s">
        <v>435</v>
      </c>
      <c r="O49" s="177">
        <f>SUM(O42:O48)</f>
        <v>0</v>
      </c>
    </row>
    <row r="50" spans="1:15">
      <c r="A50" s="110" t="s">
        <v>1088</v>
      </c>
      <c r="B50" s="141">
        <v>8</v>
      </c>
      <c r="C50" s="119">
        <f>'NEW POOL'!B167</f>
        <v>28</v>
      </c>
      <c r="D50" s="30">
        <f>B50*C50</f>
        <v>224</v>
      </c>
      <c r="E50" s="51" t="s">
        <v>1072</v>
      </c>
    </row>
    <row r="51" spans="1:15" ht="15" thickBot="1">
      <c r="A51" s="110" t="s">
        <v>808</v>
      </c>
      <c r="B51" s="67">
        <v>150</v>
      </c>
      <c r="C51" s="35">
        <f>'NEW POOL'!B18</f>
        <v>1</v>
      </c>
      <c r="D51" s="30">
        <f>B51*C51</f>
        <v>150</v>
      </c>
      <c r="E51" s="51"/>
    </row>
    <row r="52" spans="1:15" ht="15" thickBot="1">
      <c r="A52" s="106" t="s">
        <v>560</v>
      </c>
      <c r="B52" s="129"/>
      <c r="C52" s="5"/>
      <c r="D52" s="143">
        <f>SUM(D46:D51)</f>
        <v>2474</v>
      </c>
      <c r="E52" s="51"/>
    </row>
    <row r="53" spans="1:15">
      <c r="A53" s="106"/>
      <c r="B53" s="129"/>
      <c r="C53" s="5"/>
      <c r="D53" s="1"/>
      <c r="E53" s="51"/>
    </row>
    <row r="54" spans="1:15">
      <c r="A54" s="110" t="s">
        <v>612</v>
      </c>
      <c r="B54" s="142">
        <v>13</v>
      </c>
      <c r="C54" s="35">
        <f>C48*1.15</f>
        <v>193.2</v>
      </c>
      <c r="D54" s="30">
        <f>B54*C54</f>
        <v>2511.6</v>
      </c>
      <c r="E54" s="4" t="s">
        <v>435</v>
      </c>
    </row>
    <row r="55" spans="1:15">
      <c r="A55" s="110" t="s">
        <v>613</v>
      </c>
      <c r="B55" s="67">
        <v>27</v>
      </c>
      <c r="C55" s="35">
        <f>C49*1.15</f>
        <v>0</v>
      </c>
      <c r="D55" s="30">
        <f>B55*C55</f>
        <v>0</v>
      </c>
      <c r="E55" s="4" t="s">
        <v>435</v>
      </c>
    </row>
    <row r="56" spans="1:15">
      <c r="A56" s="110" t="s">
        <v>614</v>
      </c>
      <c r="B56" s="67">
        <v>0</v>
      </c>
      <c r="C56" s="119">
        <f>C50*1.05</f>
        <v>29.400000000000002</v>
      </c>
      <c r="D56" s="30">
        <f>B56*C56</f>
        <v>0</v>
      </c>
      <c r="E56" s="51" t="s">
        <v>1072</v>
      </c>
    </row>
    <row r="57" spans="1:15" ht="15" thickBot="1">
      <c r="A57" s="110" t="s">
        <v>809</v>
      </c>
      <c r="B57" s="67">
        <v>150</v>
      </c>
      <c r="C57" s="119">
        <f>C51</f>
        <v>1</v>
      </c>
      <c r="D57" s="30">
        <f>B57*C57</f>
        <v>150</v>
      </c>
    </row>
    <row r="58" spans="1:15" ht="15" thickBot="1">
      <c r="A58" s="106" t="s">
        <v>615</v>
      </c>
      <c r="B58" s="129"/>
      <c r="C58" s="5"/>
      <c r="D58" s="143">
        <f>SUM(D54:D57)</f>
        <v>2661.6</v>
      </c>
    </row>
  </sheetData>
  <mergeCells count="8">
    <mergeCell ref="G3:J3"/>
    <mergeCell ref="G41:J41"/>
    <mergeCell ref="L41:O41"/>
    <mergeCell ref="G13:J13"/>
    <mergeCell ref="A1:D1"/>
    <mergeCell ref="A3:D3"/>
    <mergeCell ref="F19:H19"/>
    <mergeCell ref="F20:H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4B67-9C92-4D7F-81FF-9DF09AF238DE}">
  <dimension ref="A1:F18"/>
  <sheetViews>
    <sheetView topLeftCell="A3" workbookViewId="0">
      <selection activeCell="J15" sqref="J15"/>
    </sheetView>
  </sheetViews>
  <sheetFormatPr defaultRowHeight="14.4"/>
  <cols>
    <col min="1" max="1" width="37.5546875" customWidth="1"/>
    <col min="2" max="2" width="10.5546875" style="4" customWidth="1"/>
    <col min="4" max="4" width="10.88671875" customWidth="1"/>
    <col min="5" max="5" width="8.88671875" style="4"/>
  </cols>
  <sheetData>
    <row r="1" spans="1:6" ht="18.600000000000001" thickBot="1">
      <c r="A1" s="631" t="s">
        <v>1043</v>
      </c>
      <c r="B1" s="632"/>
      <c r="C1" s="632"/>
      <c r="D1" s="633"/>
    </row>
    <row r="2" spans="1:6" ht="15" thickBot="1"/>
    <row r="3" spans="1:6" ht="15" thickBot="1">
      <c r="A3" s="639" t="s">
        <v>1038</v>
      </c>
      <c r="B3" s="640"/>
      <c r="C3" s="640"/>
      <c r="D3" s="641"/>
    </row>
    <row r="4" spans="1:6">
      <c r="A4" s="117"/>
      <c r="B4" s="117" t="s">
        <v>1054</v>
      </c>
      <c r="C4" s="117" t="s">
        <v>1055</v>
      </c>
      <c r="D4" s="117" t="s">
        <v>1056</v>
      </c>
      <c r="E4" s="117" t="s">
        <v>468</v>
      </c>
      <c r="F4" s="117" t="s">
        <v>337</v>
      </c>
    </row>
    <row r="5" spans="1:6">
      <c r="A5" t="s">
        <v>1052</v>
      </c>
      <c r="B5" s="4">
        <v>0</v>
      </c>
      <c r="C5">
        <v>0</v>
      </c>
      <c r="D5">
        <v>0</v>
      </c>
      <c r="E5" s="4">
        <v>0</v>
      </c>
      <c r="F5">
        <v>0</v>
      </c>
    </row>
    <row r="6" spans="1:6">
      <c r="A6" t="s">
        <v>1039</v>
      </c>
      <c r="B6" s="478">
        <v>2</v>
      </c>
      <c r="C6" s="477">
        <v>50</v>
      </c>
      <c r="D6" s="60">
        <f>B6*C6</f>
        <v>100</v>
      </c>
      <c r="E6" s="5">
        <f>'NEW POOL'!B171</f>
        <v>0</v>
      </c>
      <c r="F6" s="60">
        <f>D6*E6</f>
        <v>0</v>
      </c>
    </row>
    <row r="7" spans="1:6">
      <c r="A7" t="s">
        <v>1040</v>
      </c>
      <c r="B7" s="478">
        <v>3</v>
      </c>
      <c r="C7" s="60">
        <f>C6</f>
        <v>50</v>
      </c>
      <c r="D7" s="60">
        <f t="shared" ref="D7:D17" si="0">B7*C7</f>
        <v>150</v>
      </c>
      <c r="E7" s="5">
        <f>E6</f>
        <v>0</v>
      </c>
      <c r="F7" s="60">
        <f t="shared" ref="F7:F17" si="1">D7*E7</f>
        <v>0</v>
      </c>
    </row>
    <row r="8" spans="1:6">
      <c r="A8" t="s">
        <v>1041</v>
      </c>
      <c r="B8" s="478">
        <v>4</v>
      </c>
      <c r="C8" s="60">
        <f>C7</f>
        <v>50</v>
      </c>
      <c r="D8" s="60">
        <f t="shared" si="0"/>
        <v>200</v>
      </c>
      <c r="E8" s="5">
        <f t="shared" ref="E8:E17" si="2">E7</f>
        <v>0</v>
      </c>
      <c r="F8" s="60">
        <f t="shared" si="1"/>
        <v>0</v>
      </c>
    </row>
    <row r="9" spans="1:6">
      <c r="A9" t="s">
        <v>1042</v>
      </c>
      <c r="B9" s="478">
        <v>5</v>
      </c>
      <c r="C9" s="60">
        <f>C8</f>
        <v>50</v>
      </c>
      <c r="D9" s="60">
        <f t="shared" si="0"/>
        <v>250</v>
      </c>
      <c r="E9" s="5">
        <f t="shared" si="2"/>
        <v>0</v>
      </c>
      <c r="F9" s="60">
        <f t="shared" si="1"/>
        <v>0</v>
      </c>
    </row>
    <row r="10" spans="1:6">
      <c r="A10" t="s">
        <v>1044</v>
      </c>
      <c r="B10" s="4">
        <f t="shared" ref="B10:B17" si="3">B6</f>
        <v>2</v>
      </c>
      <c r="C10" s="477">
        <v>65</v>
      </c>
      <c r="D10" s="60">
        <f t="shared" si="0"/>
        <v>130</v>
      </c>
      <c r="E10" s="5">
        <f t="shared" si="2"/>
        <v>0</v>
      </c>
      <c r="F10" s="60">
        <f t="shared" si="1"/>
        <v>0</v>
      </c>
    </row>
    <row r="11" spans="1:6">
      <c r="A11" t="s">
        <v>1045</v>
      </c>
      <c r="B11" s="4">
        <f t="shared" si="3"/>
        <v>3</v>
      </c>
      <c r="C11" s="60">
        <f>C10</f>
        <v>65</v>
      </c>
      <c r="D11" s="60">
        <f t="shared" si="0"/>
        <v>195</v>
      </c>
      <c r="E11" s="5">
        <f t="shared" si="2"/>
        <v>0</v>
      </c>
      <c r="F11" s="60">
        <f t="shared" si="1"/>
        <v>0</v>
      </c>
    </row>
    <row r="12" spans="1:6">
      <c r="A12" t="s">
        <v>1046</v>
      </c>
      <c r="B12" s="4">
        <f t="shared" si="3"/>
        <v>4</v>
      </c>
      <c r="C12" s="60">
        <f>C11</f>
        <v>65</v>
      </c>
      <c r="D12" s="60">
        <f t="shared" si="0"/>
        <v>260</v>
      </c>
      <c r="E12" s="5">
        <f t="shared" si="2"/>
        <v>0</v>
      </c>
      <c r="F12" s="60">
        <f t="shared" si="1"/>
        <v>0</v>
      </c>
    </row>
    <row r="13" spans="1:6">
      <c r="A13" t="s">
        <v>1047</v>
      </c>
      <c r="B13" s="4">
        <f t="shared" si="3"/>
        <v>5</v>
      </c>
      <c r="C13" s="60">
        <f>C12</f>
        <v>65</v>
      </c>
      <c r="D13" s="60">
        <f t="shared" si="0"/>
        <v>325</v>
      </c>
      <c r="E13" s="5">
        <f t="shared" si="2"/>
        <v>0</v>
      </c>
      <c r="F13" s="60">
        <f t="shared" si="1"/>
        <v>0</v>
      </c>
    </row>
    <row r="14" spans="1:6">
      <c r="A14" t="s">
        <v>1048</v>
      </c>
      <c r="B14" s="4">
        <f t="shared" si="3"/>
        <v>2</v>
      </c>
      <c r="C14" s="477">
        <v>75</v>
      </c>
      <c r="D14" s="60">
        <f t="shared" si="0"/>
        <v>150</v>
      </c>
      <c r="E14" s="5">
        <f t="shared" si="2"/>
        <v>0</v>
      </c>
      <c r="F14" s="60">
        <f t="shared" si="1"/>
        <v>0</v>
      </c>
    </row>
    <row r="15" spans="1:6">
      <c r="A15" t="s">
        <v>1049</v>
      </c>
      <c r="B15" s="4">
        <f t="shared" si="3"/>
        <v>3</v>
      </c>
      <c r="C15" s="60">
        <f>C14</f>
        <v>75</v>
      </c>
      <c r="D15" s="60">
        <f t="shared" si="0"/>
        <v>225</v>
      </c>
      <c r="E15" s="5">
        <f t="shared" si="2"/>
        <v>0</v>
      </c>
      <c r="F15" s="60">
        <f t="shared" si="1"/>
        <v>0</v>
      </c>
    </row>
    <row r="16" spans="1:6">
      <c r="A16" t="s">
        <v>1050</v>
      </c>
      <c r="B16" s="4">
        <f t="shared" si="3"/>
        <v>4</v>
      </c>
      <c r="C16" s="60">
        <f>C15</f>
        <v>75</v>
      </c>
      <c r="D16" s="60">
        <f t="shared" si="0"/>
        <v>300</v>
      </c>
      <c r="E16" s="5">
        <f t="shared" si="2"/>
        <v>0</v>
      </c>
      <c r="F16" s="60">
        <f t="shared" si="1"/>
        <v>0</v>
      </c>
    </row>
    <row r="17" spans="1:6">
      <c r="A17" t="s">
        <v>1051</v>
      </c>
      <c r="B17" s="4">
        <f t="shared" si="3"/>
        <v>5</v>
      </c>
      <c r="C17" s="60">
        <f>C16</f>
        <v>75</v>
      </c>
      <c r="D17" s="60">
        <f t="shared" si="0"/>
        <v>375</v>
      </c>
      <c r="E17" s="5">
        <f t="shared" si="2"/>
        <v>0</v>
      </c>
      <c r="F17" s="60">
        <f t="shared" si="1"/>
        <v>0</v>
      </c>
    </row>
    <row r="18" spans="1:6">
      <c r="A18" t="s">
        <v>1053</v>
      </c>
    </row>
  </sheetData>
  <mergeCells count="2">
    <mergeCell ref="A1:D1"/>
    <mergeCell ref="A3:D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B1B77-C569-4846-8276-A67A27B52748}">
  <dimension ref="A1:K11"/>
  <sheetViews>
    <sheetView zoomScale="85" zoomScaleNormal="85" workbookViewId="0">
      <selection activeCell="J10" sqref="J10"/>
    </sheetView>
  </sheetViews>
  <sheetFormatPr defaultRowHeight="14.4"/>
  <cols>
    <col min="1" max="1" width="18.109375" customWidth="1"/>
    <col min="2" max="2" width="11.44140625" customWidth="1"/>
    <col min="3" max="3" width="9.5546875" customWidth="1"/>
    <col min="4" max="4" width="8.88671875" style="4"/>
    <col min="5" max="5" width="11.44140625" customWidth="1"/>
    <col min="6" max="6" width="8.88671875" style="4"/>
    <col min="7" max="7" width="10.109375" style="4" customWidth="1"/>
    <col min="8" max="9" width="8.88671875" style="4"/>
  </cols>
  <sheetData>
    <row r="1" spans="1:11" ht="18">
      <c r="A1" s="626" t="s">
        <v>1007</v>
      </c>
      <c r="B1" s="626"/>
      <c r="C1" s="626"/>
      <c r="D1" s="626"/>
      <c r="E1" s="626"/>
    </row>
    <row r="2" spans="1:11">
      <c r="K2" s="4"/>
    </row>
    <row r="3" spans="1:11">
      <c r="A3" s="627" t="s">
        <v>1006</v>
      </c>
      <c r="B3" s="628"/>
      <c r="C3" s="628"/>
      <c r="D3" s="628"/>
      <c r="E3" s="629"/>
      <c r="K3" s="4"/>
    </row>
    <row r="4" spans="1:11">
      <c r="A4" s="110" t="s">
        <v>1009</v>
      </c>
      <c r="B4" s="142">
        <v>2.8</v>
      </c>
      <c r="C4" s="463">
        <f>IF(C5=1,0,1)</f>
        <v>0</v>
      </c>
      <c r="D4" s="119">
        <f>INT!E23</f>
        <v>1035</v>
      </c>
      <c r="E4" s="30">
        <f>B4*D4*C4</f>
        <v>0</v>
      </c>
    </row>
    <row r="5" spans="1:11">
      <c r="A5" s="110" t="s">
        <v>1008</v>
      </c>
      <c r="B5" s="142">
        <v>3.5</v>
      </c>
      <c r="C5" s="463">
        <f>REMODEL!B24</f>
        <v>1</v>
      </c>
      <c r="D5" s="119">
        <f>D4</f>
        <v>1035</v>
      </c>
      <c r="E5" s="111">
        <f>B5*D5*C5</f>
        <v>3622.5</v>
      </c>
    </row>
    <row r="6" spans="1:11">
      <c r="A6" s="110" t="s">
        <v>1012</v>
      </c>
      <c r="B6" s="67">
        <v>20</v>
      </c>
      <c r="C6" s="233">
        <f>REMODEL!B25</f>
        <v>0</v>
      </c>
      <c r="D6" s="35">
        <f>(REMODEL!B7+REMODEL!B17)*REMODEL!B25</f>
        <v>0</v>
      </c>
      <c r="E6" s="120">
        <f>B6*C6*D6</f>
        <v>0</v>
      </c>
    </row>
    <row r="7" spans="1:11">
      <c r="A7" s="110" t="s">
        <v>1011</v>
      </c>
      <c r="B7" s="67">
        <v>4</v>
      </c>
      <c r="C7" s="233">
        <f>REMODEL!B26</f>
        <v>0</v>
      </c>
      <c r="D7" s="35"/>
      <c r="E7" s="120">
        <f>B7*C7</f>
        <v>0</v>
      </c>
    </row>
    <row r="8" spans="1:11">
      <c r="A8" s="110"/>
      <c r="B8" s="67"/>
      <c r="C8" s="136"/>
      <c r="D8" s="119"/>
      <c r="E8" s="30"/>
    </row>
    <row r="9" spans="1:11">
      <c r="A9" s="110"/>
      <c r="B9" s="67"/>
      <c r="C9" s="136"/>
      <c r="D9" s="35"/>
      <c r="E9" s="30"/>
    </row>
    <row r="10" spans="1:11" s="4" customFormat="1" ht="15" thickBot="1">
      <c r="A10"/>
      <c r="B10"/>
      <c r="C10"/>
      <c r="E10"/>
      <c r="J10"/>
      <c r="K10"/>
    </row>
    <row r="11" spans="1:11" s="4" customFormat="1" ht="15" thickBot="1">
      <c r="A11" s="106"/>
      <c r="B11" s="3"/>
      <c r="C11" s="3"/>
      <c r="E11" s="107">
        <f>SUM(E4:E10)</f>
        <v>3622.5</v>
      </c>
      <c r="J11"/>
      <c r="K11"/>
    </row>
  </sheetData>
  <mergeCells count="2">
    <mergeCell ref="A1:E1"/>
    <mergeCell ref="A3:E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35F4D-350A-442E-B0F4-1E9ABFA8C830}">
  <sheetPr codeName="Sheet17"/>
  <dimension ref="A1:R36"/>
  <sheetViews>
    <sheetView zoomScaleNormal="100" workbookViewId="0">
      <selection activeCell="B20" sqref="B20"/>
    </sheetView>
  </sheetViews>
  <sheetFormatPr defaultRowHeight="14.4"/>
  <cols>
    <col min="1" max="1" width="30.109375" customWidth="1"/>
    <col min="2" max="2" width="11.44140625" customWidth="1"/>
    <col min="3" max="3" width="20.33203125" style="4" bestFit="1" customWidth="1"/>
    <col min="4" max="4" width="11.44140625" customWidth="1"/>
    <col min="5" max="5" width="12.5546875" style="4" bestFit="1" customWidth="1"/>
    <col min="6" max="6" width="7" style="4" customWidth="1"/>
    <col min="7" max="7" width="10.109375" style="4" customWidth="1"/>
    <col min="8" max="8" width="13" style="4" customWidth="1"/>
    <col min="9" max="13" width="8.5546875" customWidth="1"/>
    <col min="14" max="14" width="11.5546875" bestFit="1" customWidth="1"/>
    <col min="15" max="15" width="11.88671875" customWidth="1"/>
    <col min="16" max="17" width="11.5546875" bestFit="1" customWidth="1"/>
  </cols>
  <sheetData>
    <row r="1" spans="1:18" ht="18.600000000000001" thickBot="1">
      <c r="A1" s="631" t="s">
        <v>992</v>
      </c>
      <c r="B1" s="632"/>
      <c r="C1" s="632"/>
      <c r="D1" s="633"/>
    </row>
    <row r="2" spans="1:18">
      <c r="J2" s="4"/>
    </row>
    <row r="3" spans="1:18">
      <c r="A3" s="642" t="s">
        <v>564</v>
      </c>
      <c r="B3" s="643"/>
      <c r="C3" s="643"/>
      <c r="D3" s="644"/>
      <c r="E3" s="5">
        <f>SHOT!D2</f>
        <v>1035</v>
      </c>
      <c r="J3" s="4"/>
      <c r="O3" s="4" t="s">
        <v>16</v>
      </c>
      <c r="P3" s="4" t="s">
        <v>43</v>
      </c>
      <c r="Q3" s="4" t="s">
        <v>574</v>
      </c>
    </row>
    <row r="4" spans="1:18">
      <c r="A4" s="35">
        <v>1</v>
      </c>
      <c r="B4" s="35">
        <v>2</v>
      </c>
      <c r="C4" s="35">
        <v>3</v>
      </c>
      <c r="D4" s="35">
        <v>4</v>
      </c>
      <c r="E4" s="35">
        <v>5</v>
      </c>
      <c r="F4" s="35">
        <v>6</v>
      </c>
      <c r="G4" s="35">
        <v>7</v>
      </c>
      <c r="H4" s="35">
        <v>8</v>
      </c>
      <c r="I4" s="35">
        <v>9</v>
      </c>
      <c r="J4" s="35">
        <v>10</v>
      </c>
      <c r="K4" s="35">
        <v>11</v>
      </c>
      <c r="L4" s="35">
        <v>12</v>
      </c>
      <c r="M4" s="35">
        <v>13</v>
      </c>
      <c r="N4" s="35">
        <v>14</v>
      </c>
      <c r="O4" s="35">
        <v>15</v>
      </c>
      <c r="P4" s="35">
        <v>16</v>
      </c>
      <c r="Q4" s="35">
        <v>17</v>
      </c>
      <c r="R4" s="35">
        <v>18</v>
      </c>
    </row>
    <row r="5" spans="1:18" ht="15" thickBot="1">
      <c r="A5" s="147"/>
      <c r="B5" s="148"/>
      <c r="C5" s="149"/>
      <c r="D5" s="150"/>
      <c r="E5" s="4" t="s">
        <v>4</v>
      </c>
      <c r="H5" s="4" t="s">
        <v>565</v>
      </c>
      <c r="I5" t="s">
        <v>566</v>
      </c>
      <c r="J5" s="4" t="s">
        <v>567</v>
      </c>
      <c r="K5" s="4" t="s">
        <v>568</v>
      </c>
      <c r="L5" s="4" t="s">
        <v>569</v>
      </c>
      <c r="M5" s="4" t="s">
        <v>570</v>
      </c>
      <c r="N5" s="4" t="s">
        <v>571</v>
      </c>
      <c r="O5" s="371">
        <v>0.7</v>
      </c>
    </row>
    <row r="6" spans="1:18">
      <c r="A6" s="110" t="s">
        <v>912</v>
      </c>
      <c r="B6" s="67">
        <v>5.5</v>
      </c>
      <c r="C6" s="453">
        <f>IF(E3&lt;851,850,E3)</f>
        <v>1035</v>
      </c>
      <c r="D6" s="372">
        <f t="shared" ref="D6:D18" si="0">B6*C6</f>
        <v>5692.5</v>
      </c>
      <c r="E6" s="373">
        <v>850</v>
      </c>
      <c r="F6" s="276">
        <f>EXC!C27</f>
        <v>1</v>
      </c>
      <c r="G6" s="374">
        <f t="shared" ref="G6:G18" si="1">E6*F6</f>
        <v>850</v>
      </c>
      <c r="H6" s="375">
        <v>850</v>
      </c>
      <c r="I6" s="376">
        <f>D25</f>
        <v>250</v>
      </c>
      <c r="J6" s="375">
        <f>('NEW POOL'!B113+'NEW POOL'!B114+'NEW POOL'!B115)*2*15</f>
        <v>30</v>
      </c>
      <c r="K6" s="376">
        <f>'NEW POOL'!B119*20</f>
        <v>0</v>
      </c>
      <c r="L6" s="376">
        <v>20</v>
      </c>
      <c r="M6" s="376">
        <v>60</v>
      </c>
      <c r="N6" s="60">
        <f t="shared" ref="N6:N18" si="2">SUM(G6:M6)+D6</f>
        <v>7752.5</v>
      </c>
      <c r="O6" s="60">
        <f t="shared" ref="O6:O18" si="3">N6/$O$5</f>
        <v>11075</v>
      </c>
      <c r="P6" s="60"/>
      <c r="Q6" s="60"/>
      <c r="R6" t="s">
        <v>1110</v>
      </c>
    </row>
    <row r="7" spans="1:18">
      <c r="A7" s="110" t="s">
        <v>976</v>
      </c>
      <c r="B7" s="67">
        <v>6.3</v>
      </c>
      <c r="C7" s="453">
        <f>IF(E3&lt;851,850,E3)</f>
        <v>1035</v>
      </c>
      <c r="D7" s="372">
        <f t="shared" si="0"/>
        <v>6520.5</v>
      </c>
      <c r="E7" s="373">
        <v>1150</v>
      </c>
      <c r="F7" s="276">
        <f>F6</f>
        <v>1</v>
      </c>
      <c r="G7" s="374">
        <f t="shared" si="1"/>
        <v>1150</v>
      </c>
      <c r="H7" s="375">
        <f>H6</f>
        <v>850</v>
      </c>
      <c r="I7" s="376">
        <f>I6</f>
        <v>250</v>
      </c>
      <c r="J7" s="375">
        <f>J6</f>
        <v>30</v>
      </c>
      <c r="K7" s="376">
        <f>K6</f>
        <v>0</v>
      </c>
      <c r="L7" s="376">
        <v>20</v>
      </c>
      <c r="M7" s="376">
        <v>60</v>
      </c>
      <c r="N7" s="60">
        <f t="shared" si="2"/>
        <v>8880.5</v>
      </c>
      <c r="O7" s="60">
        <f t="shared" si="3"/>
        <v>12686.428571428572</v>
      </c>
      <c r="P7" s="60">
        <f>O7-O6</f>
        <v>1611.4285714285725</v>
      </c>
      <c r="Q7" s="3">
        <f t="shared" ref="Q7:Q18" si="4">CEILING(P7,10)</f>
        <v>1620</v>
      </c>
      <c r="R7" t="s">
        <v>978</v>
      </c>
    </row>
    <row r="8" spans="1:18">
      <c r="A8" s="110" t="s">
        <v>1103</v>
      </c>
      <c r="B8" s="67">
        <v>7.9</v>
      </c>
      <c r="C8" s="119">
        <f>IF(E3&lt;851,850,E3)</f>
        <v>1035</v>
      </c>
      <c r="D8" s="377">
        <f t="shared" si="0"/>
        <v>8176.5</v>
      </c>
      <c r="E8" s="425">
        <f>E7</f>
        <v>1150</v>
      </c>
      <c r="F8" s="276">
        <f>F6</f>
        <v>1</v>
      </c>
      <c r="G8" s="374">
        <f t="shared" si="1"/>
        <v>1150</v>
      </c>
      <c r="H8" s="375">
        <f t="shared" ref="H8:I12" si="5">H7</f>
        <v>850</v>
      </c>
      <c r="I8" s="376">
        <f t="shared" si="5"/>
        <v>250</v>
      </c>
      <c r="J8" s="375">
        <f>J6</f>
        <v>30</v>
      </c>
      <c r="K8" s="376">
        <f t="shared" ref="K8:K18" si="6">K7</f>
        <v>0</v>
      </c>
      <c r="L8" s="376">
        <v>20</v>
      </c>
      <c r="M8" s="376">
        <v>60</v>
      </c>
      <c r="N8" s="60">
        <f t="shared" si="2"/>
        <v>10536.5</v>
      </c>
      <c r="O8" s="60">
        <f t="shared" si="3"/>
        <v>15052.142857142859</v>
      </c>
      <c r="P8" s="60">
        <f t="shared" ref="P8:P18" si="7">O8-$O$6</f>
        <v>3977.1428571428587</v>
      </c>
      <c r="Q8" s="3">
        <f t="shared" si="4"/>
        <v>3980</v>
      </c>
      <c r="R8" t="s">
        <v>1109</v>
      </c>
    </row>
    <row r="9" spans="1:18">
      <c r="A9" s="110" t="s">
        <v>977</v>
      </c>
      <c r="B9" s="67">
        <v>8.85</v>
      </c>
      <c r="C9" s="119">
        <f>IF(E3&lt;851,850,E3)</f>
        <v>1035</v>
      </c>
      <c r="D9" s="372">
        <f t="shared" si="0"/>
        <v>9159.75</v>
      </c>
      <c r="E9" s="425">
        <f>E8</f>
        <v>1150</v>
      </c>
      <c r="F9" s="276">
        <f t="shared" ref="F9:F15" si="8">F8</f>
        <v>1</v>
      </c>
      <c r="G9" s="374">
        <f t="shared" si="1"/>
        <v>1150</v>
      </c>
      <c r="H9" s="375">
        <f t="shared" si="5"/>
        <v>850</v>
      </c>
      <c r="I9" s="376">
        <f t="shared" si="5"/>
        <v>250</v>
      </c>
      <c r="J9" s="375">
        <f>J8</f>
        <v>30</v>
      </c>
      <c r="K9" s="376">
        <f t="shared" si="6"/>
        <v>0</v>
      </c>
      <c r="L9" s="376">
        <v>20</v>
      </c>
      <c r="M9" s="376">
        <v>60</v>
      </c>
      <c r="N9" s="60">
        <f t="shared" si="2"/>
        <v>11519.75</v>
      </c>
      <c r="O9" s="60">
        <f t="shared" si="3"/>
        <v>16456.785714285714</v>
      </c>
      <c r="P9" s="60">
        <f t="shared" si="7"/>
        <v>5381.7857142857138</v>
      </c>
      <c r="Q9" s="3">
        <f t="shared" si="4"/>
        <v>5390</v>
      </c>
      <c r="R9" t="s">
        <v>979</v>
      </c>
    </row>
    <row r="10" spans="1:18">
      <c r="A10" s="110" t="s">
        <v>911</v>
      </c>
      <c r="B10" s="67">
        <v>6.75</v>
      </c>
      <c r="C10" s="119">
        <f>IF(E3&lt;851,850,E3)</f>
        <v>1035</v>
      </c>
      <c r="D10" s="372">
        <f t="shared" si="0"/>
        <v>6986.25</v>
      </c>
      <c r="E10" s="373">
        <v>1250</v>
      </c>
      <c r="F10" s="276">
        <f t="shared" si="8"/>
        <v>1</v>
      </c>
      <c r="G10" s="374">
        <f t="shared" si="1"/>
        <v>1250</v>
      </c>
      <c r="H10" s="375">
        <f t="shared" si="5"/>
        <v>850</v>
      </c>
      <c r="I10" s="376">
        <f t="shared" si="5"/>
        <v>250</v>
      </c>
      <c r="J10" s="375">
        <f>J9</f>
        <v>30</v>
      </c>
      <c r="K10" s="376">
        <f t="shared" si="6"/>
        <v>0</v>
      </c>
      <c r="L10" s="376">
        <v>20</v>
      </c>
      <c r="M10" s="376">
        <v>60</v>
      </c>
      <c r="N10" s="60">
        <f t="shared" si="2"/>
        <v>9446.25</v>
      </c>
      <c r="O10" s="60">
        <f t="shared" si="3"/>
        <v>13494.642857142859</v>
      </c>
      <c r="P10" s="60">
        <f t="shared" si="7"/>
        <v>2419.6428571428587</v>
      </c>
      <c r="Q10" s="3">
        <f t="shared" si="4"/>
        <v>2420</v>
      </c>
      <c r="R10" t="s">
        <v>980</v>
      </c>
    </row>
    <row r="11" spans="1:18">
      <c r="A11" s="110" t="s">
        <v>974</v>
      </c>
      <c r="B11" s="67">
        <v>7.85</v>
      </c>
      <c r="C11" s="119">
        <f>IF(E3&lt;851,850,E3)</f>
        <v>1035</v>
      </c>
      <c r="D11" s="372">
        <f t="shared" si="0"/>
        <v>8124.75</v>
      </c>
      <c r="E11" s="425">
        <f>E10</f>
        <v>1250</v>
      </c>
      <c r="F11" s="276">
        <f t="shared" si="8"/>
        <v>1</v>
      </c>
      <c r="G11" s="374">
        <f t="shared" si="1"/>
        <v>1250</v>
      </c>
      <c r="H11" s="375">
        <f t="shared" si="5"/>
        <v>850</v>
      </c>
      <c r="I11" s="376">
        <f t="shared" si="5"/>
        <v>250</v>
      </c>
      <c r="J11" s="375">
        <f>J10</f>
        <v>30</v>
      </c>
      <c r="K11" s="376">
        <f t="shared" si="6"/>
        <v>0</v>
      </c>
      <c r="L11" s="376">
        <v>20</v>
      </c>
      <c r="M11" s="376">
        <v>60</v>
      </c>
      <c r="N11" s="60">
        <f t="shared" si="2"/>
        <v>10584.75</v>
      </c>
      <c r="O11" s="60">
        <f t="shared" si="3"/>
        <v>15121.071428571429</v>
      </c>
      <c r="P11" s="60">
        <f t="shared" si="7"/>
        <v>4046.0714285714294</v>
      </c>
      <c r="Q11" s="3">
        <f t="shared" si="4"/>
        <v>4050</v>
      </c>
      <c r="R11" t="s">
        <v>1111</v>
      </c>
    </row>
    <row r="12" spans="1:18">
      <c r="A12" s="110" t="s">
        <v>975</v>
      </c>
      <c r="B12" s="67">
        <v>9.25</v>
      </c>
      <c r="C12" s="119">
        <f>IF(E3&lt;851,850,E3)</f>
        <v>1035</v>
      </c>
      <c r="D12" s="372">
        <f t="shared" si="0"/>
        <v>9573.75</v>
      </c>
      <c r="E12" s="425">
        <f>E11</f>
        <v>1250</v>
      </c>
      <c r="F12" s="276">
        <f t="shared" si="8"/>
        <v>1</v>
      </c>
      <c r="G12" s="374">
        <f t="shared" si="1"/>
        <v>1250</v>
      </c>
      <c r="H12" s="375">
        <f t="shared" si="5"/>
        <v>850</v>
      </c>
      <c r="I12" s="376">
        <f t="shared" si="5"/>
        <v>250</v>
      </c>
      <c r="J12" s="375">
        <f>J11</f>
        <v>30</v>
      </c>
      <c r="K12" s="376">
        <f t="shared" si="6"/>
        <v>0</v>
      </c>
      <c r="L12" s="376">
        <v>20</v>
      </c>
      <c r="M12" s="376">
        <v>60</v>
      </c>
      <c r="N12" s="60">
        <f t="shared" si="2"/>
        <v>12033.75</v>
      </c>
      <c r="O12" s="60">
        <f t="shared" si="3"/>
        <v>17191.071428571431</v>
      </c>
      <c r="P12" s="60">
        <f t="shared" si="7"/>
        <v>6116.0714285714312</v>
      </c>
      <c r="Q12" s="3">
        <f t="shared" si="4"/>
        <v>6120</v>
      </c>
      <c r="R12" t="s">
        <v>1112</v>
      </c>
    </row>
    <row r="13" spans="1:18">
      <c r="A13" s="110" t="s">
        <v>1104</v>
      </c>
      <c r="B13" s="67">
        <v>7.75</v>
      </c>
      <c r="C13" s="453">
        <f>IF(E3&lt;851,850,E3)</f>
        <v>1035</v>
      </c>
      <c r="D13" s="372">
        <f t="shared" si="0"/>
        <v>8021.25</v>
      </c>
      <c r="E13" s="373">
        <v>1050</v>
      </c>
      <c r="F13" s="276">
        <f t="shared" si="8"/>
        <v>1</v>
      </c>
      <c r="G13" s="374">
        <f t="shared" si="1"/>
        <v>1050</v>
      </c>
      <c r="H13" s="375">
        <f>H9</f>
        <v>850</v>
      </c>
      <c r="I13" s="376">
        <f>I9</f>
        <v>250</v>
      </c>
      <c r="J13" s="375">
        <f>J9</f>
        <v>30</v>
      </c>
      <c r="K13" s="376">
        <f t="shared" si="6"/>
        <v>0</v>
      </c>
      <c r="L13" s="376">
        <v>20</v>
      </c>
      <c r="M13" s="376">
        <v>60</v>
      </c>
      <c r="N13" s="60">
        <f t="shared" si="2"/>
        <v>10281.25</v>
      </c>
      <c r="O13" s="60">
        <f t="shared" si="3"/>
        <v>14687.500000000002</v>
      </c>
      <c r="P13" s="60">
        <f t="shared" si="7"/>
        <v>3612.5000000000018</v>
      </c>
      <c r="Q13" s="3">
        <f t="shared" si="4"/>
        <v>3620</v>
      </c>
      <c r="R13" t="s">
        <v>1113</v>
      </c>
    </row>
    <row r="14" spans="1:18">
      <c r="A14" s="110" t="s">
        <v>1105</v>
      </c>
      <c r="B14" s="67">
        <v>10</v>
      </c>
      <c r="C14" s="119">
        <f>IF(E3&lt;851,850,E3)</f>
        <v>1035</v>
      </c>
      <c r="D14" s="372">
        <f t="shared" si="0"/>
        <v>10350</v>
      </c>
      <c r="E14" s="373">
        <v>1675</v>
      </c>
      <c r="F14" s="276">
        <f t="shared" si="8"/>
        <v>1</v>
      </c>
      <c r="G14" s="374">
        <f t="shared" si="1"/>
        <v>1675</v>
      </c>
      <c r="H14" s="375">
        <f t="shared" ref="H14:J15" si="9">H13</f>
        <v>850</v>
      </c>
      <c r="I14" s="376">
        <f t="shared" si="9"/>
        <v>250</v>
      </c>
      <c r="J14" s="375">
        <f t="shared" si="9"/>
        <v>30</v>
      </c>
      <c r="K14" s="376">
        <f t="shared" si="6"/>
        <v>0</v>
      </c>
      <c r="L14" s="376">
        <v>20</v>
      </c>
      <c r="M14" s="376">
        <v>60</v>
      </c>
      <c r="N14" s="60">
        <f t="shared" si="2"/>
        <v>13235</v>
      </c>
      <c r="O14" s="60">
        <f t="shared" si="3"/>
        <v>18907.142857142859</v>
      </c>
      <c r="P14" s="60">
        <f t="shared" si="7"/>
        <v>7832.1428571428587</v>
      </c>
      <c r="Q14" s="3">
        <f t="shared" si="4"/>
        <v>7840</v>
      </c>
      <c r="R14" t="s">
        <v>1114</v>
      </c>
    </row>
    <row r="15" spans="1:18">
      <c r="A15" s="110" t="s">
        <v>1106</v>
      </c>
      <c r="B15" s="67">
        <v>17</v>
      </c>
      <c r="C15" s="119">
        <f>IF(E3&lt;851,850,E3)</f>
        <v>1035</v>
      </c>
      <c r="D15" s="372">
        <f t="shared" si="0"/>
        <v>17595</v>
      </c>
      <c r="E15" s="373">
        <v>1050</v>
      </c>
      <c r="F15" s="276">
        <f t="shared" si="8"/>
        <v>1</v>
      </c>
      <c r="G15" s="374">
        <f t="shared" si="1"/>
        <v>1050</v>
      </c>
      <c r="H15" s="375">
        <f t="shared" si="9"/>
        <v>850</v>
      </c>
      <c r="I15" s="376">
        <f t="shared" si="9"/>
        <v>250</v>
      </c>
      <c r="J15" s="375">
        <f t="shared" si="9"/>
        <v>30</v>
      </c>
      <c r="K15" s="376">
        <f t="shared" si="6"/>
        <v>0</v>
      </c>
      <c r="L15" s="376">
        <v>20</v>
      </c>
      <c r="M15" s="376">
        <v>60</v>
      </c>
      <c r="N15" s="60">
        <f t="shared" si="2"/>
        <v>19855</v>
      </c>
      <c r="O15" s="60">
        <f t="shared" si="3"/>
        <v>28364.285714285717</v>
      </c>
      <c r="P15" s="60">
        <f t="shared" si="7"/>
        <v>17289.285714285717</v>
      </c>
      <c r="Q15" s="3">
        <f t="shared" si="4"/>
        <v>17290</v>
      </c>
      <c r="R15" t="s">
        <v>1115</v>
      </c>
    </row>
    <row r="16" spans="1:18">
      <c r="A16" s="110" t="s">
        <v>1107</v>
      </c>
      <c r="B16" s="67">
        <v>23</v>
      </c>
      <c r="C16" s="119">
        <f>IF(E3&lt;851,850,E3)</f>
        <v>1035</v>
      </c>
      <c r="D16" s="372">
        <f t="shared" si="0"/>
        <v>23805</v>
      </c>
      <c r="E16" s="373">
        <v>1150</v>
      </c>
      <c r="F16" s="276">
        <f>F12</f>
        <v>1</v>
      </c>
      <c r="G16" s="374">
        <f t="shared" si="1"/>
        <v>1150</v>
      </c>
      <c r="H16" s="375">
        <f>H12</f>
        <v>850</v>
      </c>
      <c r="I16" s="376">
        <f>I12</f>
        <v>250</v>
      </c>
      <c r="J16" s="375">
        <f>J12</f>
        <v>30</v>
      </c>
      <c r="K16" s="376">
        <f t="shared" si="6"/>
        <v>0</v>
      </c>
      <c r="L16" s="376">
        <v>20</v>
      </c>
      <c r="M16" s="376">
        <v>60</v>
      </c>
      <c r="N16" s="60">
        <f t="shared" si="2"/>
        <v>26165</v>
      </c>
      <c r="O16" s="60">
        <f t="shared" si="3"/>
        <v>37378.571428571428</v>
      </c>
      <c r="P16" s="60">
        <f t="shared" si="7"/>
        <v>26303.571428571428</v>
      </c>
      <c r="Q16" s="3">
        <f t="shared" si="4"/>
        <v>26310</v>
      </c>
      <c r="R16" t="s">
        <v>1115</v>
      </c>
    </row>
    <row r="17" spans="1:18">
      <c r="A17" s="110" t="s">
        <v>1108</v>
      </c>
      <c r="B17" s="67">
        <v>17.5</v>
      </c>
      <c r="C17" s="119">
        <f>IF(E3&lt;851,850,E3)</f>
        <v>1035</v>
      </c>
      <c r="D17" s="372">
        <f t="shared" si="0"/>
        <v>18112.5</v>
      </c>
      <c r="E17" s="373">
        <v>1150</v>
      </c>
      <c r="F17" s="276">
        <f>F16</f>
        <v>1</v>
      </c>
      <c r="G17" s="374">
        <f t="shared" si="1"/>
        <v>1150</v>
      </c>
      <c r="H17" s="375">
        <f t="shared" ref="H17:J18" si="10">H16</f>
        <v>850</v>
      </c>
      <c r="I17" s="376">
        <f t="shared" si="10"/>
        <v>250</v>
      </c>
      <c r="J17" s="375">
        <f t="shared" si="10"/>
        <v>30</v>
      </c>
      <c r="K17" s="376">
        <f t="shared" si="6"/>
        <v>0</v>
      </c>
      <c r="L17" s="376">
        <v>20</v>
      </c>
      <c r="M17" s="376">
        <v>60</v>
      </c>
      <c r="N17" s="60">
        <f t="shared" si="2"/>
        <v>20472.5</v>
      </c>
      <c r="O17" s="60">
        <f t="shared" si="3"/>
        <v>29246.428571428572</v>
      </c>
      <c r="P17" s="60">
        <f t="shared" si="7"/>
        <v>18171.428571428572</v>
      </c>
      <c r="Q17" s="3">
        <f t="shared" si="4"/>
        <v>18180</v>
      </c>
      <c r="R17" t="s">
        <v>1115</v>
      </c>
    </row>
    <row r="18" spans="1:18">
      <c r="A18" s="110"/>
      <c r="B18" s="67">
        <v>0</v>
      </c>
      <c r="C18" s="119">
        <f t="shared" ref="C18" si="11">C17</f>
        <v>1035</v>
      </c>
      <c r="D18" s="372">
        <f t="shared" si="0"/>
        <v>0</v>
      </c>
      <c r="E18" s="373">
        <v>1150</v>
      </c>
      <c r="F18" s="276">
        <f>F17</f>
        <v>1</v>
      </c>
      <c r="G18" s="374">
        <f t="shared" si="1"/>
        <v>1150</v>
      </c>
      <c r="H18" s="375">
        <f t="shared" si="10"/>
        <v>850</v>
      </c>
      <c r="I18" s="376">
        <f t="shared" si="10"/>
        <v>250</v>
      </c>
      <c r="J18" s="375">
        <f t="shared" si="10"/>
        <v>30</v>
      </c>
      <c r="K18" s="376">
        <f t="shared" si="6"/>
        <v>0</v>
      </c>
      <c r="L18" s="376">
        <v>20</v>
      </c>
      <c r="M18" s="376">
        <v>60</v>
      </c>
      <c r="N18" s="60">
        <f t="shared" si="2"/>
        <v>2360</v>
      </c>
      <c r="O18" s="60">
        <f t="shared" si="3"/>
        <v>3371.4285714285716</v>
      </c>
      <c r="P18" s="60">
        <f t="shared" si="7"/>
        <v>-7703.5714285714284</v>
      </c>
      <c r="Q18" s="3">
        <f t="shared" si="4"/>
        <v>-7700</v>
      </c>
    </row>
    <row r="19" spans="1:18">
      <c r="A19" s="110"/>
      <c r="B19" s="136"/>
      <c r="C19" s="119"/>
      <c r="D19" s="144"/>
      <c r="E19" s="21"/>
      <c r="G19" s="145"/>
      <c r="H19" s="145"/>
      <c r="I19" s="146"/>
      <c r="J19" s="145"/>
      <c r="K19" s="146"/>
      <c r="L19" s="146"/>
      <c r="M19" s="146"/>
    </row>
    <row r="20" spans="1:18">
      <c r="A20" s="110" t="s">
        <v>485</v>
      </c>
      <c r="B20" s="67">
        <v>100</v>
      </c>
      <c r="C20" s="119">
        <v>1</v>
      </c>
      <c r="D20" s="30">
        <f t="shared" ref="D20:D25" si="12">B20*C20</f>
        <v>100</v>
      </c>
      <c r="E20" s="21"/>
      <c r="G20" s="145"/>
      <c r="H20" s="145"/>
      <c r="I20" s="146"/>
      <c r="J20" s="145"/>
      <c r="K20" s="146"/>
      <c r="L20" s="146"/>
      <c r="M20" s="146"/>
    </row>
    <row r="21" spans="1:18">
      <c r="A21" s="110" t="s">
        <v>486</v>
      </c>
      <c r="B21" s="67">
        <v>10</v>
      </c>
      <c r="C21" s="35">
        <f>'NEW POOL'!E10</f>
        <v>0</v>
      </c>
      <c r="D21" s="30">
        <f t="shared" si="12"/>
        <v>0</v>
      </c>
    </row>
    <row r="22" spans="1:18" s="4" customFormat="1">
      <c r="A22" s="28" t="s">
        <v>831</v>
      </c>
      <c r="B22" s="67">
        <v>20</v>
      </c>
      <c r="C22" s="119">
        <f>IF('NEW POOL'!B11&gt;20,'NEW POOL'!B11-20,0)</f>
        <v>32</v>
      </c>
      <c r="D22" s="30">
        <f t="shared" si="12"/>
        <v>640</v>
      </c>
      <c r="I22"/>
      <c r="J22"/>
    </row>
    <row r="23" spans="1:18">
      <c r="A23" s="28" t="s">
        <v>909</v>
      </c>
      <c r="B23" s="67">
        <v>750</v>
      </c>
      <c r="C23" s="4">
        <v>1</v>
      </c>
      <c r="D23" s="30">
        <f t="shared" si="12"/>
        <v>750</v>
      </c>
      <c r="E23" s="119">
        <f>(('NEW POOL'!B7*(('NEW POOL'!B9+'NEW POOL'!B10)/2))+'NEW POOL'!B8)</f>
        <v>1035</v>
      </c>
    </row>
    <row r="24" spans="1:18">
      <c r="A24" s="28" t="s">
        <v>910</v>
      </c>
      <c r="B24" s="67">
        <v>1</v>
      </c>
      <c r="C24" s="119">
        <f>IF(E23&gt;1200,E23-1200,0)</f>
        <v>0</v>
      </c>
      <c r="D24" s="30">
        <f t="shared" si="12"/>
        <v>0</v>
      </c>
    </row>
    <row r="25" spans="1:18">
      <c r="A25" s="28" t="s">
        <v>832</v>
      </c>
      <c r="B25" s="67">
        <v>250</v>
      </c>
      <c r="C25" s="119">
        <f>IF('NEW POOL'!B17&gt;0,1,0)</f>
        <v>1</v>
      </c>
      <c r="D25" s="30">
        <f t="shared" si="12"/>
        <v>250</v>
      </c>
    </row>
    <row r="26" spans="1:18" ht="15" thickBot="1"/>
    <row r="27" spans="1:18">
      <c r="A27" s="379" t="s">
        <v>840</v>
      </c>
      <c r="B27" s="380"/>
      <c r="C27" s="381">
        <f>_xlfn.CEILING.MATH(E27/7000,0.5)</f>
        <v>3</v>
      </c>
      <c r="D27" s="380"/>
      <c r="E27" s="386">
        <f>'NEW POOL'!E13</f>
        <v>19370</v>
      </c>
      <c r="F27" s="4" t="s">
        <v>838</v>
      </c>
    </row>
    <row r="28" spans="1:18" ht="15" thickBot="1">
      <c r="A28" s="126" t="s">
        <v>834</v>
      </c>
      <c r="B28" s="382">
        <v>490</v>
      </c>
      <c r="C28" s="383">
        <f>C27</f>
        <v>3</v>
      </c>
      <c r="D28" s="384">
        <f>B28*C28</f>
        <v>1470</v>
      </c>
      <c r="E28" s="385" t="s">
        <v>835</v>
      </c>
    </row>
    <row r="29" spans="1:18" ht="15" thickBot="1"/>
    <row r="30" spans="1:18">
      <c r="A30" s="379" t="s">
        <v>1076</v>
      </c>
      <c r="B30" s="380"/>
      <c r="C30" s="381"/>
      <c r="D30" s="399"/>
    </row>
    <row r="31" spans="1:18">
      <c r="A31" s="124" t="s">
        <v>859</v>
      </c>
      <c r="B31" s="67">
        <v>1.95</v>
      </c>
      <c r="C31" s="398">
        <f>E31</f>
        <v>1035</v>
      </c>
      <c r="D31" s="400">
        <v>0</v>
      </c>
      <c r="E31" s="396">
        <f>(('NEW POOL'!B7*(('NEW POOL'!B9+'NEW POOL'!B10)/2)))+'NEW POOL'!B8</f>
        <v>1035</v>
      </c>
      <c r="F31" s="51" t="s">
        <v>852</v>
      </c>
    </row>
    <row r="32" spans="1:18">
      <c r="A32" s="124" t="s">
        <v>860</v>
      </c>
      <c r="B32" s="30">
        <f>B31</f>
        <v>1.95</v>
      </c>
      <c r="C32" s="119">
        <f>E32</f>
        <v>96.6</v>
      </c>
      <c r="D32" s="400">
        <v>0</v>
      </c>
      <c r="E32" s="397">
        <f>(('NEW POOL'!B14*'NEW POOL'!B15)+((('NEW POOL'!B14*2)+('NEW POOL'!B15*2))*1.7))</f>
        <v>96.6</v>
      </c>
      <c r="F32" s="51" t="s">
        <v>852</v>
      </c>
      <c r="H32" s="51"/>
    </row>
    <row r="33" spans="1:4" ht="15" thickBot="1">
      <c r="A33" s="124" t="s">
        <v>861</v>
      </c>
      <c r="B33" s="29">
        <v>300</v>
      </c>
      <c r="C33" s="35">
        <f>'NEW POOL'!B18</f>
        <v>1</v>
      </c>
      <c r="D33" s="402">
        <v>0</v>
      </c>
    </row>
    <row r="34" spans="1:4" ht="15" thickBot="1">
      <c r="A34" s="126"/>
      <c r="B34" s="353"/>
      <c r="C34" s="401"/>
      <c r="D34" s="143">
        <f>SUM(D31:D33)</f>
        <v>0</v>
      </c>
    </row>
    <row r="36" spans="1:4">
      <c r="A36" t="s">
        <v>862</v>
      </c>
    </row>
  </sheetData>
  <mergeCells count="2">
    <mergeCell ref="A1:D1"/>
    <mergeCell ref="A3:D3"/>
  </mergeCells>
  <phoneticPr fontId="47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5B3B-6856-42EB-8C20-94CD3605B102}">
  <sheetPr codeName="Sheet20">
    <tabColor theme="9" tint="0.59999389629810485"/>
  </sheetPr>
  <dimension ref="A1:O130"/>
  <sheetViews>
    <sheetView topLeftCell="A6" zoomScaleNormal="100" workbookViewId="0">
      <selection activeCell="H14" sqref="H14"/>
    </sheetView>
  </sheetViews>
  <sheetFormatPr defaultRowHeight="14.4"/>
  <cols>
    <col min="1" max="1" width="37.88671875" customWidth="1"/>
    <col min="2" max="2" width="11.44140625" style="4" customWidth="1"/>
    <col min="3" max="3" width="11" customWidth="1"/>
    <col min="4" max="4" width="15.5546875" bestFit="1" customWidth="1"/>
    <col min="5" max="5" width="10.44140625" customWidth="1"/>
    <col min="17" max="17" width="8.5546875" customWidth="1"/>
  </cols>
  <sheetData>
    <row r="1" spans="1:11" ht="24" thickBot="1">
      <c r="A1" s="645" t="s">
        <v>1005</v>
      </c>
      <c r="B1" s="646"/>
      <c r="C1" s="646"/>
      <c r="D1" s="646"/>
      <c r="E1" s="646"/>
      <c r="F1" s="646"/>
      <c r="G1" s="646"/>
      <c r="H1" s="647"/>
    </row>
    <row r="2" spans="1:11" ht="15" thickBot="1"/>
    <row r="3" spans="1:11" ht="15" thickBot="1">
      <c r="A3" s="165" t="s">
        <v>0</v>
      </c>
      <c r="B3" s="503"/>
      <c r="C3" s="504"/>
      <c r="D3" s="504"/>
      <c r="E3" s="505"/>
    </row>
    <row r="4" spans="1:11" ht="15" thickBot="1">
      <c r="A4" s="165" t="s">
        <v>670</v>
      </c>
      <c r="B4" s="503"/>
      <c r="C4" s="504"/>
      <c r="D4" s="504"/>
      <c r="E4" s="505"/>
    </row>
    <row r="5" spans="1:11" ht="15" thickBot="1">
      <c r="A5" s="8" t="s">
        <v>989</v>
      </c>
      <c r="B5" s="403">
        <v>0</v>
      </c>
    </row>
    <row r="6" spans="1:11" ht="15" thickBot="1"/>
    <row r="7" spans="1:11" ht="15" thickBot="1">
      <c r="A7" s="165" t="s">
        <v>462</v>
      </c>
      <c r="B7" s="113">
        <v>80</v>
      </c>
      <c r="C7" t="s">
        <v>468</v>
      </c>
      <c r="D7" s="165" t="s">
        <v>484</v>
      </c>
      <c r="E7" s="331">
        <v>17</v>
      </c>
      <c r="F7" t="s">
        <v>590</v>
      </c>
      <c r="K7" s="226" t="e">
        <f>IF(#REF!+#REF!+#REF!&gt;0,1,0)</f>
        <v>#REF!</v>
      </c>
    </row>
    <row r="8" spans="1:11" ht="15" thickBot="1">
      <c r="A8" s="165" t="s">
        <v>463</v>
      </c>
      <c r="B8" s="113">
        <v>400</v>
      </c>
      <c r="C8" t="s">
        <v>435</v>
      </c>
      <c r="D8" s="165" t="s">
        <v>483</v>
      </c>
      <c r="E8" s="331">
        <v>30</v>
      </c>
      <c r="F8" t="s">
        <v>590</v>
      </c>
    </row>
    <row r="9" spans="1:11" ht="15" thickBot="1">
      <c r="A9" s="165" t="s">
        <v>464</v>
      </c>
      <c r="B9" s="331">
        <v>3.5</v>
      </c>
      <c r="C9" t="s">
        <v>590</v>
      </c>
      <c r="D9" s="165" t="s">
        <v>997</v>
      </c>
      <c r="E9" s="113">
        <v>0</v>
      </c>
      <c r="F9" t="s">
        <v>435</v>
      </c>
    </row>
    <row r="10" spans="1:11" ht="15" thickBot="1">
      <c r="A10" s="165" t="s">
        <v>465</v>
      </c>
      <c r="B10" s="331">
        <v>6</v>
      </c>
      <c r="C10" t="s">
        <v>590</v>
      </c>
      <c r="D10" s="165" t="s">
        <v>486</v>
      </c>
      <c r="E10" s="113">
        <v>0</v>
      </c>
      <c r="F10" t="s">
        <v>591</v>
      </c>
    </row>
    <row r="11" spans="1:11" ht="15" thickBot="1">
      <c r="A11" s="165" t="s">
        <v>908</v>
      </c>
      <c r="B11" s="118">
        <v>20</v>
      </c>
      <c r="C11" t="s">
        <v>468</v>
      </c>
      <c r="D11" s="165" t="s">
        <v>545</v>
      </c>
      <c r="E11" s="113">
        <v>0</v>
      </c>
      <c r="F11" t="s">
        <v>550</v>
      </c>
    </row>
    <row r="12" spans="1:11" ht="15" thickBot="1">
      <c r="A12" s="165" t="s">
        <v>802</v>
      </c>
      <c r="B12" s="118">
        <v>1</v>
      </c>
      <c r="C12" s="106" t="s">
        <v>803</v>
      </c>
      <c r="D12" s="8"/>
      <c r="E12" s="4"/>
    </row>
    <row r="13" spans="1:11" ht="15" thickBot="1">
      <c r="B13" s="115"/>
      <c r="C13" s="115"/>
      <c r="D13" s="165" t="s">
        <v>836</v>
      </c>
      <c r="E13" s="378">
        <f>_xlfn.CEILING.MATH(((B8*((B9+B10)/2))*7.6),10)-(B12*850)</f>
        <v>13590</v>
      </c>
    </row>
    <row r="14" spans="1:11" ht="15" thickBot="1">
      <c r="A14" s="165" t="s">
        <v>663</v>
      </c>
      <c r="B14" s="113">
        <v>0</v>
      </c>
    </row>
    <row r="15" spans="1:11" ht="15" thickBot="1">
      <c r="A15" s="165" t="s">
        <v>664</v>
      </c>
      <c r="B15" s="113">
        <v>0</v>
      </c>
      <c r="C15" s="117"/>
      <c r="D15" s="117"/>
      <c r="E15" s="106"/>
    </row>
    <row r="16" spans="1:11" ht="15" thickBot="1">
      <c r="A16" s="165" t="s">
        <v>665</v>
      </c>
      <c r="B16" s="113">
        <v>0</v>
      </c>
      <c r="C16" s="106" t="s">
        <v>466</v>
      </c>
      <c r="D16" s="117"/>
      <c r="E16" s="106"/>
    </row>
    <row r="17" spans="1:5" ht="15" thickBot="1">
      <c r="A17" s="165" t="s">
        <v>479</v>
      </c>
      <c r="B17" s="114">
        <f>ROUNDUP(IF(B16=1,(B14*3.14),(B14*2+B15*2)),0)</f>
        <v>0</v>
      </c>
    </row>
    <row r="18" spans="1:5" ht="15" thickBot="1">
      <c r="A18" s="165" t="s">
        <v>478</v>
      </c>
      <c r="B18" s="113">
        <v>0</v>
      </c>
      <c r="C18" s="106" t="s">
        <v>467</v>
      </c>
      <c r="E18" s="106" t="s">
        <v>480</v>
      </c>
    </row>
    <row r="19" spans="1:5" ht="15" thickBot="1">
      <c r="A19" s="8" t="s">
        <v>653</v>
      </c>
      <c r="B19" s="113">
        <v>0</v>
      </c>
      <c r="C19" t="s">
        <v>651</v>
      </c>
    </row>
    <row r="20" spans="1:5" ht="14.4" customHeight="1">
      <c r="A20" s="8"/>
      <c r="B20" s="460"/>
    </row>
    <row r="21" spans="1:5" ht="14.4" customHeight="1" thickBot="1">
      <c r="A21" s="8"/>
      <c r="B21" s="117"/>
    </row>
    <row r="22" spans="1:5" ht="18" customHeight="1" thickBot="1">
      <c r="A22" s="490" t="s">
        <v>991</v>
      </c>
      <c r="B22" s="491"/>
      <c r="C22" s="491"/>
      <c r="D22" s="492"/>
    </row>
    <row r="23" spans="1:5" ht="14.4" customHeight="1" thickBot="1">
      <c r="A23" s="8"/>
      <c r="B23" s="117"/>
    </row>
    <row r="24" spans="1:5" ht="14.4" customHeight="1" thickBot="1">
      <c r="A24" s="51" t="s">
        <v>994</v>
      </c>
      <c r="B24" s="113">
        <v>1</v>
      </c>
    </row>
    <row r="25" spans="1:5" ht="14.4" customHeight="1" thickBot="1">
      <c r="A25" s="51" t="s">
        <v>995</v>
      </c>
      <c r="B25" s="113">
        <v>0</v>
      </c>
    </row>
    <row r="26" spans="1:5" ht="14.4" customHeight="1" thickBot="1">
      <c r="A26" s="51" t="s">
        <v>996</v>
      </c>
      <c r="B26" s="113">
        <v>0</v>
      </c>
      <c r="C26" t="s">
        <v>435</v>
      </c>
    </row>
    <row r="27" spans="1:5" ht="14.4" customHeight="1" thickBot="1">
      <c r="A27" s="8"/>
      <c r="B27" s="117"/>
    </row>
    <row r="28" spans="1:5" ht="18" thickBot="1">
      <c r="A28" s="490" t="s">
        <v>785</v>
      </c>
      <c r="B28" s="491"/>
      <c r="C28" s="491"/>
      <c r="D28" s="492"/>
    </row>
    <row r="29" spans="1:5" ht="15" customHeight="1" thickBot="1">
      <c r="A29" s="163"/>
      <c r="B29" s="164"/>
      <c r="C29" s="163"/>
      <c r="D29" s="163"/>
    </row>
    <row r="30" spans="1:5" ht="15" customHeight="1" thickBot="1">
      <c r="A30" s="99" t="s">
        <v>993</v>
      </c>
      <c r="B30" s="118">
        <v>1</v>
      </c>
      <c r="D30" s="163"/>
    </row>
    <row r="31" spans="1:5" ht="15" customHeight="1" thickBot="1">
      <c r="A31" s="99" t="s">
        <v>1018</v>
      </c>
      <c r="B31" s="118">
        <v>0</v>
      </c>
      <c r="C31" t="s">
        <v>435</v>
      </c>
      <c r="D31" s="163"/>
    </row>
    <row r="32" spans="1:5" ht="15" customHeight="1" thickBot="1">
      <c r="A32" s="99" t="s">
        <v>1021</v>
      </c>
      <c r="B32" s="118">
        <v>0</v>
      </c>
      <c r="D32" s="163"/>
    </row>
    <row r="33" spans="1:8" ht="15" customHeight="1" thickBot="1">
      <c r="A33" s="99" t="s">
        <v>1024</v>
      </c>
      <c r="B33" s="118">
        <v>0</v>
      </c>
      <c r="C33" t="s">
        <v>468</v>
      </c>
      <c r="D33" s="163"/>
    </row>
    <row r="34" spans="1:8" ht="15" customHeight="1" thickBot="1">
      <c r="B34" s="430"/>
      <c r="D34" s="163"/>
    </row>
    <row r="35" spans="1:8" ht="15" customHeight="1" thickBot="1">
      <c r="A35" s="99" t="s">
        <v>931</v>
      </c>
      <c r="B35" s="118">
        <v>0</v>
      </c>
      <c r="C35" s="153"/>
      <c r="D35" s="163"/>
    </row>
    <row r="36" spans="1:8" ht="15" customHeight="1" thickBot="1">
      <c r="B36" s="430"/>
      <c r="C36" s="153"/>
      <c r="D36" s="163"/>
    </row>
    <row r="37" spans="1:8" ht="15" customHeight="1" thickBot="1">
      <c r="A37" s="99" t="s">
        <v>1017</v>
      </c>
      <c r="B37" s="118">
        <v>1</v>
      </c>
      <c r="C37" s="153"/>
      <c r="D37" s="163"/>
    </row>
    <row r="38" spans="1:8" ht="15" customHeight="1" thickBot="1">
      <c r="B38" s="430"/>
      <c r="D38" s="163"/>
    </row>
    <row r="39" spans="1:8" ht="15" customHeight="1" thickBot="1">
      <c r="A39" s="99" t="s">
        <v>922</v>
      </c>
      <c r="B39" s="118" t="str">
        <f>IF(B30&gt;0,"INCLUDED",0)</f>
        <v>INCLUDED</v>
      </c>
      <c r="D39" s="163"/>
    </row>
    <row r="40" spans="1:8" ht="15" customHeight="1" thickBot="1">
      <c r="A40" s="99" t="s">
        <v>923</v>
      </c>
      <c r="B40" s="431">
        <v>0</v>
      </c>
      <c r="D40" s="163"/>
    </row>
    <row r="41" spans="1:8" ht="15" customHeight="1" thickBot="1">
      <c r="A41" s="99" t="s">
        <v>924</v>
      </c>
      <c r="B41" s="431">
        <v>0</v>
      </c>
      <c r="D41" s="163"/>
    </row>
    <row r="42" spans="1:8" ht="15" customHeight="1" thickBot="1">
      <c r="A42" s="163"/>
      <c r="B42" s="164"/>
      <c r="C42" s="163"/>
      <c r="D42" s="163"/>
    </row>
    <row r="43" spans="1:8" ht="15" customHeight="1" thickBot="1">
      <c r="A43" s="99" t="s">
        <v>811</v>
      </c>
      <c r="B43" s="118">
        <v>0</v>
      </c>
      <c r="C43" t="s">
        <v>592</v>
      </c>
      <c r="D43" s="163"/>
    </row>
    <row r="44" spans="1:8" ht="15" customHeight="1" thickBot="1">
      <c r="A44" s="163"/>
      <c r="B44" s="164"/>
      <c r="C44" s="163"/>
      <c r="D44" s="163"/>
    </row>
    <row r="45" spans="1:8" ht="15" thickBot="1">
      <c r="A45" s="170" t="s">
        <v>584</v>
      </c>
      <c r="B45" s="118">
        <v>0</v>
      </c>
      <c r="C45" t="s">
        <v>592</v>
      </c>
    </row>
    <row r="46" spans="1:8" ht="15" thickBot="1">
      <c r="A46" s="99" t="s">
        <v>588</v>
      </c>
      <c r="B46" s="118">
        <v>0</v>
      </c>
      <c r="C46" t="s">
        <v>592</v>
      </c>
    </row>
    <row r="47" spans="1:8" ht="15" thickBot="1">
      <c r="B47" s="152"/>
    </row>
    <row r="48" spans="1:8" ht="15" thickBot="1">
      <c r="A48" s="99" t="s">
        <v>822</v>
      </c>
      <c r="B48" s="118">
        <v>0</v>
      </c>
      <c r="C48" t="s">
        <v>592</v>
      </c>
      <c r="E48" s="68" t="str">
        <f>'TILE COPING'!F30</f>
        <v>Ivory, Hazelnut, Noce, Country Classic, Light Noce, Harvest Blend</v>
      </c>
      <c r="F48" s="369"/>
      <c r="G48" s="369"/>
      <c r="H48" s="369"/>
    </row>
    <row r="49" spans="1:11" ht="15" thickBot="1">
      <c r="A49" s="99" t="s">
        <v>823</v>
      </c>
      <c r="B49" s="118">
        <v>0</v>
      </c>
      <c r="C49" t="s">
        <v>592</v>
      </c>
      <c r="E49" s="68" t="str">
        <f>'TILE COPING'!F31</f>
        <v>Ivory, Hazelnut, Noce, Country Classic, Light Noce, Harvest Blend</v>
      </c>
      <c r="F49" s="369"/>
      <c r="G49" s="369"/>
      <c r="H49" s="369"/>
    </row>
    <row r="50" spans="1:11" ht="15" thickBot="1">
      <c r="B50" s="152"/>
    </row>
    <row r="51" spans="1:11" ht="15.6" customHeight="1" thickBot="1">
      <c r="A51" s="99" t="s">
        <v>824</v>
      </c>
      <c r="B51" s="118">
        <v>0</v>
      </c>
      <c r="C51" t="s">
        <v>592</v>
      </c>
      <c r="E51" s="493" t="str">
        <f>'TILE COPING'!F32</f>
        <v>Silver, Silver Vogue, River Silver, Bianco Dolomite, Dianna Royal, Skyline, Alaska Silver, Turkish Carrea</v>
      </c>
      <c r="F51" s="493"/>
      <c r="G51" s="493"/>
      <c r="H51" s="493"/>
      <c r="I51" s="493"/>
    </row>
    <row r="52" spans="1:11" ht="15.6" customHeight="1" thickBot="1">
      <c r="A52" s="99" t="s">
        <v>825</v>
      </c>
      <c r="B52" s="118">
        <v>0</v>
      </c>
      <c r="C52" t="s">
        <v>592</v>
      </c>
      <c r="E52" s="493" t="str">
        <f>'TILE COPING'!F33</f>
        <v>Silver, Silver Vogue, River Silver, Bianco Dolomite, Dianna Royal, Skyline, Alaska Silver, Turkish Carrea</v>
      </c>
      <c r="F52" s="493"/>
      <c r="G52" s="493"/>
      <c r="H52" s="493"/>
      <c r="I52" s="493"/>
      <c r="J52" s="493"/>
      <c r="K52" s="493"/>
    </row>
    <row r="53" spans="1:11" ht="15" thickBot="1">
      <c r="B53" s="152"/>
    </row>
    <row r="54" spans="1:11" ht="15" thickBot="1">
      <c r="A54" s="99" t="s">
        <v>810</v>
      </c>
      <c r="B54" s="118">
        <v>0</v>
      </c>
      <c r="C54" t="s">
        <v>592</v>
      </c>
    </row>
    <row r="55" spans="1:11" ht="15" thickBot="1">
      <c r="A55" s="99" t="s">
        <v>587</v>
      </c>
      <c r="B55" s="118">
        <v>0</v>
      </c>
      <c r="C55" t="s">
        <v>592</v>
      </c>
    </row>
    <row r="56" spans="1:11" ht="15" thickBot="1">
      <c r="B56" s="152"/>
    </row>
    <row r="57" spans="1:11" ht="15" thickBot="1">
      <c r="A57" s="405" t="s">
        <v>850</v>
      </c>
      <c r="B57" s="406">
        <v>0</v>
      </c>
      <c r="C57" s="153"/>
      <c r="D57" s="153"/>
    </row>
    <row r="58" spans="1:11" ht="15" thickBot="1">
      <c r="B58" s="152"/>
    </row>
    <row r="59" spans="1:11" ht="18" thickBot="1">
      <c r="A59" s="490" t="s">
        <v>841</v>
      </c>
      <c r="B59" s="491"/>
      <c r="C59" s="491"/>
      <c r="D59" s="492"/>
    </row>
    <row r="60" spans="1:11" ht="15" thickBot="1">
      <c r="B60" s="152"/>
    </row>
    <row r="61" spans="1:11" ht="15" thickBot="1">
      <c r="A61" s="99" t="s">
        <v>848</v>
      </c>
      <c r="B61" s="118">
        <v>0</v>
      </c>
      <c r="C61" t="s">
        <v>844</v>
      </c>
    </row>
    <row r="62" spans="1:11" ht="15" thickBot="1">
      <c r="A62" s="99" t="s">
        <v>845</v>
      </c>
      <c r="B62" s="118">
        <v>0</v>
      </c>
      <c r="C62" t="s">
        <v>844</v>
      </c>
    </row>
    <row r="63" spans="1:11" ht="15" thickBot="1">
      <c r="A63" s="99" t="s">
        <v>846</v>
      </c>
      <c r="B63" s="118">
        <v>0</v>
      </c>
      <c r="C63" t="s">
        <v>844</v>
      </c>
    </row>
    <row r="64" spans="1:11" ht="15" thickBot="1">
      <c r="A64" s="99" t="s">
        <v>847</v>
      </c>
      <c r="B64" s="118">
        <v>0</v>
      </c>
      <c r="C64" t="s">
        <v>844</v>
      </c>
    </row>
    <row r="65" spans="1:8" ht="15" thickBot="1">
      <c r="B65" s="152"/>
    </row>
    <row r="66" spans="1:8" ht="18" thickBot="1">
      <c r="A66" s="490" t="s">
        <v>686</v>
      </c>
      <c r="B66" s="491"/>
      <c r="C66" s="491"/>
      <c r="D66" s="492"/>
    </row>
    <row r="67" spans="1:8" ht="15" thickBot="1">
      <c r="B67" s="152"/>
    </row>
    <row r="68" spans="1:8" ht="18" thickBot="1">
      <c r="A68" s="490" t="s">
        <v>689</v>
      </c>
      <c r="B68" s="491"/>
      <c r="C68" s="491"/>
      <c r="D68" s="492"/>
    </row>
    <row r="69" spans="1:8" ht="15" thickBot="1">
      <c r="B69" s="152"/>
    </row>
    <row r="70" spans="1:8" ht="15" thickBot="1">
      <c r="A70" s="212" t="s">
        <v>50</v>
      </c>
      <c r="B70" s="194">
        <f>IF(A70="No Auxiliary Pump",0,1)</f>
        <v>0</v>
      </c>
      <c r="C70" s="497">
        <f>(VLOOKUP(A70,EQUIP!$M$14:$S$20,6,FALSE))</f>
        <v>0</v>
      </c>
      <c r="D70" s="499"/>
    </row>
    <row r="71" spans="1:8" ht="15" thickBot="1">
      <c r="A71" s="212" t="s">
        <v>50</v>
      </c>
      <c r="B71" s="194">
        <f>IF(C71&gt;0,1,0)</f>
        <v>0</v>
      </c>
      <c r="C71" s="497">
        <f>(VLOOKUP(A71,EQUIP!$M$14:$S$20,6,FALSE))</f>
        <v>0</v>
      </c>
      <c r="D71" s="499"/>
    </row>
    <row r="72" spans="1:8" ht="15" thickBot="1">
      <c r="A72" s="212" t="s">
        <v>50</v>
      </c>
      <c r="B72" s="225">
        <f>IF(C72&gt;0,1,0)</f>
        <v>0</v>
      </c>
      <c r="C72" s="497">
        <f>(VLOOKUP(A72,EQUIP!$M$14:$S$20,6,FALSE))</f>
        <v>0</v>
      </c>
      <c r="D72" s="499"/>
    </row>
    <row r="73" spans="1:8" ht="15" thickBot="1">
      <c r="A73" s="117"/>
      <c r="B73" s="152"/>
    </row>
    <row r="74" spans="1:8" ht="15" thickBot="1">
      <c r="A74" s="212" t="s">
        <v>999</v>
      </c>
      <c r="B74" s="194">
        <f>IF(A74="No Filter",0,1)</f>
        <v>0</v>
      </c>
      <c r="C74" s="497">
        <f>(VLOOKUP(A74,EQUIP!M22:S28,6,FALSE))</f>
        <v>0</v>
      </c>
      <c r="D74" s="499"/>
    </row>
    <row r="75" spans="1:8" ht="15" thickBot="1">
      <c r="A75" s="117"/>
      <c r="B75" s="152"/>
    </row>
    <row r="76" spans="1:8" ht="15" thickBot="1">
      <c r="A76" s="212" t="s">
        <v>699</v>
      </c>
      <c r="B76" s="194">
        <f>IF(C76&gt;0,1,0)</f>
        <v>0</v>
      </c>
      <c r="C76" s="516">
        <f>VLOOKUP(A76,EQUIP!M31:S33,7,FALSE)</f>
        <v>0</v>
      </c>
      <c r="D76" s="497"/>
    </row>
    <row r="77" spans="1:8" ht="15" thickBot="1">
      <c r="A77" s="117"/>
      <c r="B77" s="152"/>
    </row>
    <row r="78" spans="1:8" ht="15" thickBot="1">
      <c r="A78" s="212" t="s">
        <v>698</v>
      </c>
      <c r="B78" s="118">
        <f>IF(A78="No Heater",0,1)</f>
        <v>0</v>
      </c>
      <c r="C78" s="516">
        <f>VLOOKUP(A78,EQUIP!M36:S39,6,FALSE)</f>
        <v>0</v>
      </c>
      <c r="D78" s="497"/>
      <c r="E78" s="494" t="str">
        <f>IF(A78="Jandy 260K BTU - JXI Heater", "CANNOT BE USED TO HEAT A SPA","")</f>
        <v/>
      </c>
      <c r="F78" s="495"/>
      <c r="G78" s="495"/>
      <c r="H78" s="495"/>
    </row>
    <row r="79" spans="1:8" ht="15" thickBot="1">
      <c r="A79" s="432" t="s">
        <v>933</v>
      </c>
      <c r="B79" s="194">
        <v>0</v>
      </c>
      <c r="C79" s="516">
        <f>B79*EQUIP!R39</f>
        <v>0</v>
      </c>
      <c r="D79" s="497"/>
    </row>
    <row r="80" spans="1:8" ht="15" thickBot="1">
      <c r="A80" s="117"/>
      <c r="B80" s="152"/>
    </row>
    <row r="81" spans="1:8" ht="15" hidden="1" thickBot="1">
      <c r="A81" s="212" t="s">
        <v>696</v>
      </c>
      <c r="B81" s="118">
        <v>0</v>
      </c>
      <c r="C81" s="497" t="e">
        <f>(VLOOKUP(A81,EQUIP!M42:R46,6,FALSE))*B81</f>
        <v>#N/A</v>
      </c>
      <c r="D81" s="499"/>
    </row>
    <row r="82" spans="1:8" ht="15" hidden="1" thickBot="1">
      <c r="B82" s="152"/>
    </row>
    <row r="83" spans="1:8" ht="15" thickBot="1">
      <c r="A83" s="217" t="s">
        <v>126</v>
      </c>
      <c r="B83" s="194">
        <f>IF(C83&gt;0,1,0)</f>
        <v>0</v>
      </c>
      <c r="C83" s="497">
        <f>VLOOKUP(A83,EQUIP!M49:S57,6,FALSE)</f>
        <v>0</v>
      </c>
      <c r="D83" s="499"/>
      <c r="E83" s="226">
        <f>IF(C83=1280,1,0)</f>
        <v>0</v>
      </c>
      <c r="F83" s="226">
        <f>IF(A83=EQUIP!M57,1,0)</f>
        <v>0</v>
      </c>
      <c r="G83" s="351">
        <f>B87</f>
        <v>0</v>
      </c>
      <c r="H83" s="226">
        <f>F83*G83</f>
        <v>0</v>
      </c>
    </row>
    <row r="84" spans="1:8" ht="15" thickBot="1">
      <c r="A84" s="217" t="s">
        <v>126</v>
      </c>
      <c r="B84" s="194">
        <f>IF(C84&gt;0,1,0)</f>
        <v>0</v>
      </c>
      <c r="C84" s="497">
        <f>VLOOKUP(A84,EQUIP!M49:S57,6,FALSE)</f>
        <v>0</v>
      </c>
      <c r="D84" s="499"/>
      <c r="E84" s="226">
        <f>IF(C84=1280,1,0)</f>
        <v>0</v>
      </c>
      <c r="F84" s="226">
        <f>IF(A84=EQUIP!M57,1,0)</f>
        <v>0</v>
      </c>
      <c r="G84" s="351">
        <f>B87</f>
        <v>0</v>
      </c>
      <c r="H84" s="226">
        <f>F84*G84</f>
        <v>0</v>
      </c>
    </row>
    <row r="85" spans="1:8" ht="15" thickBot="1">
      <c r="A85" s="217" t="s">
        <v>126</v>
      </c>
      <c r="B85" s="194">
        <f>IF(C85&gt;0,1,0)</f>
        <v>0</v>
      </c>
      <c r="C85" s="497">
        <f>VLOOKUP(A85,EQUIP!M49:S57,6,FALSE)</f>
        <v>0</v>
      </c>
      <c r="D85" s="499"/>
      <c r="E85" s="226">
        <f>IF(C85=1280,1,0)</f>
        <v>0</v>
      </c>
      <c r="F85" s="226">
        <f>IF(A85=EQUIP!M57,1,0)</f>
        <v>0</v>
      </c>
      <c r="G85" s="351">
        <f>B87</f>
        <v>0</v>
      </c>
      <c r="H85" s="226">
        <f>F85*G85</f>
        <v>0</v>
      </c>
    </row>
    <row r="86" spans="1:8">
      <c r="B86" s="152"/>
      <c r="F86" s="352"/>
      <c r="G86" s="352"/>
      <c r="H86" s="352"/>
    </row>
    <row r="87" spans="1:8" ht="15" hidden="1" thickBot="1">
      <c r="A87" s="212" t="s">
        <v>356</v>
      </c>
      <c r="B87" s="194">
        <f>IF(C87&gt;0,1,0)</f>
        <v>0</v>
      </c>
      <c r="C87" s="515">
        <f>VLOOKUP(A87,EQUIP!M63:S72,7,FALSE)*1.2</f>
        <v>0</v>
      </c>
      <c r="D87" s="497"/>
    </row>
    <row r="88" spans="1:8" ht="15" hidden="1" thickBot="1">
      <c r="B88" s="152"/>
    </row>
    <row r="89" spans="1:8" ht="15" hidden="1" thickBot="1">
      <c r="A89" s="212" t="s">
        <v>885</v>
      </c>
      <c r="B89" s="194">
        <f>IF(A89=EQUIP!M105,0,1)</f>
        <v>0</v>
      </c>
      <c r="C89" s="516">
        <f>VLOOKUP(A89,EQUIP!M105:S107,7,FALSE)+(ELEC!E15)</f>
        <v>0</v>
      </c>
      <c r="D89" s="497"/>
    </row>
    <row r="90" spans="1:8" ht="15" hidden="1" thickBot="1">
      <c r="A90" s="117" t="s">
        <v>867</v>
      </c>
      <c r="B90" s="194">
        <v>0</v>
      </c>
      <c r="C90" s="517" t="s">
        <v>468</v>
      </c>
      <c r="D90" s="518"/>
    </row>
    <row r="91" spans="1:8" ht="15" thickBot="1">
      <c r="B91" s="152"/>
    </row>
    <row r="92" spans="1:8" ht="18" thickBot="1">
      <c r="A92" s="490" t="s">
        <v>713</v>
      </c>
      <c r="B92" s="491"/>
      <c r="C92" s="491"/>
      <c r="D92" s="492"/>
    </row>
    <row r="93" spans="1:8" ht="15" thickBot="1">
      <c r="B93" s="152"/>
    </row>
    <row r="94" spans="1:8" ht="15" thickBot="1">
      <c r="A94" s="212" t="str">
        <f>CUSTOM!A3</f>
        <v>travertine cap for raised wall</v>
      </c>
      <c r="B94" s="194">
        <f>IF(C94&gt;0,1,0)</f>
        <v>1</v>
      </c>
      <c r="C94" s="497">
        <f>CUSTOM!G3</f>
        <v>1642.8571428571429</v>
      </c>
      <c r="D94" s="499"/>
      <c r="E94" t="s">
        <v>783</v>
      </c>
    </row>
    <row r="95" spans="1:8" ht="9.75" customHeight="1" thickBot="1">
      <c r="B95" s="152"/>
    </row>
    <row r="96" spans="1:8" ht="15" thickBot="1">
      <c r="A96" s="212" t="str">
        <f>CUSTOM!A5</f>
        <v>No Custom Feature</v>
      </c>
      <c r="B96" s="194">
        <f>IF(C96&gt;0,1,0)</f>
        <v>0</v>
      </c>
      <c r="C96" s="497">
        <f>CUSTOM!G5</f>
        <v>0</v>
      </c>
      <c r="D96" s="499"/>
      <c r="E96" t="s">
        <v>783</v>
      </c>
    </row>
    <row r="97" spans="1:5" ht="9.75" customHeight="1" thickBot="1">
      <c r="A97" s="117"/>
      <c r="B97" s="152"/>
      <c r="C97" s="343"/>
      <c r="D97" s="343"/>
    </row>
    <row r="98" spans="1:5" ht="15" thickBot="1">
      <c r="A98" s="212" t="str">
        <f>CUSTOM!A7</f>
        <v>No Custom Feature</v>
      </c>
      <c r="B98" s="194">
        <f>IF(C98&gt;0,1,0)</f>
        <v>0</v>
      </c>
      <c r="C98" s="497">
        <f>CUSTOM!G7</f>
        <v>0</v>
      </c>
      <c r="D98" s="499"/>
      <c r="E98" t="s">
        <v>783</v>
      </c>
    </row>
    <row r="99" spans="1:5" ht="9.75" customHeight="1" thickBot="1">
      <c r="A99" s="117"/>
      <c r="B99" s="152"/>
      <c r="C99" s="343"/>
      <c r="D99" s="343"/>
    </row>
    <row r="100" spans="1:5" ht="15" thickBot="1">
      <c r="A100" s="212" t="str">
        <f>CUSTOM!A9</f>
        <v>No Custom Feature</v>
      </c>
      <c r="B100" s="194">
        <f>IF(C100&gt;0,1,0)</f>
        <v>0</v>
      </c>
      <c r="C100" s="497">
        <f>CUSTOM!G9</f>
        <v>0</v>
      </c>
      <c r="D100" s="499"/>
      <c r="E100" t="s">
        <v>783</v>
      </c>
    </row>
    <row r="101" spans="1:5" ht="9.75" customHeight="1" thickBot="1">
      <c r="A101" s="117"/>
      <c r="B101" s="152"/>
      <c r="C101" s="343"/>
      <c r="D101" s="343"/>
    </row>
    <row r="102" spans="1:5" ht="15" thickBot="1">
      <c r="A102" s="212" t="str">
        <f>CUSTOM!A11</f>
        <v>No Custom Feature</v>
      </c>
      <c r="B102" s="194">
        <f>IF(C102&gt;0,1,0)</f>
        <v>0</v>
      </c>
      <c r="C102" s="497">
        <f>CUSTOM!G11</f>
        <v>0</v>
      </c>
      <c r="D102" s="499"/>
      <c r="E102" t="s">
        <v>783</v>
      </c>
    </row>
    <row r="103" spans="1:5" ht="9.75" customHeight="1" thickBot="1">
      <c r="B103" s="152"/>
    </row>
    <row r="104" spans="1:5" ht="15" thickBot="1">
      <c r="A104" s="212" t="str">
        <f>CUSTOM!A13</f>
        <v>No Custom Feature</v>
      </c>
      <c r="B104" s="194">
        <f>IF(C104&gt;0,1,0)</f>
        <v>0</v>
      </c>
      <c r="C104" s="497">
        <f>CUSTOM!G13</f>
        <v>0</v>
      </c>
      <c r="D104" s="499"/>
      <c r="E104" t="s">
        <v>783</v>
      </c>
    </row>
    <row r="105" spans="1:5" ht="9.75" customHeight="1" thickBot="1">
      <c r="A105" s="117"/>
      <c r="B105" s="152"/>
      <c r="C105" s="343"/>
      <c r="D105" s="343"/>
    </row>
    <row r="106" spans="1:5" ht="15" thickBot="1">
      <c r="A106" s="212" t="str">
        <f>CUSTOM!A15</f>
        <v>No Custom Feature</v>
      </c>
      <c r="B106" s="194">
        <f>IF(C106&gt;0,1,0)</f>
        <v>0</v>
      </c>
      <c r="C106" s="497">
        <f>CUSTOM!G15</f>
        <v>0</v>
      </c>
      <c r="D106" s="499"/>
      <c r="E106" t="s">
        <v>783</v>
      </c>
    </row>
    <row r="107" spans="1:5" ht="9.75" customHeight="1" thickBot="1">
      <c r="A107" s="117"/>
      <c r="B107" s="152"/>
      <c r="C107" s="343"/>
      <c r="D107" s="343"/>
    </row>
    <row r="108" spans="1:5" ht="15" thickBot="1">
      <c r="A108" s="212" t="str">
        <f>CUSTOM!A17</f>
        <v>No Custom Feature</v>
      </c>
      <c r="B108" s="194">
        <f>IF(C108&gt;0,1,0)</f>
        <v>0</v>
      </c>
      <c r="C108" s="497">
        <f>CUSTOM!G17</f>
        <v>0</v>
      </c>
      <c r="D108" s="499"/>
      <c r="E108" t="s">
        <v>783</v>
      </c>
    </row>
    <row r="109" spans="1:5" ht="15" thickBot="1">
      <c r="B109" s="152"/>
    </row>
    <row r="110" spans="1:5" ht="18" thickBot="1">
      <c r="A110" s="490" t="s">
        <v>658</v>
      </c>
      <c r="B110" s="491"/>
      <c r="C110" s="491"/>
      <c r="D110" s="492"/>
    </row>
    <row r="111" spans="1:5" ht="15" customHeight="1" thickBot="1">
      <c r="A111" s="163"/>
      <c r="B111" s="175"/>
      <c r="C111" s="163"/>
      <c r="D111" s="163"/>
    </row>
    <row r="112" spans="1:5" ht="15" thickBot="1">
      <c r="A112" s="99" t="s">
        <v>440</v>
      </c>
      <c r="B112" s="118">
        <v>0</v>
      </c>
      <c r="C112" t="s">
        <v>611</v>
      </c>
    </row>
    <row r="113" spans="1:15" ht="15" thickBot="1"/>
    <row r="114" spans="1:15" ht="18" thickBot="1">
      <c r="A114" s="490" t="s">
        <v>572</v>
      </c>
      <c r="B114" s="491"/>
      <c r="C114" s="491"/>
      <c r="D114" s="492"/>
    </row>
    <row r="115" spans="1:15" ht="15" thickBot="1"/>
    <row r="116" spans="1:15" ht="15.75" customHeight="1" thickBot="1">
      <c r="A116" s="347" t="s">
        <v>912</v>
      </c>
      <c r="B116" s="194">
        <v>1</v>
      </c>
      <c r="E116" s="498" t="str">
        <f>VLOOKUP(A116,INT!A6:R18,18,FALSE)</f>
        <v>Ivory / Blue / French Grey / Super Blue / Mariner Blue / Tropical Blue / Sky Blue</v>
      </c>
      <c r="F116" s="498"/>
      <c r="G116" s="498"/>
      <c r="H116" s="498"/>
      <c r="I116" s="498"/>
      <c r="J116" s="498"/>
      <c r="K116" s="498"/>
      <c r="L116" s="498"/>
      <c r="M116" s="498"/>
      <c r="N116" s="498"/>
      <c r="O116" s="437"/>
    </row>
    <row r="117" spans="1:15" ht="15" thickBot="1">
      <c r="B117" s="152"/>
      <c r="E117" s="437"/>
      <c r="F117" s="437"/>
      <c r="G117" s="437"/>
      <c r="H117" s="437"/>
      <c r="I117" s="437"/>
      <c r="J117" s="437"/>
      <c r="K117" s="437"/>
      <c r="L117" s="437"/>
      <c r="M117" s="437"/>
      <c r="N117" s="437"/>
      <c r="O117" s="437"/>
    </row>
    <row r="118" spans="1:15" ht="15.75" customHeight="1" thickBot="1">
      <c r="A118" s="428" t="s">
        <v>913</v>
      </c>
      <c r="B118" s="427">
        <v>0</v>
      </c>
      <c r="C118" s="497">
        <f>'COST - NEW'!E299</f>
        <v>1155</v>
      </c>
      <c r="D118" s="499"/>
      <c r="E118" s="521" t="s">
        <v>914</v>
      </c>
      <c r="F118" s="521"/>
      <c r="G118" s="521"/>
      <c r="H118" s="521"/>
      <c r="I118" s="521"/>
      <c r="J118" s="521"/>
      <c r="K118" s="521"/>
      <c r="L118" s="521"/>
      <c r="M118" s="521"/>
      <c r="N118" s="521"/>
      <c r="O118" s="521"/>
    </row>
    <row r="119" spans="1:15" ht="15" thickBot="1">
      <c r="B119" s="152"/>
      <c r="E119" s="404"/>
      <c r="F119" s="404"/>
      <c r="G119" s="404"/>
      <c r="H119" s="404"/>
      <c r="I119" s="404"/>
      <c r="J119" s="404"/>
      <c r="K119" s="404"/>
      <c r="L119" s="404"/>
      <c r="M119" s="404"/>
      <c r="N119" s="404"/>
      <c r="O119" s="404"/>
    </row>
    <row r="120" spans="1:15" ht="15" thickBot="1">
      <c r="A120" t="s">
        <v>862</v>
      </c>
      <c r="B120" s="118">
        <v>0</v>
      </c>
      <c r="E120" s="404"/>
      <c r="F120" s="404"/>
      <c r="G120" s="404"/>
      <c r="H120" s="404"/>
      <c r="I120" s="404"/>
      <c r="J120" s="404"/>
      <c r="K120" s="404"/>
      <c r="L120" s="404"/>
      <c r="M120" s="404"/>
      <c r="N120" s="404"/>
      <c r="O120" s="404"/>
    </row>
    <row r="121" spans="1:15" ht="15" thickBot="1">
      <c r="A121" s="405"/>
      <c r="B121" s="426"/>
      <c r="E121" s="404"/>
      <c r="F121" s="404"/>
      <c r="G121" s="404"/>
      <c r="H121" s="404"/>
      <c r="I121" s="404"/>
      <c r="J121" s="404"/>
      <c r="K121" s="404"/>
      <c r="L121" s="404"/>
      <c r="M121" s="404"/>
      <c r="N121" s="404"/>
      <c r="O121" s="404"/>
    </row>
    <row r="122" spans="1:15" ht="18.899999999999999" customHeight="1" thickBot="1">
      <c r="A122" s="519" t="s">
        <v>637</v>
      </c>
      <c r="B122" s="520"/>
      <c r="C122" s="531">
        <f>'COST - REMODEL'!D337</f>
        <v>40755.327234285716</v>
      </c>
      <c r="D122" s="532"/>
    </row>
    <row r="123" spans="1:15" ht="15" thickBot="1"/>
    <row r="124" spans="1:15" ht="18.899999999999999" customHeight="1" thickBot="1">
      <c r="A124" s="529"/>
      <c r="B124" s="530"/>
      <c r="C124" s="527">
        <v>0</v>
      </c>
      <c r="D124" s="528"/>
    </row>
    <row r="125" spans="1:15" ht="15" thickBot="1"/>
    <row r="126" spans="1:15" ht="18.899999999999999" customHeight="1" thickBot="1">
      <c r="A126" s="529"/>
      <c r="B126" s="530"/>
      <c r="C126" s="527">
        <v>0</v>
      </c>
      <c r="D126" s="528"/>
    </row>
    <row r="127" spans="1:15" ht="15" thickBot="1"/>
    <row r="128" spans="1:15" ht="18.899999999999999" customHeight="1" thickBot="1">
      <c r="A128" s="529"/>
      <c r="B128" s="530"/>
      <c r="C128" s="527">
        <v>0</v>
      </c>
      <c r="D128" s="528"/>
    </row>
    <row r="129" spans="1:4" ht="15" thickBot="1"/>
    <row r="130" spans="1:4" ht="18.600000000000001" thickBot="1">
      <c r="A130" s="182" t="s">
        <v>676</v>
      </c>
      <c r="B130" s="349">
        <f>'COST - REMODEL'!E344*10</f>
        <v>2.1750000000000007</v>
      </c>
      <c r="C130" s="525">
        <f>SUM(C122:D129)</f>
        <v>40755.327234285716</v>
      </c>
      <c r="D130" s="526"/>
    </row>
  </sheetData>
  <mergeCells count="48">
    <mergeCell ref="A1:H1"/>
    <mergeCell ref="B3:E3"/>
    <mergeCell ref="B4:E4"/>
    <mergeCell ref="A28:D28"/>
    <mergeCell ref="E51:I51"/>
    <mergeCell ref="A22:D22"/>
    <mergeCell ref="E52:K52"/>
    <mergeCell ref="A59:D59"/>
    <mergeCell ref="A66:D66"/>
    <mergeCell ref="C83:D83"/>
    <mergeCell ref="A68:D68"/>
    <mergeCell ref="C70:D70"/>
    <mergeCell ref="C71:D71"/>
    <mergeCell ref="C72:D72"/>
    <mergeCell ref="C74:D74"/>
    <mergeCell ref="C76:D76"/>
    <mergeCell ref="C78:D78"/>
    <mergeCell ref="E78:H78"/>
    <mergeCell ref="C79:D79"/>
    <mergeCell ref="C81:D81"/>
    <mergeCell ref="E118:O118"/>
    <mergeCell ref="C94:D94"/>
    <mergeCell ref="C96:D96"/>
    <mergeCell ref="C98:D98"/>
    <mergeCell ref="C100:D100"/>
    <mergeCell ref="C102:D102"/>
    <mergeCell ref="C104:D104"/>
    <mergeCell ref="C106:D106"/>
    <mergeCell ref="C108:D108"/>
    <mergeCell ref="A110:D110"/>
    <mergeCell ref="A114:D114"/>
    <mergeCell ref="E116:N116"/>
    <mergeCell ref="C130:D130"/>
    <mergeCell ref="A92:D92"/>
    <mergeCell ref="C84:D84"/>
    <mergeCell ref="A126:B126"/>
    <mergeCell ref="C126:D126"/>
    <mergeCell ref="A128:B128"/>
    <mergeCell ref="C128:D128"/>
    <mergeCell ref="A122:B122"/>
    <mergeCell ref="C122:D122"/>
    <mergeCell ref="A124:B124"/>
    <mergeCell ref="C124:D124"/>
    <mergeCell ref="C118:D118"/>
    <mergeCell ref="C85:D85"/>
    <mergeCell ref="C87:D87"/>
    <mergeCell ref="C89:D89"/>
    <mergeCell ref="C90:D90"/>
  </mergeCells>
  <conditionalFormatting sqref="B78">
    <cfRule type="cellIs" dxfId="4" priority="1" operator="greaterThan">
      <formula>0</formula>
    </cfRule>
    <cfRule type="cellIs" dxfId="3" priority="3" operator="greaterThan">
      <formula>0</formula>
    </cfRule>
    <cfRule type="cellIs" dxfId="2" priority="4" operator="greaterThan">
      <formula>1</formula>
    </cfRule>
    <cfRule type="cellIs" dxfId="1" priority="5" operator="greaterThan">
      <formula>1</formula>
    </cfRule>
    <cfRule type="cellIs" dxfId="0" priority="6" operator="greaterThan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8CEBE241-03CC-45E9-A4E7-27455092BE5D}">
          <x14:formula1>
            <xm:f>EQUIP!$M$105:$M$107</xm:f>
          </x14:formula1>
          <xm:sqref>A89</xm:sqref>
        </x14:dataValidation>
        <x14:dataValidation type="list" allowBlank="1" showInputMessage="1" showErrorMessage="1" xr:uid="{4FDF6F35-0CCA-4BDC-95F7-1020DE9C3520}">
          <x14:formula1>
            <xm:f>INT!$A$6:$A$18</xm:f>
          </x14:formula1>
          <xm:sqref>A116</xm:sqref>
        </x14:dataValidation>
        <x14:dataValidation type="list" allowBlank="1" showInputMessage="1" showErrorMessage="1" xr:uid="{87A78DB9-D6BC-48A7-854B-D6C7F08A414B}">
          <x14:formula1>
            <xm:f>EQUIP!$M$36:$M$38</xm:f>
          </x14:formula1>
          <xm:sqref>A78</xm:sqref>
        </x14:dataValidation>
        <x14:dataValidation type="list" allowBlank="1" showInputMessage="1" showErrorMessage="1" xr:uid="{2BF3285D-45C0-4602-8B99-51D398745B73}">
          <x14:formula1>
            <xm:f>EQUIP!$M$14:$M$19</xm:f>
          </x14:formula1>
          <xm:sqref>A71:A72</xm:sqref>
        </x14:dataValidation>
        <x14:dataValidation type="list" allowBlank="1" showInputMessage="1" showErrorMessage="1" xr:uid="{D7E41D8B-B250-4F1A-B70E-4095C71A74B5}">
          <x14:formula1>
            <xm:f>EQUIP!$M$63:$M$72</xm:f>
          </x14:formula1>
          <xm:sqref>A87</xm:sqref>
        </x14:dataValidation>
        <x14:dataValidation type="list" allowBlank="1" showInputMessage="1" showErrorMessage="1" xr:uid="{243FDE73-83AD-4E68-87CA-0CD316CD73FD}">
          <x14:formula1>
            <xm:f>EQUIP!$M$49:$M$57</xm:f>
          </x14:formula1>
          <xm:sqref>A83:A85</xm:sqref>
        </x14:dataValidation>
        <x14:dataValidation type="list" allowBlank="1" showInputMessage="1" showErrorMessage="1" xr:uid="{D4E99B2E-D97F-476B-B5FA-828E80A72BEB}">
          <x14:formula1>
            <xm:f>EQUIP!$M$44:$M$45</xm:f>
          </x14:formula1>
          <xm:sqref>A81</xm:sqref>
        </x14:dataValidation>
        <x14:dataValidation type="list" allowBlank="1" showInputMessage="1" showErrorMessage="1" xr:uid="{4B20842C-880B-4E72-982E-1ADEF0098321}">
          <x14:formula1>
            <xm:f>EQUIP!$M$22:$M$28</xm:f>
          </x14:formula1>
          <xm:sqref>A74</xm:sqref>
        </x14:dataValidation>
        <x14:dataValidation type="list" allowBlank="1" showInputMessage="1" showErrorMessage="1" xr:uid="{BB9FEC91-F19A-47E1-8BF3-13B6B136FE09}">
          <x14:formula1>
            <xm:f>EQUIP!$M$14:$M$17</xm:f>
          </x14:formula1>
          <xm:sqref>A70</xm:sqref>
        </x14:dataValidation>
        <x14:dataValidation type="list" allowBlank="1" showInputMessage="1" showErrorMessage="1" xr:uid="{53B434CB-C73C-4E53-96F2-2B4BF8F88D33}">
          <x14:formula1>
            <xm:f>EQUIP!$M$32:$M$33</xm:f>
          </x14:formula1>
          <xm:sqref>A76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14A33-EEF8-446A-A481-EDA6661A379E}">
  <sheetPr codeName="Sheet21"/>
  <dimension ref="A1:I344"/>
  <sheetViews>
    <sheetView topLeftCell="A264" zoomScaleNormal="100" workbookViewId="0">
      <selection activeCell="C277" sqref="C277"/>
    </sheetView>
  </sheetViews>
  <sheetFormatPr defaultRowHeight="14.4"/>
  <cols>
    <col min="1" max="1" width="27.44140625" customWidth="1"/>
    <col min="2" max="2" width="14.88671875" customWidth="1"/>
    <col min="3" max="3" width="10.5546875" style="5" bestFit="1" customWidth="1"/>
    <col min="4" max="4" width="16" bestFit="1" customWidth="1"/>
    <col min="5" max="5" width="12" customWidth="1"/>
    <col min="8" max="9" width="10.109375" bestFit="1" customWidth="1"/>
  </cols>
  <sheetData>
    <row r="1" spans="1:4" ht="15" thickBot="1"/>
    <row r="2" spans="1:4" ht="15" thickBot="1">
      <c r="A2" s="611" t="s">
        <v>622</v>
      </c>
      <c r="B2" s="612"/>
      <c r="C2" s="612"/>
      <c r="D2" s="613"/>
    </row>
    <row r="3" spans="1:4">
      <c r="A3" t="str">
        <f>PLANS!A4</f>
        <v>Pool Only:</v>
      </c>
      <c r="B3" s="2">
        <f>PLANS!B4</f>
        <v>410</v>
      </c>
      <c r="C3" s="4">
        <f>PLANS!C4</f>
        <v>1</v>
      </c>
      <c r="D3" s="2">
        <f>PLANS!D4</f>
        <v>410</v>
      </c>
    </row>
    <row r="4" spans="1:4">
      <c r="A4" t="str">
        <f>PLANS!A5</f>
        <v>Spa:</v>
      </c>
      <c r="B4" s="2">
        <f>PLANS!B5</f>
        <v>80</v>
      </c>
      <c r="C4" s="4">
        <f>PLANS!C5</f>
        <v>1</v>
      </c>
      <c r="D4" s="2">
        <f>PLANS!D5</f>
        <v>80</v>
      </c>
    </row>
    <row r="5" spans="1:4">
      <c r="A5" t="str">
        <f>PLANS!A6</f>
        <v>Waterfall:</v>
      </c>
      <c r="B5" s="2">
        <f>PLANS!B6</f>
        <v>15</v>
      </c>
      <c r="C5" s="4">
        <f>PLANS!C6</f>
        <v>1</v>
      </c>
      <c r="D5" s="2">
        <f>PLANS!D6</f>
        <v>15</v>
      </c>
    </row>
    <row r="6" spans="1:4">
      <c r="A6" t="str">
        <f>PLANS!A7</f>
        <v>Waterfeature:</v>
      </c>
      <c r="B6" s="2">
        <f>PLANS!B7</f>
        <v>10</v>
      </c>
      <c r="C6" s="4">
        <f>PLANS!C7</f>
        <v>0</v>
      </c>
      <c r="D6" s="2">
        <f>PLANS!D7</f>
        <v>0</v>
      </c>
    </row>
    <row r="7" spans="1:4">
      <c r="A7" t="str">
        <f>PLANS!A8</f>
        <v>Soil Sample / Engineer:</v>
      </c>
      <c r="B7" s="2">
        <f>PLANS!B8</f>
        <v>750</v>
      </c>
      <c r="C7" s="4">
        <f>PLANS!C8</f>
        <v>0</v>
      </c>
      <c r="D7" s="2">
        <f>PLANS!D8</f>
        <v>0</v>
      </c>
    </row>
    <row r="8" spans="1:4" ht="15" thickBot="1"/>
    <row r="9" spans="1:4" ht="15" thickBot="1">
      <c r="A9" s="155" t="s">
        <v>628</v>
      </c>
      <c r="B9" s="156"/>
      <c r="C9" s="157"/>
      <c r="D9" s="158">
        <v>0</v>
      </c>
    </row>
    <row r="10" spans="1:4" ht="15" thickBot="1">
      <c r="A10" s="116"/>
      <c r="B10" s="116"/>
      <c r="C10" s="152"/>
      <c r="D10" s="154"/>
    </row>
    <row r="11" spans="1:4" ht="15" thickBot="1">
      <c r="A11" s="611" t="s">
        <v>629</v>
      </c>
      <c r="B11" s="612"/>
      <c r="C11" s="612"/>
      <c r="D11" s="613"/>
    </row>
    <row r="12" spans="1:4">
      <c r="A12" t="s">
        <v>630</v>
      </c>
      <c r="B12" s="2">
        <v>50</v>
      </c>
      <c r="C12" s="4">
        <v>1</v>
      </c>
      <c r="D12" s="2">
        <f>B12*C12</f>
        <v>50</v>
      </c>
    </row>
    <row r="13" spans="1:4">
      <c r="A13" t="s">
        <v>4</v>
      </c>
      <c r="B13" s="2">
        <v>15</v>
      </c>
      <c r="C13" s="4">
        <f>EXC!C27</f>
        <v>1</v>
      </c>
      <c r="D13" s="2">
        <f>B13*C13</f>
        <v>15</v>
      </c>
    </row>
    <row r="14" spans="1:4">
      <c r="A14" t="s">
        <v>988</v>
      </c>
      <c r="B14" s="2">
        <v>500</v>
      </c>
      <c r="C14" s="4">
        <f>'NEW POOL'!B5</f>
        <v>1</v>
      </c>
      <c r="D14" s="2">
        <f>B14*C14</f>
        <v>500</v>
      </c>
    </row>
    <row r="15" spans="1:4" ht="15" thickBot="1"/>
    <row r="16" spans="1:4" ht="15" thickBot="1">
      <c r="A16" s="155" t="s">
        <v>631</v>
      </c>
      <c r="B16" s="156"/>
      <c r="C16" s="157"/>
      <c r="D16" s="158">
        <f>SUM(D12:D15)</f>
        <v>565</v>
      </c>
    </row>
    <row r="17" spans="1:4" ht="15" thickBot="1">
      <c r="A17" s="116"/>
      <c r="B17" s="116"/>
      <c r="C17" s="152"/>
      <c r="D17" s="154"/>
    </row>
    <row r="18" spans="1:4" ht="15" thickBot="1">
      <c r="A18" s="611" t="s">
        <v>636</v>
      </c>
      <c r="B18" s="612"/>
      <c r="C18" s="612"/>
      <c r="D18" s="613"/>
    </row>
    <row r="19" spans="1:4">
      <c r="A19" t="s">
        <v>623</v>
      </c>
      <c r="B19" s="2">
        <v>850</v>
      </c>
      <c r="C19" s="4">
        <v>0</v>
      </c>
      <c r="D19" s="2">
        <f>B19*C19</f>
        <v>0</v>
      </c>
    </row>
    <row r="20" spans="1:4">
      <c r="A20" t="s">
        <v>476</v>
      </c>
      <c r="B20" s="2">
        <v>150</v>
      </c>
      <c r="C20" s="4">
        <f>EXC!C27</f>
        <v>1</v>
      </c>
      <c r="D20" s="2">
        <f>B20*C20</f>
        <v>150</v>
      </c>
    </row>
    <row r="21" spans="1:4">
      <c r="A21" t="s">
        <v>856</v>
      </c>
      <c r="B21" s="2">
        <v>75</v>
      </c>
      <c r="C21" s="4">
        <v>0</v>
      </c>
      <c r="D21" s="2">
        <f>B21*C21</f>
        <v>0</v>
      </c>
    </row>
    <row r="22" spans="1:4" ht="15" thickBot="1"/>
    <row r="23" spans="1:4" ht="15" thickBot="1">
      <c r="A23" s="155" t="s">
        <v>1</v>
      </c>
      <c r="B23" s="156"/>
      <c r="C23" s="157"/>
      <c r="D23" s="158">
        <f>SUM(D19:D22)</f>
        <v>150</v>
      </c>
    </row>
    <row r="24" spans="1:4" ht="15" thickBot="1">
      <c r="A24" s="116"/>
      <c r="B24" s="116"/>
      <c r="C24" s="152"/>
      <c r="D24" s="154"/>
    </row>
    <row r="25" spans="1:4" ht="15" thickBot="1">
      <c r="A25" s="611" t="s">
        <v>1006</v>
      </c>
      <c r="B25" s="612"/>
      <c r="C25" s="612"/>
      <c r="D25" s="613"/>
    </row>
    <row r="26" spans="1:4">
      <c r="A26" t="str">
        <f>DEMO!A4</f>
        <v>Cut</v>
      </c>
      <c r="B26" s="2">
        <f>DEMO!B4</f>
        <v>2.8</v>
      </c>
      <c r="C26" s="4">
        <f>DEMO!C4*DEMO!D4</f>
        <v>0</v>
      </c>
      <c r="D26" s="2">
        <f>DEMO!E4</f>
        <v>0</v>
      </c>
    </row>
    <row r="27" spans="1:4">
      <c r="A27" t="str">
        <f>DEMO!A5</f>
        <v>Full Chip Out</v>
      </c>
      <c r="B27" s="2">
        <f>DEMO!B5</f>
        <v>3.5</v>
      </c>
      <c r="C27" s="4">
        <f>DEMO!C5*DEMO!D5</f>
        <v>1035</v>
      </c>
      <c r="D27" s="2">
        <f>DEMO!E5</f>
        <v>3622.5</v>
      </c>
    </row>
    <row r="28" spans="1:4">
      <c r="A28" t="str">
        <f>DEMO!A6</f>
        <v>Remove Coping</v>
      </c>
      <c r="B28" s="1">
        <f>DEMO!B6</f>
        <v>20</v>
      </c>
      <c r="C28" s="4">
        <f>DEMO!D6</f>
        <v>0</v>
      </c>
      <c r="D28" s="1">
        <f>DEMO!E6</f>
        <v>0</v>
      </c>
    </row>
    <row r="29" spans="1:4">
      <c r="A29" t="str">
        <f>DEMO!A7</f>
        <v>Remove Decking</v>
      </c>
      <c r="B29" s="2">
        <f>DEMO!B7</f>
        <v>4</v>
      </c>
      <c r="C29" s="5">
        <f>DEMO!C7</f>
        <v>0</v>
      </c>
      <c r="D29" s="2">
        <f>DEMO!E7</f>
        <v>0</v>
      </c>
    </row>
    <row r="30" spans="1:4">
      <c r="A30" t="s">
        <v>1023</v>
      </c>
      <c r="B30" s="2">
        <f>'TILE COPING'!I24</f>
        <v>7.5</v>
      </c>
      <c r="C30" s="5">
        <f>(REMODEL!B7+REMODEL!B17)*REMODEL!B32</f>
        <v>0</v>
      </c>
      <c r="D30" s="2">
        <f>B30*C30</f>
        <v>0</v>
      </c>
    </row>
    <row r="31" spans="1:4" ht="15" thickBot="1">
      <c r="B31" s="2"/>
      <c r="C31" s="4"/>
      <c r="D31" s="2"/>
    </row>
    <row r="32" spans="1:4" ht="15" thickBot="1">
      <c r="A32" s="155" t="s">
        <v>1010</v>
      </c>
      <c r="B32" s="156"/>
      <c r="C32" s="157"/>
      <c r="D32" s="158">
        <f>SUM(D26:D31)</f>
        <v>3622.5</v>
      </c>
    </row>
    <row r="33" spans="1:4" ht="15" thickBot="1">
      <c r="A33" s="116"/>
      <c r="B33" s="116"/>
      <c r="C33" s="152"/>
      <c r="D33" s="154"/>
    </row>
    <row r="34" spans="1:4" ht="15" thickBot="1">
      <c r="A34" s="611" t="s">
        <v>475</v>
      </c>
      <c r="B34" s="612"/>
      <c r="C34" s="612"/>
      <c r="D34" s="613"/>
    </row>
    <row r="35" spans="1:4">
      <c r="A35" t="s">
        <v>487</v>
      </c>
      <c r="B35" s="4">
        <f>EXC!G5</f>
        <v>560</v>
      </c>
      <c r="D35" s="2">
        <f>EXC!D18</f>
        <v>2700</v>
      </c>
    </row>
    <row r="36" spans="1:4">
      <c r="A36" t="s">
        <v>900</v>
      </c>
      <c r="B36" s="21">
        <f>EXC!B17</f>
        <v>4900</v>
      </c>
      <c r="C36" s="5">
        <f>EXC!C17</f>
        <v>0</v>
      </c>
      <c r="D36" s="2">
        <f>EXC!D17</f>
        <v>0</v>
      </c>
    </row>
    <row r="37" spans="1:4">
      <c r="A37" t="str">
        <f>EXC!A20</f>
        <v>Add'l 6" Depth:</v>
      </c>
      <c r="B37" s="1">
        <f>EXC!B20</f>
        <v>90</v>
      </c>
      <c r="C37" s="5">
        <f>EXC!C20</f>
        <v>0</v>
      </c>
      <c r="D37" s="1">
        <f>EXC!D20</f>
        <v>0</v>
      </c>
    </row>
    <row r="38" spans="1:4">
      <c r="A38" t="str">
        <f>EXC!A21</f>
        <v>6" RBB:</v>
      </c>
      <c r="B38" s="2">
        <f>EXC!B21</f>
        <v>5</v>
      </c>
      <c r="C38" s="4">
        <f>EXC!C21</f>
        <v>46</v>
      </c>
      <c r="D38" s="2">
        <f>EXC!D21</f>
        <v>230</v>
      </c>
    </row>
    <row r="39" spans="1:4">
      <c r="A39" t="str">
        <f>EXC!A22</f>
        <v>12" RBB:</v>
      </c>
      <c r="B39" s="2">
        <f>EXC!B22</f>
        <v>6.5</v>
      </c>
      <c r="C39" s="4">
        <f>EXC!C22</f>
        <v>0</v>
      </c>
      <c r="D39" s="2">
        <f>EXC!D22</f>
        <v>0</v>
      </c>
    </row>
    <row r="40" spans="1:4">
      <c r="A40" t="str">
        <f>EXC!A23</f>
        <v>18" RBB:</v>
      </c>
      <c r="B40" s="2">
        <f>EXC!B23</f>
        <v>7.5</v>
      </c>
      <c r="C40" s="4">
        <f>EXC!C23</f>
        <v>0</v>
      </c>
      <c r="D40" s="2">
        <f>EXC!D23</f>
        <v>0</v>
      </c>
    </row>
    <row r="41" spans="1:4">
      <c r="A41" t="str">
        <f>EXC!A24</f>
        <v>24" RBB:</v>
      </c>
      <c r="B41" s="2">
        <f>EXC!B24</f>
        <v>8.5</v>
      </c>
      <c r="C41" s="4">
        <f>EXC!C24</f>
        <v>49</v>
      </c>
      <c r="D41" s="2">
        <f>EXC!D24</f>
        <v>416.5</v>
      </c>
    </row>
    <row r="42" spans="1:4">
      <c r="A42" t="str">
        <f>EXC!A25</f>
        <v>30" RBB"</v>
      </c>
      <c r="B42" s="2">
        <f>EXC!B25</f>
        <v>9</v>
      </c>
      <c r="C42" s="4">
        <f>EXC!C25</f>
        <v>0</v>
      </c>
      <c r="D42" s="2">
        <f>EXC!D25</f>
        <v>0</v>
      </c>
    </row>
    <row r="43" spans="1:4">
      <c r="A43" t="str">
        <f>EXC!A26</f>
        <v>36" RBB:</v>
      </c>
      <c r="B43" s="2">
        <f>EXC!B26</f>
        <v>10</v>
      </c>
      <c r="C43" s="4">
        <f>EXC!C26</f>
        <v>0</v>
      </c>
      <c r="D43" s="2">
        <f>EXC!D26</f>
        <v>0</v>
      </c>
    </row>
    <row r="44" spans="1:4">
      <c r="A44" t="str">
        <f>EXC!A27</f>
        <v>Base Spa:</v>
      </c>
      <c r="B44" s="1">
        <f>EXC!B27</f>
        <v>200</v>
      </c>
      <c r="C44" s="5">
        <f>EXC!C27</f>
        <v>1</v>
      </c>
      <c r="D44" s="1">
        <f>EXC!D27</f>
        <v>200</v>
      </c>
    </row>
    <row r="45" spans="1:4">
      <c r="A45" t="str">
        <f>EXC!A28</f>
        <v>Raise Spa:</v>
      </c>
      <c r="B45" s="1">
        <f>EXC!B28</f>
        <v>350</v>
      </c>
      <c r="C45" s="5">
        <f>EXC!C28</f>
        <v>1</v>
      </c>
      <c r="D45" s="1">
        <f>EXC!D28</f>
        <v>350</v>
      </c>
    </row>
    <row r="46" spans="1:4">
      <c r="A46" t="str">
        <f>EXC!A29</f>
        <v>Site Prep:</v>
      </c>
      <c r="B46" s="1">
        <f>EXC!B29</f>
        <v>200</v>
      </c>
      <c r="C46" s="5">
        <f>EXC!C29</f>
        <v>0</v>
      </c>
      <c r="D46" s="1">
        <f>EXC!D29</f>
        <v>0</v>
      </c>
    </row>
    <row r="47" spans="1:4">
      <c r="A47" t="str">
        <f>EXC!A30</f>
        <v>Backfill:</v>
      </c>
      <c r="B47" s="2">
        <f>EXC!B30</f>
        <v>600</v>
      </c>
      <c r="C47" s="4">
        <f>EXC!C30</f>
        <v>1</v>
      </c>
      <c r="D47" s="2">
        <f>EXC!D30</f>
        <v>600</v>
      </c>
    </row>
    <row r="48" spans="1:4">
      <c r="A48" t="str">
        <f>EXC!A31</f>
        <v>Gravel:</v>
      </c>
      <c r="B48" s="1">
        <f>EXC!B31</f>
        <v>1</v>
      </c>
      <c r="C48" s="5">
        <f>EXC!C31</f>
        <v>2.75</v>
      </c>
      <c r="D48" s="1">
        <f>EXC!D31</f>
        <v>1540</v>
      </c>
    </row>
    <row r="49" spans="1:5">
      <c r="A49" t="str">
        <f>EXC!A32</f>
        <v>Dirt Haul:</v>
      </c>
      <c r="B49" s="1">
        <f>EXC!B32</f>
        <v>18</v>
      </c>
      <c r="C49" s="5">
        <f>ROUNDUP(EXC!C32,0)</f>
        <v>169</v>
      </c>
      <c r="D49" s="1">
        <f>ROUNDUP(EXC!D32,0)</f>
        <v>3039</v>
      </c>
    </row>
    <row r="50" spans="1:5">
      <c r="A50" t="str">
        <f>EXC!A33</f>
        <v>Cover Box:</v>
      </c>
      <c r="B50" s="1">
        <f>EXC!B33</f>
        <v>450</v>
      </c>
      <c r="C50" s="5">
        <f>EXC!C33</f>
        <v>0</v>
      </c>
      <c r="D50" s="1">
        <f>EXC!D33</f>
        <v>0</v>
      </c>
    </row>
    <row r="51" spans="1:5">
      <c r="A51" t="str">
        <f>EXC!A34</f>
        <v>Travel:</v>
      </c>
      <c r="B51" s="1">
        <f>EXC!B34</f>
        <v>7</v>
      </c>
      <c r="C51" s="5">
        <f>EXC!C34</f>
        <v>0</v>
      </c>
      <c r="D51" s="1">
        <f>EXC!D34</f>
        <v>0</v>
      </c>
    </row>
    <row r="52" spans="1:5">
      <c r="A52" t="str">
        <f>EXC!A35</f>
        <v>Misc:</v>
      </c>
      <c r="B52" s="1">
        <f>EXC!B35</f>
        <v>75</v>
      </c>
      <c r="C52" s="5">
        <f>EXC!C35</f>
        <v>1</v>
      </c>
      <c r="D52" s="1">
        <f>EXC!D35</f>
        <v>75</v>
      </c>
      <c r="E52" s="4" t="s">
        <v>765</v>
      </c>
    </row>
    <row r="53" spans="1:5" ht="15" thickBot="1">
      <c r="A53" t="s">
        <v>984</v>
      </c>
      <c r="D53" s="1">
        <v>0</v>
      </c>
      <c r="E53" s="455">
        <v>0</v>
      </c>
    </row>
    <row r="54" spans="1:5" ht="15" thickBot="1">
      <c r="A54" s="155" t="s">
        <v>521</v>
      </c>
      <c r="B54" s="156"/>
      <c r="C54" s="157"/>
      <c r="D54" s="454">
        <v>0</v>
      </c>
    </row>
    <row r="55" spans="1:5" ht="15" thickBot="1"/>
    <row r="56" spans="1:5" ht="15" thickBot="1">
      <c r="A56" s="611" t="s">
        <v>494</v>
      </c>
      <c r="B56" s="612"/>
      <c r="C56" s="612"/>
      <c r="D56" s="613"/>
    </row>
    <row r="57" spans="1:5">
      <c r="A57" t="str">
        <f>PLUM!A4</f>
        <v>Short Stub</v>
      </c>
      <c r="B57" s="2">
        <f>PLUM!B4</f>
        <v>550</v>
      </c>
      <c r="C57" s="4">
        <f>PLUM!C4</f>
        <v>1</v>
      </c>
      <c r="D57" s="2">
        <f>PLUM!D4</f>
        <v>550</v>
      </c>
    </row>
    <row r="58" spans="1:5">
      <c r="A58" t="str">
        <f>PLUM!A5</f>
        <v>Spa Base:</v>
      </c>
      <c r="B58" s="2">
        <f>PLUM!B5</f>
        <v>750</v>
      </c>
      <c r="C58" s="4">
        <f>PLUM!C5</f>
        <v>1</v>
      </c>
      <c r="D58" s="2">
        <f>PLUM!D5</f>
        <v>750</v>
      </c>
    </row>
    <row r="59" spans="1:5">
      <c r="A59" t="s">
        <v>872</v>
      </c>
      <c r="B59" s="2">
        <f>PLUM!B8</f>
        <v>25</v>
      </c>
      <c r="C59" s="4">
        <f>PLUM!C8</f>
        <v>180</v>
      </c>
      <c r="D59" s="24">
        <f>PLUM!D8</f>
        <v>4500</v>
      </c>
    </row>
    <row r="60" spans="1:5">
      <c r="A60" t="s">
        <v>871</v>
      </c>
      <c r="B60" s="2">
        <f>PLUM!B9</f>
        <v>22</v>
      </c>
      <c r="C60" s="4">
        <f>PLUM!C9</f>
        <v>80</v>
      </c>
      <c r="D60" s="24">
        <f>PLUM!D9</f>
        <v>1760</v>
      </c>
    </row>
    <row r="61" spans="1:5">
      <c r="A61" t="str">
        <f>PLUM!A10</f>
        <v>1/2"</v>
      </c>
      <c r="B61" s="2">
        <f>PLUM!B10</f>
        <v>3.25</v>
      </c>
      <c r="C61" s="4">
        <f>PLUM!C10</f>
        <v>0</v>
      </c>
      <c r="D61" s="2">
        <f>PLUM!D10</f>
        <v>0</v>
      </c>
    </row>
    <row r="62" spans="1:5">
      <c r="A62" t="str">
        <f>PLUM!A11</f>
        <v>3/4"</v>
      </c>
      <c r="B62" s="2">
        <f>PLUM!B11</f>
        <v>3</v>
      </c>
      <c r="C62" s="4">
        <f>PLUM!C11</f>
        <v>0</v>
      </c>
      <c r="D62" s="2">
        <f>PLUM!D11</f>
        <v>0</v>
      </c>
    </row>
    <row r="63" spans="1:5">
      <c r="A63" t="str">
        <f>PLUM!A12</f>
        <v>1"</v>
      </c>
      <c r="B63" s="2">
        <f>PLUM!B12</f>
        <v>3.5</v>
      </c>
      <c r="C63" s="4">
        <f>PLUM!C12</f>
        <v>0</v>
      </c>
      <c r="D63" s="2">
        <f>PLUM!D12</f>
        <v>0</v>
      </c>
    </row>
    <row r="64" spans="1:5">
      <c r="A64" t="str">
        <f>PLUM!A13</f>
        <v>1.5"</v>
      </c>
      <c r="B64" s="2">
        <f>PLUM!B13</f>
        <v>4.5</v>
      </c>
      <c r="C64" s="4">
        <f>PLUM!C13</f>
        <v>0</v>
      </c>
      <c r="D64" s="2">
        <f>PLUM!D13</f>
        <v>0</v>
      </c>
    </row>
    <row r="65" spans="1:4">
      <c r="A65" t="str">
        <f>PLUM!A14</f>
        <v>2.0"</v>
      </c>
      <c r="B65" s="2">
        <f>PLUM!B14</f>
        <v>5.5</v>
      </c>
      <c r="C65" s="4">
        <f>PLUM!C14</f>
        <v>392</v>
      </c>
      <c r="D65" s="2">
        <f>PLUM!D14</f>
        <v>2156</v>
      </c>
    </row>
    <row r="66" spans="1:4">
      <c r="A66" t="str">
        <f>PLUM!A15</f>
        <v>2.5"</v>
      </c>
      <c r="B66" s="2">
        <f>PLUM!B15</f>
        <v>7</v>
      </c>
      <c r="C66" s="4">
        <f>PLUM!C15</f>
        <v>78</v>
      </c>
      <c r="D66" s="2">
        <f>PLUM!D15</f>
        <v>546</v>
      </c>
    </row>
    <row r="67" spans="1:4">
      <c r="A67" t="str">
        <f>PLUM!A16</f>
        <v>3.0"</v>
      </c>
      <c r="B67" s="2">
        <f>PLUM!B16</f>
        <v>8.75</v>
      </c>
      <c r="C67" s="4">
        <f>PLUM!C16</f>
        <v>0</v>
      </c>
      <c r="D67" s="2">
        <f>PLUM!D16</f>
        <v>0</v>
      </c>
    </row>
    <row r="68" spans="1:4">
      <c r="A68" t="str">
        <f>PLUM!A22</f>
        <v>Add'l Main Drain:</v>
      </c>
      <c r="B68" s="2">
        <f>PLUM!B22</f>
        <v>275</v>
      </c>
      <c r="C68" s="4">
        <f>PLUM!C22</f>
        <v>0</v>
      </c>
      <c r="D68" s="2">
        <f>PLUM!D22</f>
        <v>0</v>
      </c>
    </row>
    <row r="69" spans="1:4">
      <c r="A69" t="str">
        <f>PLUM!A23</f>
        <v>Manifold:</v>
      </c>
      <c r="B69" s="2">
        <f>PLUM!B23</f>
        <v>175</v>
      </c>
      <c r="C69" s="4">
        <f>PLUM!C23</f>
        <v>1</v>
      </c>
      <c r="D69" s="2">
        <f>PLUM!D23</f>
        <v>175</v>
      </c>
    </row>
    <row r="70" spans="1:4">
      <c r="A70" t="str">
        <f>PLUM!A24</f>
        <v>Heater Set:</v>
      </c>
      <c r="B70" s="2">
        <f>PLUM!B24</f>
        <v>300</v>
      </c>
      <c r="C70" s="4">
        <f>PLUM!C24</f>
        <v>0</v>
      </c>
      <c r="D70" s="2">
        <f>PLUM!D24</f>
        <v>0</v>
      </c>
    </row>
    <row r="71" spans="1:4">
      <c r="A71" t="str">
        <f>PLUM!A25</f>
        <v>Infloor:</v>
      </c>
      <c r="B71" s="2">
        <f>PLUM!B25</f>
        <v>10</v>
      </c>
      <c r="C71" s="4">
        <f>PLUM!C25</f>
        <v>0</v>
      </c>
      <c r="D71" s="2">
        <f>PLUM!D25</f>
        <v>0</v>
      </c>
    </row>
    <row r="72" spans="1:4">
      <c r="A72" t="str">
        <f>PLUM!A26</f>
        <v>Conduit:</v>
      </c>
      <c r="B72" s="2">
        <f>PLUM!B26</f>
        <v>2.75</v>
      </c>
      <c r="C72" s="4">
        <f>PLUM!C26</f>
        <v>369</v>
      </c>
      <c r="D72" s="2">
        <f>PLUM!D26</f>
        <v>1014.75</v>
      </c>
    </row>
    <row r="73" spans="1:4">
      <c r="A73" t="str">
        <f>PLUM!A28</f>
        <v>Travel:</v>
      </c>
      <c r="B73" s="2">
        <f>PLUM!B28</f>
        <v>5</v>
      </c>
      <c r="C73" s="4">
        <f>PLUM!C28</f>
        <v>0</v>
      </c>
      <c r="D73" s="2">
        <f>PLUM!D28</f>
        <v>0</v>
      </c>
    </row>
    <row r="74" spans="1:4" ht="15" thickBot="1"/>
    <row r="75" spans="1:4" ht="15" thickBot="1">
      <c r="A75" s="155" t="s">
        <v>520</v>
      </c>
      <c r="B75" s="156"/>
      <c r="C75" s="157"/>
      <c r="D75" s="158">
        <v>0</v>
      </c>
    </row>
    <row r="76" spans="1:4" ht="15" thickBot="1">
      <c r="A76" s="116"/>
      <c r="B76" s="116"/>
      <c r="C76" s="152"/>
      <c r="D76" s="154"/>
    </row>
    <row r="77" spans="1:4" ht="15" thickBot="1">
      <c r="A77" s="611" t="s">
        <v>668</v>
      </c>
      <c r="B77" s="612"/>
      <c r="C77" s="612"/>
      <c r="D77" s="613"/>
    </row>
    <row r="78" spans="1:4">
      <c r="A78" t="str">
        <f>PLUM!A33</f>
        <v>Base Set:</v>
      </c>
      <c r="B78" s="129">
        <f>PLUM!B33</f>
        <v>1500</v>
      </c>
      <c r="C78" s="4">
        <f>IF('NEW POOL'!B68&gt;0,1,0)</f>
        <v>1</v>
      </c>
      <c r="D78" s="129">
        <f>B78*C78</f>
        <v>1500</v>
      </c>
    </row>
    <row r="79" spans="1:4">
      <c r="A79" t="str">
        <f>PLUM!A34</f>
        <v>Add'l Run</v>
      </c>
      <c r="B79" s="129">
        <f>PLUM!B34</f>
        <v>11</v>
      </c>
      <c r="C79" s="4">
        <f>PLUM!C34</f>
        <v>50</v>
      </c>
      <c r="D79" s="129">
        <f>PLUM!D34</f>
        <v>550</v>
      </c>
    </row>
    <row r="80" spans="1:4" ht="15" thickBot="1">
      <c r="B80" s="129"/>
      <c r="C80" s="4"/>
      <c r="D80" s="129"/>
    </row>
    <row r="81" spans="1:4" ht="15" thickBot="1">
      <c r="A81" s="155" t="s">
        <v>669</v>
      </c>
      <c r="B81" s="156"/>
      <c r="C81" s="157"/>
      <c r="D81" s="158">
        <f>SUM(D78:D80)</f>
        <v>2050</v>
      </c>
    </row>
    <row r="82" spans="1:4" ht="15" thickBot="1">
      <c r="A82" s="116"/>
      <c r="B82" s="116"/>
      <c r="C82" s="116"/>
      <c r="D82" s="116"/>
    </row>
    <row r="83" spans="1:4" ht="15" thickBot="1">
      <c r="A83" s="611" t="s">
        <v>524</v>
      </c>
      <c r="B83" s="612"/>
      <c r="C83" s="612"/>
      <c r="D83" s="613"/>
    </row>
    <row r="84" spans="1:4">
      <c r="A84" t="str">
        <f>STEEL!A4</f>
        <v>Base:</v>
      </c>
      <c r="B84" s="2">
        <f>STEEL!B4</f>
        <v>25</v>
      </c>
      <c r="C84" s="4">
        <f>STEEL!C4</f>
        <v>100</v>
      </c>
      <c r="D84" s="2">
        <f>STEEL!D4</f>
        <v>2500</v>
      </c>
    </row>
    <row r="85" spans="1:4">
      <c r="A85" t="str">
        <f>STEEL!A5</f>
        <v>4-Bar Beam:</v>
      </c>
      <c r="B85" s="2">
        <f>STEEL!B5</f>
        <v>100</v>
      </c>
      <c r="C85" s="4">
        <f>STEEL!C5</f>
        <v>1</v>
      </c>
      <c r="D85" s="2">
        <f>STEEL!D5</f>
        <v>100</v>
      </c>
    </row>
    <row r="86" spans="1:4">
      <c r="A86" t="str">
        <f>STEEL!A6</f>
        <v>10" OC:</v>
      </c>
      <c r="B86" s="2">
        <f>STEEL!B6</f>
        <v>0</v>
      </c>
      <c r="C86" s="4">
        <f>STEEL!C6</f>
        <v>100</v>
      </c>
      <c r="D86" s="2">
        <f>STEEL!D6</f>
        <v>0</v>
      </c>
    </row>
    <row r="87" spans="1:4">
      <c r="A87" t="str">
        <f>STEEL!A7</f>
        <v>Add'l 6" Depth:</v>
      </c>
      <c r="B87" s="2">
        <f>STEEL!B7</f>
        <v>100</v>
      </c>
      <c r="C87" s="4">
        <f>STEEL!C7</f>
        <v>0</v>
      </c>
      <c r="D87" s="2">
        <f>STEEL!D7</f>
        <v>0</v>
      </c>
    </row>
    <row r="88" spans="1:4">
      <c r="A88" t="str">
        <f>STEEL!A8</f>
        <v>Spa:</v>
      </c>
      <c r="B88" s="2">
        <f>STEEL!B8</f>
        <v>450</v>
      </c>
      <c r="C88" s="4">
        <f>STEEL!C8</f>
        <v>1</v>
      </c>
      <c r="D88" s="2">
        <f>STEEL!D8</f>
        <v>450</v>
      </c>
    </row>
    <row r="89" spans="1:4">
      <c r="A89" t="s">
        <v>490</v>
      </c>
      <c r="B89" s="2">
        <f>STEEL!B9</f>
        <v>150</v>
      </c>
      <c r="C89" s="423">
        <f>STEEL!C9</f>
        <v>1</v>
      </c>
      <c r="D89" s="2">
        <f>STEEL!D9</f>
        <v>150</v>
      </c>
    </row>
    <row r="90" spans="1:4">
      <c r="A90" t="str">
        <f>STEEL!A10</f>
        <v>Bench:</v>
      </c>
      <c r="B90" s="2">
        <f>STEEL!B10</f>
        <v>8</v>
      </c>
      <c r="C90" s="4">
        <f>STEEL!C10</f>
        <v>52</v>
      </c>
      <c r="D90" s="2">
        <f>STEEL!D10</f>
        <v>416</v>
      </c>
    </row>
    <row r="91" spans="1:4">
      <c r="A91" t="str">
        <f>STEEL!A11</f>
        <v>6" RBB:</v>
      </c>
      <c r="B91" s="2">
        <f>STEEL!B11</f>
        <v>3</v>
      </c>
      <c r="C91" s="4">
        <f>STEEL!C11</f>
        <v>46</v>
      </c>
      <c r="D91" s="2">
        <f>STEEL!D11</f>
        <v>138</v>
      </c>
    </row>
    <row r="92" spans="1:4">
      <c r="A92" t="str">
        <f>STEEL!A12</f>
        <v>12" RBB:</v>
      </c>
      <c r="B92" s="2">
        <f>STEEL!B12</f>
        <v>4</v>
      </c>
      <c r="C92" s="4">
        <f>STEEL!C12</f>
        <v>0</v>
      </c>
      <c r="D92" s="2">
        <f>STEEL!D12</f>
        <v>0</v>
      </c>
    </row>
    <row r="93" spans="1:4">
      <c r="A93" t="str">
        <f>STEEL!A13</f>
        <v>18" RBB:</v>
      </c>
      <c r="B93" s="2">
        <f>STEEL!B13</f>
        <v>5</v>
      </c>
      <c r="C93" s="4">
        <f>STEEL!C13</f>
        <v>0</v>
      </c>
      <c r="D93" s="2">
        <f>STEEL!D13</f>
        <v>0</v>
      </c>
    </row>
    <row r="94" spans="1:4">
      <c r="A94" t="str">
        <f>STEEL!A14</f>
        <v>24" RBB:</v>
      </c>
      <c r="B94" s="2">
        <f>STEEL!B14</f>
        <v>6</v>
      </c>
      <c r="C94" s="4">
        <f>STEEL!C14</f>
        <v>49</v>
      </c>
      <c r="D94" s="2">
        <f>STEEL!D14</f>
        <v>294</v>
      </c>
    </row>
    <row r="95" spans="1:4">
      <c r="A95" t="str">
        <f>STEEL!A15</f>
        <v>30" RBB:</v>
      </c>
      <c r="B95" s="2">
        <f>STEEL!B15</f>
        <v>7</v>
      </c>
      <c r="C95" s="4">
        <f>STEEL!C15</f>
        <v>0</v>
      </c>
      <c r="D95" s="2">
        <f>STEEL!D15</f>
        <v>0</v>
      </c>
    </row>
    <row r="96" spans="1:4">
      <c r="A96" t="str">
        <f>STEEL!A16</f>
        <v>36" RBB:</v>
      </c>
      <c r="B96" s="2">
        <f>STEEL!B16</f>
        <v>7</v>
      </c>
      <c r="C96" s="4">
        <f>STEEL!C16</f>
        <v>0</v>
      </c>
      <c r="D96" s="2">
        <f>STEEL!D16</f>
        <v>0</v>
      </c>
    </row>
    <row r="97" spans="1:4">
      <c r="A97" t="str">
        <f>STEEL!A17</f>
        <v>Pool Bonding:</v>
      </c>
      <c r="B97" s="2">
        <f>STEEL!B17</f>
        <v>500</v>
      </c>
      <c r="C97" s="4">
        <f>STEEL!C17</f>
        <v>1</v>
      </c>
      <c r="D97" s="2">
        <f>STEEL!D17</f>
        <v>500</v>
      </c>
    </row>
    <row r="98" spans="1:4">
      <c r="A98" t="str">
        <f>STEEL!A18</f>
        <v>Bonding Lights:</v>
      </c>
      <c r="B98" s="2">
        <f>STEEL!B18</f>
        <v>0</v>
      </c>
      <c r="C98" s="4">
        <f>STEEL!C18</f>
        <v>4</v>
      </c>
      <c r="D98" s="2">
        <f>STEEL!D18</f>
        <v>0</v>
      </c>
    </row>
    <row r="99" spans="1:4">
      <c r="A99" t="str">
        <f>STEEL!A19</f>
        <v>#4 in Floor:</v>
      </c>
      <c r="B99" s="2">
        <f>STEEL!B19</f>
        <v>0</v>
      </c>
      <c r="C99" s="4">
        <f>STEEL!C19</f>
        <v>0</v>
      </c>
      <c r="D99" s="2">
        <f>STEEL!D19</f>
        <v>0</v>
      </c>
    </row>
    <row r="100" spans="1:4">
      <c r="A100" t="str">
        <f>STEEL!A20</f>
        <v>Depth over 8':</v>
      </c>
      <c r="B100" s="2">
        <f>STEEL!B20</f>
        <v>80</v>
      </c>
      <c r="C100" s="4">
        <f>STEEL!C20</f>
        <v>0</v>
      </c>
      <c r="D100" s="2">
        <f>STEEL!D20</f>
        <v>0</v>
      </c>
    </row>
    <row r="101" spans="1:4">
      <c r="A101" t="str">
        <f>STEEL!A21</f>
        <v>Negative Edge:</v>
      </c>
      <c r="B101" s="2">
        <f>STEEL!B21</f>
        <v>750</v>
      </c>
      <c r="C101" s="4">
        <f>STEEL!C21</f>
        <v>0</v>
      </c>
      <c r="D101" s="2">
        <f>STEEL!D21</f>
        <v>0</v>
      </c>
    </row>
    <row r="102" spans="1:4">
      <c r="A102" t="str">
        <f>STEEL!A22</f>
        <v>Tanning Shelf:</v>
      </c>
      <c r="B102" s="2">
        <f>STEEL!B22</f>
        <v>275</v>
      </c>
      <c r="C102" s="4">
        <f>STEEL!C22</f>
        <v>1</v>
      </c>
      <c r="D102" s="2">
        <f>STEEL!D22</f>
        <v>275</v>
      </c>
    </row>
    <row r="103" spans="1:4">
      <c r="A103" t="str">
        <f>STEEL!A24</f>
        <v>Spa Double Curtain:</v>
      </c>
      <c r="B103" s="2">
        <f>STEEL!B24</f>
        <v>75</v>
      </c>
      <c r="C103" s="4">
        <f>STEEL!C24</f>
        <v>1</v>
      </c>
      <c r="D103" s="2">
        <f>STEEL!D24</f>
        <v>75</v>
      </c>
    </row>
    <row r="104" spans="1:4">
      <c r="A104" t="str">
        <f>STEEL!A25</f>
        <v>Double Curtain:</v>
      </c>
      <c r="B104" s="2">
        <f>STEEL!B25</f>
        <v>35</v>
      </c>
      <c r="C104" s="4">
        <f>STEEL!C25</f>
        <v>0</v>
      </c>
      <c r="D104" s="2">
        <f>STEEL!D25</f>
        <v>0</v>
      </c>
    </row>
    <row r="105" spans="1:4">
      <c r="A105" t="str">
        <f>STEEL!A23</f>
        <v>Muck Out:</v>
      </c>
      <c r="B105" s="2">
        <f>STEEL!B23</f>
        <v>100</v>
      </c>
      <c r="C105" s="4">
        <f>STEEL!C23</f>
        <v>2</v>
      </c>
      <c r="D105" s="2">
        <f>STEEL!D23</f>
        <v>200</v>
      </c>
    </row>
    <row r="106" spans="1:4">
      <c r="A106" t="str">
        <f>STEEL!A26</f>
        <v>Travel:</v>
      </c>
      <c r="B106" s="2">
        <f>STEEL!B26</f>
        <v>7</v>
      </c>
      <c r="C106" s="4">
        <f>STEEL!C26</f>
        <v>0</v>
      </c>
      <c r="D106" s="2">
        <f>STEEL!D26</f>
        <v>0</v>
      </c>
    </row>
    <row r="107" spans="1:4" ht="15" thickBot="1"/>
    <row r="108" spans="1:4" ht="15" thickBot="1">
      <c r="A108" s="155" t="s">
        <v>536</v>
      </c>
      <c r="B108" s="156"/>
      <c r="C108" s="157"/>
      <c r="D108" s="158">
        <v>0</v>
      </c>
    </row>
    <row r="109" spans="1:4" ht="15" thickBot="1"/>
    <row r="110" spans="1:4" ht="15" thickBot="1">
      <c r="A110" s="611" t="s">
        <v>537</v>
      </c>
      <c r="B110" s="612"/>
      <c r="C110" s="612"/>
      <c r="D110" s="613"/>
    </row>
    <row r="111" spans="1:4">
      <c r="A111" t="str">
        <f>ELEC!A4</f>
        <v>Base:</v>
      </c>
      <c r="B111" s="2">
        <f>ELEC!B4</f>
        <v>1650</v>
      </c>
      <c r="C111" s="4">
        <f>ELEC!C4</f>
        <v>1</v>
      </c>
      <c r="D111" s="2">
        <f>ELEC!D4</f>
        <v>1650</v>
      </c>
    </row>
    <row r="112" spans="1:4">
      <c r="A112" t="str">
        <f>ELEC!A5</f>
        <v>Homerun:</v>
      </c>
      <c r="B112" s="2">
        <f>ELEC!B5</f>
        <v>18</v>
      </c>
      <c r="C112" s="4">
        <f>ELEC!C5</f>
        <v>0</v>
      </c>
      <c r="D112" s="2">
        <f>ELEC!D5</f>
        <v>0</v>
      </c>
    </row>
    <row r="113" spans="1:5">
      <c r="A113" t="str">
        <f>ELEC!A6</f>
        <v>Lights:</v>
      </c>
      <c r="B113" s="2">
        <f>ELEC!B6</f>
        <v>100</v>
      </c>
      <c r="C113" s="4">
        <f>ELEC!C6</f>
        <v>3</v>
      </c>
      <c r="D113" s="2">
        <f>ELEC!D6</f>
        <v>300</v>
      </c>
    </row>
    <row r="114" spans="1:5">
      <c r="A114" t="str">
        <f>ELEC!A7</f>
        <v>Heater:</v>
      </c>
      <c r="B114" s="2">
        <f>ELEC!B7</f>
        <v>255</v>
      </c>
      <c r="C114" s="4">
        <f>ELEC!C7</f>
        <v>1</v>
      </c>
      <c r="D114" s="2">
        <f>ELEC!D7</f>
        <v>255</v>
      </c>
    </row>
    <row r="115" spans="1:5">
      <c r="A115" t="str">
        <f>ELEC!A8</f>
        <v>Heatpump:</v>
      </c>
      <c r="B115" s="2">
        <f>ELEC!B8</f>
        <v>450</v>
      </c>
      <c r="C115" s="4">
        <f>ELEC!C8</f>
        <v>0</v>
      </c>
      <c r="D115" s="2">
        <f>ELEC!D8</f>
        <v>0</v>
      </c>
    </row>
    <row r="116" spans="1:5">
      <c r="A116" t="str">
        <f>ELEC!A9</f>
        <v>Add'l Heatpump:</v>
      </c>
      <c r="B116" s="2">
        <f>ELEC!B9</f>
        <v>6</v>
      </c>
      <c r="C116" s="4">
        <f>ELEC!C9</f>
        <v>0</v>
      </c>
      <c r="D116" s="2">
        <f>ELEC!D9</f>
        <v>0</v>
      </c>
    </row>
    <row r="117" spans="1:5">
      <c r="A117" t="str">
        <f>ELEC!A10</f>
        <v>Salt System:</v>
      </c>
      <c r="B117" s="2">
        <f>ELEC!B10</f>
        <v>200</v>
      </c>
      <c r="C117" s="4">
        <f>ELEC!C10</f>
        <v>0</v>
      </c>
      <c r="D117" s="2">
        <f>ELEC!D10</f>
        <v>0</v>
      </c>
    </row>
    <row r="118" spans="1:5">
      <c r="A118" t="str">
        <f>ELEC!A11</f>
        <v>Automation:</v>
      </c>
      <c r="B118" s="2">
        <f>ELEC!B11</f>
        <v>250</v>
      </c>
      <c r="C118" s="4">
        <f>ELEC!C11</f>
        <v>1</v>
      </c>
      <c r="D118" s="2">
        <f>ELEC!D11</f>
        <v>250</v>
      </c>
    </row>
    <row r="119" spans="1:5">
      <c r="A119" t="str">
        <f>ELEC!A12</f>
        <v>Bonding:</v>
      </c>
      <c r="B119" s="2">
        <f>ELEC!B12</f>
        <v>300</v>
      </c>
      <c r="C119" s="4">
        <f>ELEC!C12</f>
        <v>1</v>
      </c>
      <c r="D119" s="2">
        <f>ELEC!D12</f>
        <v>300</v>
      </c>
    </row>
    <row r="120" spans="1:5">
      <c r="A120" t="str">
        <f>ELEC!A13</f>
        <v>Outlet:</v>
      </c>
      <c r="B120" s="2">
        <f>ELEC!B13</f>
        <v>85</v>
      </c>
      <c r="C120" s="4">
        <f>ELEC!C13</f>
        <v>1</v>
      </c>
      <c r="D120" s="2">
        <f>ELEC!D13</f>
        <v>85</v>
      </c>
    </row>
    <row r="121" spans="1:5">
      <c r="A121" t="s">
        <v>869</v>
      </c>
      <c r="B121" s="2">
        <f>ELEC!B15</f>
        <v>3</v>
      </c>
      <c r="C121" s="5">
        <f>'NEW POOL'!B134</f>
        <v>0</v>
      </c>
      <c r="D121" s="2">
        <f>B121*C121</f>
        <v>0</v>
      </c>
      <c r="E121" s="416">
        <f>D121/0.75</f>
        <v>0</v>
      </c>
    </row>
    <row r="122" spans="1:5">
      <c r="A122" t="str">
        <f>ELEC!A14</f>
        <v>Travel:</v>
      </c>
      <c r="B122" s="2">
        <f>ELEC!B14</f>
        <v>7</v>
      </c>
      <c r="C122" s="4">
        <f>ELEC!C14</f>
        <v>0</v>
      </c>
      <c r="D122" s="2">
        <f>ELEC!D14</f>
        <v>0</v>
      </c>
    </row>
    <row r="123" spans="1:5" ht="15" thickBot="1"/>
    <row r="124" spans="1:5" ht="15" thickBot="1">
      <c r="A124" s="155" t="s">
        <v>559</v>
      </c>
      <c r="B124" s="156"/>
      <c r="C124" s="157"/>
      <c r="D124" s="158">
        <v>0</v>
      </c>
    </row>
    <row r="125" spans="1:5" ht="15" thickBot="1"/>
    <row r="126" spans="1:5" ht="15" thickBot="1">
      <c r="A126" s="611" t="s">
        <v>541</v>
      </c>
      <c r="B126" s="612"/>
      <c r="C126" s="612"/>
      <c r="D126" s="613"/>
    </row>
    <row r="127" spans="1:5">
      <c r="A127" t="str">
        <f>SHOT!A4</f>
        <v>Minimum Labor:</v>
      </c>
      <c r="B127" s="2">
        <f>SHOT!B4</f>
        <v>90</v>
      </c>
      <c r="C127" s="4">
        <f>SHOT!C4</f>
        <v>32</v>
      </c>
      <c r="D127" s="2">
        <f>SHOT!D4</f>
        <v>2880</v>
      </c>
    </row>
    <row r="128" spans="1:5">
      <c r="A128" t="str">
        <f>SHOT!A5</f>
        <v>Add'l Labor:</v>
      </c>
      <c r="B128" s="2">
        <f>SHOT!B5</f>
        <v>90</v>
      </c>
      <c r="C128" s="4">
        <f>SHOT!C5</f>
        <v>22</v>
      </c>
      <c r="D128" s="2">
        <f>SHOT!D5</f>
        <v>1980</v>
      </c>
    </row>
    <row r="129" spans="1:4">
      <c r="A129" t="str">
        <f>SHOT!A6</f>
        <v>Spa:</v>
      </c>
      <c r="B129" s="2">
        <f>SHOT!B6</f>
        <v>250</v>
      </c>
      <c r="C129" s="4">
        <f>SHOT!C6</f>
        <v>1</v>
      </c>
      <c r="D129" s="2">
        <f>SHOT!D6</f>
        <v>250</v>
      </c>
    </row>
    <row r="130" spans="1:4">
      <c r="A130" t="str">
        <f>SHOT!A7</f>
        <v>Auto Cover:</v>
      </c>
      <c r="B130" s="2">
        <f>SHOT!B7</f>
        <v>250</v>
      </c>
      <c r="C130" s="4">
        <f>SHOT!C7</f>
        <v>0</v>
      </c>
      <c r="D130" s="2">
        <f>SHOT!D7</f>
        <v>0</v>
      </c>
    </row>
    <row r="131" spans="1:4">
      <c r="A131" t="str">
        <f>SHOT!A8</f>
        <v>Distance 251 to 300</v>
      </c>
      <c r="B131" s="2">
        <f>SHOT!B8</f>
        <v>500</v>
      </c>
      <c r="C131" s="4">
        <f>SHOT!C8</f>
        <v>0</v>
      </c>
      <c r="D131" s="2">
        <f>SHOT!D8</f>
        <v>0</v>
      </c>
    </row>
    <row r="132" spans="1:4">
      <c r="A132" t="str">
        <f>SHOT!A9</f>
        <v>Distance 301 to 350</v>
      </c>
      <c r="B132" s="2">
        <f>SHOT!B9</f>
        <v>1000</v>
      </c>
      <c r="C132" s="4">
        <f>SHOT!C9</f>
        <v>0</v>
      </c>
      <c r="D132" s="2">
        <f>SHOT!D9</f>
        <v>0</v>
      </c>
    </row>
    <row r="133" spans="1:4">
      <c r="A133" t="str">
        <f>SHOT!A10</f>
        <v>Travel:</v>
      </c>
      <c r="B133" s="2">
        <f>SHOT!B10</f>
        <v>7</v>
      </c>
      <c r="C133" s="4">
        <f>SHOT!C10</f>
        <v>0</v>
      </c>
      <c r="D133" s="2">
        <f>SHOT!D10</f>
        <v>0</v>
      </c>
    </row>
    <row r="134" spans="1:4">
      <c r="C134"/>
    </row>
    <row r="135" spans="1:4">
      <c r="A135" t="s">
        <v>549</v>
      </c>
      <c r="C135"/>
      <c r="D135" s="30">
        <f>SUM(D127:D134)</f>
        <v>5110</v>
      </c>
    </row>
    <row r="136" spans="1:4">
      <c r="C136"/>
    </row>
    <row r="137" spans="1:4">
      <c r="A137" t="s">
        <v>561</v>
      </c>
      <c r="B137" s="2">
        <f>SHOT!B15</f>
        <v>228</v>
      </c>
      <c r="C137" s="6">
        <f>SHOT!C15</f>
        <v>54</v>
      </c>
      <c r="D137" s="2">
        <f>SHOT!D15</f>
        <v>12312</v>
      </c>
    </row>
    <row r="138" spans="1:4">
      <c r="A138" t="str">
        <f>SHOT!A16</f>
        <v>Clean-Out:</v>
      </c>
      <c r="B138" s="2">
        <f>SHOT!B16</f>
        <v>125</v>
      </c>
      <c r="C138" s="5">
        <f>SHOT!C16</f>
        <v>1</v>
      </c>
      <c r="D138" s="2">
        <f>SHOT!D16</f>
        <v>125</v>
      </c>
    </row>
    <row r="139" spans="1:4">
      <c r="A139" t="str">
        <f>SHOT!A17</f>
        <v>Auto Cover:</v>
      </c>
      <c r="B139" s="2">
        <f>SHOT!B17</f>
        <v>228</v>
      </c>
      <c r="C139" s="5">
        <f>SHOT!C17</f>
        <v>0</v>
      </c>
      <c r="D139" s="2">
        <f>SHOT!D17</f>
        <v>0</v>
      </c>
    </row>
    <row r="140" spans="1:4">
      <c r="A140" t="str">
        <f>SHOT!A18</f>
        <v>Environ / Fuel:</v>
      </c>
      <c r="B140" s="2">
        <f>SHOT!B18</f>
        <v>25</v>
      </c>
      <c r="C140" s="4">
        <f>SHOT!C18</f>
        <v>54</v>
      </c>
      <c r="D140" s="2">
        <f>SHOT!D18</f>
        <v>1350</v>
      </c>
    </row>
    <row r="141" spans="1:4">
      <c r="A141" t="str">
        <f>SHOT!A19</f>
        <v>Miscelaneous:</v>
      </c>
      <c r="B141" s="2">
        <f>SHOT!B19</f>
        <v>150</v>
      </c>
      <c r="C141" s="5">
        <f>SHOT!C19</f>
        <v>1</v>
      </c>
      <c r="D141" s="2">
        <f>SHOT!D19</f>
        <v>125</v>
      </c>
    </row>
    <row r="142" spans="1:4">
      <c r="A142" t="str">
        <f>SHOT!A20</f>
        <v>Travel:</v>
      </c>
      <c r="B142" s="2">
        <f>SHOT!B20</f>
        <v>7</v>
      </c>
      <c r="C142" s="5">
        <f>SHOT!C20</f>
        <v>0</v>
      </c>
      <c r="D142" s="2">
        <f>SHOT!D20</f>
        <v>0</v>
      </c>
    </row>
    <row r="143" spans="1:4">
      <c r="A143" t="str">
        <f>SHOT!A22</f>
        <v>MECK:</v>
      </c>
      <c r="B143" s="300">
        <f>SHOT!B22</f>
        <v>2.5000000000000001E-2</v>
      </c>
      <c r="D143" s="2">
        <f>SHOT!D22</f>
        <v>347.8</v>
      </c>
    </row>
    <row r="144" spans="1:4">
      <c r="A144" t="str">
        <f>SHOT!A23</f>
        <v>NC:</v>
      </c>
      <c r="B144" s="300">
        <f>SHOT!B23</f>
        <v>4.7500000000000001E-2</v>
      </c>
      <c r="D144" s="2">
        <f>SHOT!D23</f>
        <v>660.82</v>
      </c>
    </row>
    <row r="145" spans="1:4">
      <c r="B145" s="2"/>
      <c r="D145" s="2"/>
    </row>
    <row r="146" spans="1:4">
      <c r="A146" t="s">
        <v>562</v>
      </c>
      <c r="B146" s="2"/>
      <c r="D146" s="29">
        <f>SUM(D137:D145)</f>
        <v>14920.619999999999</v>
      </c>
    </row>
    <row r="147" spans="1:4" ht="15" thickBot="1"/>
    <row r="148" spans="1:4" ht="15" thickBot="1">
      <c r="A148" s="130" t="s">
        <v>599</v>
      </c>
      <c r="B148" s="131"/>
      <c r="C148" s="132"/>
      <c r="D148" s="133">
        <f>D135</f>
        <v>5110</v>
      </c>
    </row>
    <row r="149" spans="1:4" ht="15" thickBot="1"/>
    <row r="150" spans="1:4" ht="15" thickBot="1">
      <c r="A150" s="130" t="s">
        <v>600</v>
      </c>
      <c r="B150" s="131"/>
      <c r="C150" s="132"/>
      <c r="D150" s="133">
        <f>D146</f>
        <v>14920.619999999999</v>
      </c>
    </row>
    <row r="151" spans="1:4" ht="15" thickBot="1"/>
    <row r="152" spans="1:4" ht="15" thickBot="1">
      <c r="A152" s="155" t="s">
        <v>563</v>
      </c>
      <c r="B152" s="156"/>
      <c r="C152" s="157"/>
      <c r="D152" s="158">
        <v>0</v>
      </c>
    </row>
    <row r="153" spans="1:4" ht="15" thickBot="1">
      <c r="A153" s="116"/>
      <c r="B153" s="116"/>
      <c r="C153" s="152"/>
      <c r="D153" s="154"/>
    </row>
    <row r="154" spans="1:4" ht="15" thickBot="1">
      <c r="A154" s="611" t="s">
        <v>582</v>
      </c>
      <c r="B154" s="612"/>
      <c r="C154" s="612"/>
      <c r="D154" s="613"/>
    </row>
    <row r="155" spans="1:4">
      <c r="A155" t="str">
        <f>'TILE COPING'!A4</f>
        <v>Labor - Pool:</v>
      </c>
      <c r="B155" s="129">
        <f>'TILE COPING'!I19</f>
        <v>19.5</v>
      </c>
      <c r="C155" s="4">
        <f>(REMODEL!B30*REMODEL!B7)</f>
        <v>80</v>
      </c>
      <c r="D155" s="129">
        <f>B155*C155</f>
        <v>1560</v>
      </c>
    </row>
    <row r="156" spans="1:4">
      <c r="A156" t="str">
        <f>'TILE COPING'!A8</f>
        <v>Labor - Spa:</v>
      </c>
      <c r="B156" s="129">
        <f>'TILE COPING'!I19</f>
        <v>19.5</v>
      </c>
      <c r="C156" s="4">
        <f>REMODEL!B17</f>
        <v>0</v>
      </c>
      <c r="D156" s="129">
        <f>B156*C156</f>
        <v>0</v>
      </c>
    </row>
    <row r="157" spans="1:4">
      <c r="A157" t="str">
        <f>'TILE COPING'!A12</f>
        <v>Labor - Other:</v>
      </c>
      <c r="B157" s="129">
        <f>B156</f>
        <v>19.5</v>
      </c>
      <c r="C157" s="248">
        <f>REMODEL!B31*2</f>
        <v>0</v>
      </c>
      <c r="D157" s="129">
        <f>B157*C157</f>
        <v>0</v>
      </c>
    </row>
    <row r="158" spans="1:4">
      <c r="A158" t="str">
        <f>'TILE COPING'!A16</f>
        <v>Trim Tile - Labor:</v>
      </c>
      <c r="B158" s="129">
        <f>'TILE COPING'!B16</f>
        <v>10</v>
      </c>
      <c r="C158" s="5">
        <f>REMODEL!B35*REMODEL!B11+(REMODEL!B17*0.75)</f>
        <v>0</v>
      </c>
      <c r="D158" s="129">
        <f>B158*C158</f>
        <v>0</v>
      </c>
    </row>
    <row r="159" spans="1:4">
      <c r="A159" s="116"/>
      <c r="B159" s="116"/>
      <c r="C159" s="152"/>
      <c r="D159" s="154"/>
    </row>
    <row r="160" spans="1:4">
      <c r="A160" t="s">
        <v>549</v>
      </c>
      <c r="D160" s="30">
        <f>SUM(D155:D159)</f>
        <v>1560</v>
      </c>
    </row>
    <row r="161" spans="1:4">
      <c r="A161" s="116"/>
      <c r="B161" s="116"/>
      <c r="C161" s="152"/>
      <c r="D161" s="154"/>
    </row>
    <row r="162" spans="1:4">
      <c r="A162" t="str">
        <f>'TILE COPING'!A5</f>
        <v>Material - Level 1 - Pool:</v>
      </c>
      <c r="B162" s="129">
        <f>'TILE COPING'!B5</f>
        <v>7</v>
      </c>
      <c r="C162" s="5">
        <f>'TILE COPING'!J21*'TILE COPING'!K18</f>
        <v>80</v>
      </c>
      <c r="D162" s="129">
        <f>B162*C162</f>
        <v>560</v>
      </c>
    </row>
    <row r="163" spans="1:4">
      <c r="A163" t="str">
        <f>'TILE COPING'!A6</f>
        <v>Material - Level 2 - Pool:</v>
      </c>
      <c r="B163" s="129">
        <f>'TILE COPING'!B6</f>
        <v>20</v>
      </c>
      <c r="C163" s="5">
        <f>'TILE COPING'!J22*'TILE COPING'!K18</f>
        <v>0</v>
      </c>
      <c r="D163" s="129">
        <f t="shared" ref="D163:D170" si="0">B163*C163</f>
        <v>0</v>
      </c>
    </row>
    <row r="164" spans="1:4">
      <c r="A164" t="str">
        <f>'TILE COPING'!A7</f>
        <v>Material - Level 3 - Pool:</v>
      </c>
      <c r="B164" s="129">
        <f>'TILE COPING'!B7</f>
        <v>50</v>
      </c>
      <c r="C164" s="5">
        <f>'TILE COPING'!J23*'TILE COPING'!K18</f>
        <v>0</v>
      </c>
      <c r="D164" s="129">
        <f t="shared" si="0"/>
        <v>0</v>
      </c>
    </row>
    <row r="165" spans="1:4">
      <c r="A165" t="str">
        <f>'TILE COPING'!A9</f>
        <v>Material - Level 1 - Spa:</v>
      </c>
      <c r="B165" s="129">
        <f>'TILE COPING'!B9</f>
        <v>7</v>
      </c>
      <c r="C165" s="5">
        <f>'TILE COPING'!K19*'TILE COPING'!J21</f>
        <v>0</v>
      </c>
      <c r="D165" s="129">
        <f t="shared" si="0"/>
        <v>0</v>
      </c>
    </row>
    <row r="166" spans="1:4">
      <c r="A166" t="str">
        <f>'TILE COPING'!A10</f>
        <v>Material - Level 2 - Spa:</v>
      </c>
      <c r="B166" s="129">
        <f>'TILE COPING'!B10</f>
        <v>20</v>
      </c>
      <c r="C166" s="5">
        <f>'TILE COPING'!K19*'TILE COPING'!J22</f>
        <v>0</v>
      </c>
      <c r="D166" s="129">
        <f t="shared" si="0"/>
        <v>0</v>
      </c>
    </row>
    <row r="167" spans="1:4">
      <c r="A167" t="str">
        <f>'TILE COPING'!A11</f>
        <v>Material - Level 3 - Spa:</v>
      </c>
      <c r="B167" s="129">
        <f>'TILE COPING'!B11</f>
        <v>50</v>
      </c>
      <c r="C167" s="5">
        <f>'TILE COPING'!K19*'TILE COPING'!J23</f>
        <v>0</v>
      </c>
      <c r="D167" s="129">
        <f t="shared" si="0"/>
        <v>0</v>
      </c>
    </row>
    <row r="168" spans="1:4">
      <c r="A168" t="str">
        <f>'TILE COPING'!A13</f>
        <v>Material - Level 1 - Other:</v>
      </c>
      <c r="B168" s="129">
        <f>'TILE COPING'!B13</f>
        <v>7</v>
      </c>
      <c r="C168" s="248">
        <f>'TILE COPING'!J21*'COST - REMODEL'!C157</f>
        <v>0</v>
      </c>
      <c r="D168" s="129">
        <f t="shared" si="0"/>
        <v>0</v>
      </c>
    </row>
    <row r="169" spans="1:4">
      <c r="A169" t="str">
        <f>'TILE COPING'!A14</f>
        <v>Material - Level 2 - Other:</v>
      </c>
      <c r="B169" s="129">
        <f>'TILE COPING'!B14</f>
        <v>20</v>
      </c>
      <c r="C169" s="248">
        <f>'TILE COPING'!J22*'COST - REMODEL'!C157</f>
        <v>0</v>
      </c>
      <c r="D169" s="129">
        <f t="shared" si="0"/>
        <v>0</v>
      </c>
    </row>
    <row r="170" spans="1:4">
      <c r="A170" t="str">
        <f>'TILE COPING'!A15</f>
        <v>Material - Level 3 - Other:</v>
      </c>
      <c r="B170" s="129">
        <f>'TILE COPING'!B15</f>
        <v>50</v>
      </c>
      <c r="C170" s="248">
        <f>'TILE COPING'!J23*'COST - REMODEL'!C157</f>
        <v>0</v>
      </c>
      <c r="D170" s="129">
        <f t="shared" si="0"/>
        <v>0</v>
      </c>
    </row>
    <row r="171" spans="1:4">
      <c r="A171" t="str">
        <f>'TILE COPING'!A17</f>
        <v>Trim Tile - Material:</v>
      </c>
      <c r="B171" s="129">
        <f>'TILE COPING'!B17</f>
        <v>4</v>
      </c>
      <c r="C171" s="5">
        <f>C158</f>
        <v>0</v>
      </c>
      <c r="D171" s="129">
        <f>B171*C171</f>
        <v>0</v>
      </c>
    </row>
    <row r="172" spans="1:4">
      <c r="D172" s="1"/>
    </row>
    <row r="173" spans="1:4">
      <c r="A173" t="s">
        <v>562</v>
      </c>
      <c r="D173" s="30">
        <f>SUM(D162:D172)</f>
        <v>560</v>
      </c>
    </row>
    <row r="174" spans="1:4" ht="15" thickBot="1">
      <c r="D174" s="1"/>
    </row>
    <row r="175" spans="1:4" ht="15" thickBot="1">
      <c r="A175" s="130" t="s">
        <v>596</v>
      </c>
      <c r="B175" s="131"/>
      <c r="C175" s="132"/>
      <c r="D175" s="133">
        <f>D160</f>
        <v>1560</v>
      </c>
    </row>
    <row r="176" spans="1:4" ht="15" thickBot="1"/>
    <row r="177" spans="1:4" ht="15" thickBot="1">
      <c r="A177" s="130" t="s">
        <v>597</v>
      </c>
      <c r="B177" s="131"/>
      <c r="C177" s="132"/>
      <c r="D177" s="133">
        <f>D173</f>
        <v>560</v>
      </c>
    </row>
    <row r="178" spans="1:4" ht="15" thickBot="1"/>
    <row r="179" spans="1:4" ht="15" thickBot="1">
      <c r="A179" s="155" t="s">
        <v>598</v>
      </c>
      <c r="B179" s="156"/>
      <c r="C179" s="157"/>
      <c r="D179" s="158">
        <f>IF('NEW POOL'!$B$21+'NEW POOL'!$B$22+'NEW POOL'!$B$23&gt;0,0,D175+D177)</f>
        <v>2120</v>
      </c>
    </row>
    <row r="180" spans="1:4" ht="15" thickBot="1">
      <c r="D180" s="1"/>
    </row>
    <row r="181" spans="1:4" ht="15" thickBot="1">
      <c r="A181" s="611" t="s">
        <v>586</v>
      </c>
      <c r="B181" s="612"/>
      <c r="C181" s="612"/>
      <c r="D181" s="613"/>
    </row>
    <row r="182" spans="1:4">
      <c r="A182" t="str">
        <f>'TILE COPING'!A27</f>
        <v>Flagstone Coping - Labor:</v>
      </c>
      <c r="B182" s="2">
        <f>'TILE COPING'!B27</f>
        <v>15</v>
      </c>
      <c r="C182" s="5">
        <f>'TILE COPING'!$G$26*REMODEL!B43</f>
        <v>0</v>
      </c>
      <c r="D182" s="2">
        <f>B182*C182</f>
        <v>0</v>
      </c>
    </row>
    <row r="183" spans="1:4">
      <c r="A183" t="str">
        <f>'TILE COPING'!A23</f>
        <v>Paver Coping - Labor:</v>
      </c>
      <c r="B183" s="2">
        <f>'TILE COPING'!B23</f>
        <v>12</v>
      </c>
      <c r="C183" s="5">
        <f>'TILE COPING'!$G$26*REMODEL!B45</f>
        <v>0</v>
      </c>
      <c r="D183" s="2">
        <f t="shared" ref="D183:D189" si="1">B183*C183</f>
        <v>0</v>
      </c>
    </row>
    <row r="184" spans="1:4">
      <c r="A184" t="str">
        <f>'TILE COPING'!A24</f>
        <v>Paver Decking - Labor:</v>
      </c>
      <c r="B184" s="2">
        <f>'TILE COPING'!B24</f>
        <v>8</v>
      </c>
      <c r="C184" s="5">
        <f>'TILE COPING'!$G$26*REMODEL!B46</f>
        <v>0</v>
      </c>
      <c r="D184" s="2">
        <f t="shared" si="1"/>
        <v>0</v>
      </c>
    </row>
    <row r="185" spans="1:4">
      <c r="A185" t="str">
        <f>'TILE COPING'!A25</f>
        <v>Travertine Coping  - Labor:</v>
      </c>
      <c r="B185" s="2">
        <f>'TILE COPING'!B25</f>
        <v>12</v>
      </c>
      <c r="C185" s="5">
        <f>'TILE COPING'!$G$26*REMODEL!B48</f>
        <v>0</v>
      </c>
      <c r="D185" s="2">
        <f t="shared" si="1"/>
        <v>0</v>
      </c>
    </row>
    <row r="186" spans="1:4">
      <c r="A186" t="str">
        <f>'TILE COPING'!A26</f>
        <v>Travertine Decking  - Labor:</v>
      </c>
      <c r="B186" s="2">
        <f>'TILE COPING'!B26</f>
        <v>8</v>
      </c>
      <c r="C186" s="5">
        <f>'TILE COPING'!$G$26*REMODEL!B49+REMODEL!B52</f>
        <v>0</v>
      </c>
      <c r="D186" s="2">
        <f t="shared" si="1"/>
        <v>0</v>
      </c>
    </row>
    <row r="187" spans="1:4">
      <c r="A187" t="str">
        <f>'TILE COPING'!A28</f>
        <v>Concrete Decking - Cantilever:</v>
      </c>
      <c r="B187" s="2">
        <f>'TILE COPING'!B28</f>
        <v>16.5</v>
      </c>
      <c r="C187" s="5">
        <f>'TILE COPING'!$G$26*REMODEL!B54</f>
        <v>0</v>
      </c>
      <c r="D187" s="2">
        <f t="shared" si="1"/>
        <v>0</v>
      </c>
    </row>
    <row r="188" spans="1:4">
      <c r="A188" t="str">
        <f>'TILE COPING'!A29</f>
        <v>Concrete Pump</v>
      </c>
      <c r="B188" s="2">
        <f>'TILE COPING'!B29</f>
        <v>600</v>
      </c>
      <c r="C188" s="4">
        <f>IF((REMODEL!B54+REMODEL!B55)&gt;0,1,0)</f>
        <v>0</v>
      </c>
      <c r="D188" s="2">
        <f t="shared" si="1"/>
        <v>0</v>
      </c>
    </row>
    <row r="189" spans="1:4">
      <c r="A189" t="s">
        <v>1025</v>
      </c>
      <c r="B189" s="2">
        <f>'TILE COPING'!I25</f>
        <v>22</v>
      </c>
      <c r="C189" s="5">
        <f>REMODEL!B33</f>
        <v>0</v>
      </c>
      <c r="D189" s="2">
        <f t="shared" si="1"/>
        <v>0</v>
      </c>
    </row>
    <row r="190" spans="1:4">
      <c r="C190"/>
    </row>
    <row r="191" spans="1:4">
      <c r="A191" t="s">
        <v>549</v>
      </c>
      <c r="C191"/>
      <c r="D191" s="30">
        <f>SUM(D182:D190)</f>
        <v>0</v>
      </c>
    </row>
    <row r="192" spans="1:4">
      <c r="C192"/>
    </row>
    <row r="193" spans="1:6">
      <c r="A193" t="s">
        <v>819</v>
      </c>
      <c r="B193" s="1">
        <f>'TILE COPING'!B40</f>
        <v>25</v>
      </c>
      <c r="C193" s="5">
        <f>C182</f>
        <v>0</v>
      </c>
      <c r="D193" s="1">
        <f>B193*C193</f>
        <v>0</v>
      </c>
    </row>
    <row r="194" spans="1:6">
      <c r="A194" t="str">
        <f>'TILE COPING'!A34</f>
        <v>Paver Coping - Material:</v>
      </c>
      <c r="B194" s="2">
        <f>'TILE COPING'!B34</f>
        <v>9</v>
      </c>
      <c r="C194" s="4">
        <f>(REMODEL!B45*('TILE COPING'!$K$18+'TILE COPING'!$K$19))*1.1</f>
        <v>0</v>
      </c>
      <c r="D194" s="1">
        <f t="shared" ref="D194:D202" si="2">B194*C194</f>
        <v>0</v>
      </c>
    </row>
    <row r="195" spans="1:6">
      <c r="A195" t="str">
        <f>'TILE COPING'!A35</f>
        <v>Paver Decking - Material:</v>
      </c>
      <c r="B195" s="2">
        <f>'TILE COPING'!B35</f>
        <v>7</v>
      </c>
      <c r="C195" s="4">
        <f>REMODEL!$E$9*REMODEL!B46</f>
        <v>0</v>
      </c>
      <c r="D195" s="1">
        <f t="shared" si="2"/>
        <v>0</v>
      </c>
    </row>
    <row r="196" spans="1:6">
      <c r="A196" t="str">
        <f>'TILE COPING'!A36</f>
        <v>Travertine Coping - Level 1:</v>
      </c>
      <c r="B196" s="2">
        <f>'TILE COPING'!B36</f>
        <v>11</v>
      </c>
      <c r="C196" s="4">
        <f>(REMODEL!B48*('TILE COPING'!$K$18+'TILE COPING'!$K$19))*1.1</f>
        <v>0</v>
      </c>
      <c r="D196" s="1">
        <f t="shared" si="2"/>
        <v>0</v>
      </c>
    </row>
    <row r="197" spans="1:6">
      <c r="A197" t="str">
        <f>'TILE COPING'!A37</f>
        <v>Travertine Decking - Level 1:</v>
      </c>
      <c r="B197" s="2">
        <f>'TILE COPING'!B37</f>
        <v>7.5</v>
      </c>
      <c r="C197" s="4">
        <f>REMODEL!$E$9*REMODEL!B49</f>
        <v>0</v>
      </c>
      <c r="D197" s="1">
        <f t="shared" si="2"/>
        <v>0</v>
      </c>
    </row>
    <row r="198" spans="1:6">
      <c r="A198" t="str">
        <f>'TILE COPING'!A38</f>
        <v>Travertine Coping - Level 2:</v>
      </c>
      <c r="B198" s="2">
        <f>'TILE COPING'!B38</f>
        <v>12</v>
      </c>
      <c r="C198" s="4">
        <f>(REMODEL!B51*('TILE COPING'!$K$18+'TILE COPING'!$K$19))*1.1</f>
        <v>0</v>
      </c>
      <c r="D198" s="1">
        <f t="shared" si="2"/>
        <v>0</v>
      </c>
    </row>
    <row r="199" spans="1:6">
      <c r="A199" t="str">
        <f>'TILE COPING'!A39</f>
        <v>Travertine Decking - Level 2:</v>
      </c>
      <c r="B199" s="2">
        <f>'TILE COPING'!B39</f>
        <v>9.75</v>
      </c>
      <c r="C199" s="4">
        <f>REMODEL!$E$9*REMODEL!B52</f>
        <v>0</v>
      </c>
      <c r="D199" s="1">
        <f t="shared" si="2"/>
        <v>0</v>
      </c>
      <c r="F199" t="s">
        <v>1020</v>
      </c>
    </row>
    <row r="200" spans="1:6">
      <c r="A200" t="str">
        <f>'TILE COPING'!A41</f>
        <v>Concrete Decking - Base:</v>
      </c>
      <c r="B200" s="2">
        <f>'TILE COPING'!B41</f>
        <v>7</v>
      </c>
      <c r="C200" s="4">
        <f>'TILE COPING'!C41*REMODEL!B55</f>
        <v>0</v>
      </c>
      <c r="D200" s="1">
        <f t="shared" si="2"/>
        <v>0</v>
      </c>
      <c r="F200" s="4">
        <f>IF(REMODEL!E9&gt;'TILE COPING'!I35,REMODEL!E9-'TILE COPING'!I35,0)</f>
        <v>0</v>
      </c>
    </row>
    <row r="201" spans="1:6">
      <c r="A201" t="str">
        <f>'TILE COPING'!A42</f>
        <v>Concrete Decking - Add'l:</v>
      </c>
      <c r="B201" s="2">
        <f>'TILE COPING'!B42</f>
        <v>7</v>
      </c>
      <c r="C201" s="4">
        <f>REMODEL!B55*'COST - REMODEL'!F200</f>
        <v>0</v>
      </c>
      <c r="D201" s="1">
        <f t="shared" si="2"/>
        <v>0</v>
      </c>
    </row>
    <row r="202" spans="1:6">
      <c r="A202" t="str">
        <f>'TILE COPING'!A43</f>
        <v>Concrete Band for Fiberglass:</v>
      </c>
      <c r="B202" s="2">
        <f>'TILE COPING'!B43</f>
        <v>7</v>
      </c>
      <c r="C202" s="5">
        <f>'TILE COPING'!C43</f>
        <v>0</v>
      </c>
      <c r="D202" s="1">
        <f t="shared" si="2"/>
        <v>0</v>
      </c>
    </row>
    <row r="203" spans="1:6">
      <c r="B203" s="2"/>
      <c r="D203" s="2"/>
    </row>
    <row r="204" spans="1:6">
      <c r="A204" t="s">
        <v>562</v>
      </c>
      <c r="B204" s="2"/>
      <c r="D204" s="29">
        <f>SUM(D193:D203)</f>
        <v>0</v>
      </c>
    </row>
    <row r="205" spans="1:6" ht="15" thickBot="1"/>
    <row r="206" spans="1:6" ht="15" thickBot="1">
      <c r="A206" s="130" t="s">
        <v>605</v>
      </c>
      <c r="B206" s="131"/>
      <c r="C206" s="132"/>
      <c r="D206" s="133">
        <f>D191</f>
        <v>0</v>
      </c>
    </row>
    <row r="207" spans="1:6" ht="15" thickBot="1"/>
    <row r="208" spans="1:6" ht="15" thickBot="1">
      <c r="A208" s="130" t="s">
        <v>606</v>
      </c>
      <c r="B208" s="131"/>
      <c r="C208" s="132"/>
      <c r="D208" s="133">
        <f>D204</f>
        <v>0</v>
      </c>
    </row>
    <row r="209" spans="1:4" ht="15" thickBot="1">
      <c r="A209" s="116"/>
      <c r="B209" s="116"/>
      <c r="C209" s="152"/>
      <c r="D209" s="154"/>
    </row>
    <row r="210" spans="1:4" ht="15" thickBot="1">
      <c r="A210" s="130" t="s">
        <v>849</v>
      </c>
      <c r="B210" s="131"/>
      <c r="C210" s="132"/>
      <c r="D210" s="133">
        <f>MISC!D18</f>
        <v>0</v>
      </c>
    </row>
    <row r="211" spans="1:4" ht="15" thickBot="1"/>
    <row r="212" spans="1:4" ht="15" thickBot="1">
      <c r="A212" s="155" t="s">
        <v>607</v>
      </c>
      <c r="B212" s="156"/>
      <c r="C212" s="157"/>
      <c r="D212" s="158">
        <f>D206+D208+D210</f>
        <v>0</v>
      </c>
    </row>
    <row r="213" spans="1:4" ht="15" thickBot="1"/>
    <row r="214" spans="1:4" ht="15" thickBot="1">
      <c r="A214" s="611" t="s">
        <v>616</v>
      </c>
      <c r="B214" s="612"/>
      <c r="C214" s="612"/>
      <c r="D214" s="613"/>
    </row>
    <row r="215" spans="1:4">
      <c r="A215" t="str">
        <f>'TILE COPING'!A48</f>
        <v>Panel Ledge - Labor:</v>
      </c>
      <c r="B215" s="2">
        <f>'TILE COPING'!B48</f>
        <v>12.5</v>
      </c>
      <c r="C215" s="4">
        <f>'TILE COPING'!C48</f>
        <v>168</v>
      </c>
      <c r="D215" s="2">
        <f>'TILE COPING'!D48</f>
        <v>2100</v>
      </c>
    </row>
    <row r="216" spans="1:4">
      <c r="A216" t="str">
        <f>'TILE COPING'!A49</f>
        <v>Stacked Stone - Labor:</v>
      </c>
      <c r="B216" s="2">
        <f>'TILE COPING'!B49</f>
        <v>16</v>
      </c>
      <c r="C216" s="4">
        <f>'TILE COPING'!C49</f>
        <v>0</v>
      </c>
      <c r="D216" s="2">
        <f>'TILE COPING'!D49</f>
        <v>0</v>
      </c>
    </row>
    <row r="217" spans="1:4">
      <c r="A217" t="str">
        <f>'TILE COPING'!A50</f>
        <v xml:space="preserve"> Bullnose Labor:</v>
      </c>
      <c r="B217" s="2">
        <f>'TILE COPING'!B50</f>
        <v>8</v>
      </c>
      <c r="C217" s="4">
        <f>'TILE COPING'!C50</f>
        <v>28</v>
      </c>
      <c r="D217" s="2">
        <f>'TILE COPING'!D50</f>
        <v>224</v>
      </c>
    </row>
    <row r="218" spans="1:4">
      <c r="A218" t="str">
        <f>'TILE COPING'!A51</f>
        <v>Spillway - Labor:</v>
      </c>
      <c r="B218" s="2">
        <f>'TILE COPING'!B51</f>
        <v>150</v>
      </c>
      <c r="C218" s="4">
        <f>'TILE COPING'!C51</f>
        <v>1</v>
      </c>
      <c r="D218" s="2">
        <f>'TILE COPING'!D51</f>
        <v>150</v>
      </c>
    </row>
    <row r="219" spans="1:4">
      <c r="A219" t="s">
        <v>549</v>
      </c>
      <c r="C219"/>
      <c r="D219" s="30">
        <f>SUM(D215:D218)</f>
        <v>2474</v>
      </c>
    </row>
    <row r="220" spans="1:4">
      <c r="C220"/>
      <c r="D220" s="1"/>
    </row>
    <row r="221" spans="1:4">
      <c r="A221" t="str">
        <f>'TILE COPING'!A54</f>
        <v>Panel Ledge - Material:</v>
      </c>
      <c r="B221" s="2">
        <f>'TILE COPING'!B54</f>
        <v>13</v>
      </c>
      <c r="C221" s="4">
        <f>'TILE COPING'!C54</f>
        <v>193.2</v>
      </c>
      <c r="D221" s="2">
        <f>'TILE COPING'!D54</f>
        <v>2511.6</v>
      </c>
    </row>
    <row r="222" spans="1:4">
      <c r="A222" t="str">
        <f>'TILE COPING'!A55</f>
        <v>Stacked Stone - Material:</v>
      </c>
      <c r="B222" s="2">
        <f>'TILE COPING'!B55</f>
        <v>27</v>
      </c>
      <c r="C222" s="4">
        <f>'TILE COPING'!C55</f>
        <v>0</v>
      </c>
      <c r="D222" s="2">
        <f>'TILE COPING'!D55</f>
        <v>0</v>
      </c>
    </row>
    <row r="223" spans="1:4">
      <c r="A223" t="str">
        <f>'TILE COPING'!A56</f>
        <v>Rockwork - Material:</v>
      </c>
      <c r="B223" s="2">
        <f>'TILE COPING'!B56</f>
        <v>0</v>
      </c>
      <c r="C223" s="4">
        <f>'TILE COPING'!C56</f>
        <v>29.400000000000002</v>
      </c>
      <c r="D223" s="2">
        <f>'TILE COPING'!D56</f>
        <v>0</v>
      </c>
    </row>
    <row r="224" spans="1:4">
      <c r="A224" t="str">
        <f>'TILE COPING'!A57</f>
        <v>Spillway - Material:</v>
      </c>
      <c r="B224" s="2">
        <f>'TILE COPING'!B57</f>
        <v>150</v>
      </c>
      <c r="C224" s="4">
        <f>'TILE COPING'!C57</f>
        <v>1</v>
      </c>
      <c r="D224" s="2">
        <f>'TILE COPING'!D57</f>
        <v>150</v>
      </c>
    </row>
    <row r="225" spans="1:4">
      <c r="A225" t="s">
        <v>549</v>
      </c>
      <c r="C225"/>
      <c r="D225" s="30">
        <f>SUM(D221:D224)</f>
        <v>2661.6</v>
      </c>
    </row>
    <row r="226" spans="1:4" ht="15" thickBot="1">
      <c r="C226"/>
      <c r="D226" s="1"/>
    </row>
    <row r="227" spans="1:4" ht="15" thickBot="1">
      <c r="A227" s="130" t="s">
        <v>617</v>
      </c>
      <c r="B227" s="131"/>
      <c r="C227" s="132"/>
      <c r="D227" s="133">
        <f>D219</f>
        <v>2474</v>
      </c>
    </row>
    <row r="228" spans="1:4" ht="15" thickBot="1"/>
    <row r="229" spans="1:4" ht="15" thickBot="1">
      <c r="A229" s="130" t="s">
        <v>618</v>
      </c>
      <c r="B229" s="131"/>
      <c r="C229" s="132"/>
      <c r="D229" s="133">
        <f>D225</f>
        <v>2661.6</v>
      </c>
    </row>
    <row r="230" spans="1:4" ht="15" thickBot="1"/>
    <row r="231" spans="1:4" ht="15" thickBot="1">
      <c r="A231" s="155" t="s">
        <v>619</v>
      </c>
      <c r="B231" s="156"/>
      <c r="C231" s="157"/>
      <c r="D231" s="158">
        <f>D227+D229</f>
        <v>5135.6000000000004</v>
      </c>
    </row>
    <row r="232" spans="1:4" ht="15" thickBot="1">
      <c r="A232" s="116"/>
      <c r="B232" s="116"/>
      <c r="C232" s="152"/>
      <c r="D232" s="154"/>
    </row>
    <row r="233" spans="1:4" ht="15" thickBot="1">
      <c r="A233" s="611" t="s">
        <v>633</v>
      </c>
      <c r="B233" s="612"/>
      <c r="C233" s="612"/>
      <c r="D233" s="613"/>
    </row>
    <row r="234" spans="1:4">
      <c r="A234" s="51" t="str">
        <f>EQUIP!M113</f>
        <v>Base White Goods</v>
      </c>
      <c r="B234" s="220">
        <f>EQUIP!O3</f>
        <v>216.6</v>
      </c>
      <c r="C234" s="4">
        <f>EQUIP!O113</f>
        <v>1</v>
      </c>
      <c r="D234" s="220">
        <f>EQUIP!O3</f>
        <v>216.6</v>
      </c>
    </row>
    <row r="235" spans="1:4">
      <c r="A235" s="51" t="s">
        <v>779</v>
      </c>
      <c r="B235" s="220"/>
      <c r="C235" s="5">
        <f>'NEW POOL'!B57</f>
        <v>0</v>
      </c>
      <c r="D235" s="220"/>
    </row>
    <row r="236" spans="1:4">
      <c r="A236" s="51" t="str">
        <f>REMODEL!A70</f>
        <v>No Auxiliary Pump</v>
      </c>
      <c r="B236" s="220">
        <f>VLOOKUP(A236,EQUIP!$M$14:$R$19,5,FALSE)</f>
        <v>0</v>
      </c>
      <c r="C236" s="5">
        <f>REMODEL!B70</f>
        <v>0</v>
      </c>
      <c r="D236" s="220">
        <f>B236*C236</f>
        <v>0</v>
      </c>
    </row>
    <row r="237" spans="1:4">
      <c r="A237" s="51" t="str">
        <f>REMODEL!A71</f>
        <v>No Auxiliary Pump</v>
      </c>
      <c r="B237" s="220">
        <f>VLOOKUP(A237,EQUIP!$M$14:$R$19,5,FALSE)</f>
        <v>0</v>
      </c>
      <c r="C237" s="5">
        <f>REMODEL!B71</f>
        <v>0</v>
      </c>
      <c r="D237" s="220">
        <f t="shared" ref="D237:D247" si="3">B237*C237</f>
        <v>0</v>
      </c>
    </row>
    <row r="238" spans="1:4">
      <c r="A238" s="51" t="str">
        <f>REMODEL!A72</f>
        <v>No Auxiliary Pump</v>
      </c>
      <c r="B238" s="220">
        <f>VLOOKUP(A238,EQUIP!$M$14:$R$19,5,FALSE)</f>
        <v>0</v>
      </c>
      <c r="C238" s="5">
        <f>REMODEL!B72</f>
        <v>0</v>
      </c>
      <c r="D238" s="220">
        <f t="shared" si="3"/>
        <v>0</v>
      </c>
    </row>
    <row r="239" spans="1:4">
      <c r="A239" s="51" t="str">
        <f>REMODEL!A74</f>
        <v>No Filter</v>
      </c>
      <c r="B239" s="220">
        <f>VLOOKUP(A239,EQUIP!M22:R28,5,FALSE)</f>
        <v>0</v>
      </c>
      <c r="C239" s="5">
        <f>REMODEL!B74</f>
        <v>0</v>
      </c>
      <c r="D239" s="220">
        <f t="shared" si="3"/>
        <v>0</v>
      </c>
    </row>
    <row r="240" spans="1:4">
      <c r="A240" s="51" t="str">
        <f>REMODEL!A76</f>
        <v>No Cleaner</v>
      </c>
      <c r="B240" s="220">
        <f>VLOOKUP(A240,EQUIP!M31:R32,2,FALSE)</f>
        <v>0</v>
      </c>
      <c r="C240" s="5">
        <f>REMODEL!B76</f>
        <v>0</v>
      </c>
      <c r="D240" s="220">
        <f t="shared" si="3"/>
        <v>0</v>
      </c>
    </row>
    <row r="241" spans="1:8">
      <c r="A241" s="51" t="str">
        <f>REMODEL!A78</f>
        <v>No Heater</v>
      </c>
      <c r="B241" s="220">
        <f>VLOOKUP(A241,EQUIP!M36:S39,5,FALSE)</f>
        <v>0</v>
      </c>
      <c r="C241" s="5">
        <f>REMODEL!B78</f>
        <v>0</v>
      </c>
      <c r="D241" s="220">
        <f t="shared" si="3"/>
        <v>0</v>
      </c>
    </row>
    <row r="242" spans="1:8">
      <c r="A242" s="51" t="str">
        <f>'NEW POOL'!A122</f>
        <v>Upgrade Heater to VersaFlo</v>
      </c>
      <c r="B242" s="220">
        <f>IF(C242&gt;0,EQUIP!Q39,0)</f>
        <v>0</v>
      </c>
      <c r="C242" s="5">
        <f>REMODEL!B79</f>
        <v>0</v>
      </c>
      <c r="D242" s="220">
        <f t="shared" si="3"/>
        <v>0</v>
      </c>
    </row>
    <row r="243" spans="1:8" hidden="1">
      <c r="A243" s="51" t="str">
        <f>EQUIP!M121</f>
        <v>24 Watt - Jandy Nicheless LED</v>
      </c>
      <c r="B243" s="220">
        <v>0</v>
      </c>
      <c r="C243" s="4">
        <v>0</v>
      </c>
      <c r="D243" s="220">
        <f t="shared" si="3"/>
        <v>0</v>
      </c>
    </row>
    <row r="244" spans="1:8" hidden="1">
      <c r="A244" s="51" t="str">
        <f>EQUIP!M122</f>
        <v>6 Watt - Jandy Nicheless LED Spa light</v>
      </c>
      <c r="B244" s="220">
        <f>EQUIP!N122</f>
        <v>528</v>
      </c>
      <c r="C244" s="4">
        <f>EQUIP!O122</f>
        <v>1</v>
      </c>
      <c r="D244" s="220">
        <f t="shared" si="3"/>
        <v>528</v>
      </c>
    </row>
    <row r="245" spans="1:8">
      <c r="A245" s="51" t="str">
        <f>REMODEL!A83</f>
        <v>No Sanitation</v>
      </c>
      <c r="B245" s="220">
        <f>VLOOKUP(A245,EQUIP!$M$49:$R$58,5,FALSE)</f>
        <v>0</v>
      </c>
      <c r="C245" s="5">
        <f>REMODEL!B83</f>
        <v>0</v>
      </c>
      <c r="D245" s="220">
        <f t="shared" si="3"/>
        <v>0</v>
      </c>
    </row>
    <row r="246" spans="1:8">
      <c r="A246" s="51" t="str">
        <f>REMODEL!A84</f>
        <v>No Sanitation</v>
      </c>
      <c r="B246" s="220">
        <f>VLOOKUP(A246,EQUIP!$M$49:$R$58,5,FALSE)</f>
        <v>0</v>
      </c>
      <c r="C246" s="5">
        <f>REMODEL!B84</f>
        <v>0</v>
      </c>
      <c r="D246" s="220">
        <f t="shared" si="3"/>
        <v>0</v>
      </c>
    </row>
    <row r="247" spans="1:8">
      <c r="A247" s="51" t="str">
        <f>REMODEL!A85</f>
        <v>No Sanitation</v>
      </c>
      <c r="B247" s="220">
        <f>VLOOKUP(A247,EQUIP!$M$49:$R$58,5,FALSE)</f>
        <v>0</v>
      </c>
      <c r="C247" s="5">
        <f>REMODEL!B85</f>
        <v>0</v>
      </c>
      <c r="D247" s="220">
        <f t="shared" si="3"/>
        <v>0</v>
      </c>
    </row>
    <row r="248" spans="1:8" hidden="1">
      <c r="A248" s="51" t="str">
        <f>EQUIP!M127</f>
        <v>iAqualink Only PS-4 (H.O. To Provide WiFi) Only use with Infinite Light System</v>
      </c>
      <c r="B248" s="220">
        <f>EQUIP!N127</f>
        <v>3025</v>
      </c>
      <c r="C248" s="4">
        <f>EQUIP!O127</f>
        <v>1</v>
      </c>
      <c r="D248" s="220">
        <f>EQUIP!P127</f>
        <v>3025</v>
      </c>
    </row>
    <row r="249" spans="1:8" hidden="1">
      <c r="A249" s="51" t="str">
        <f>EQUIP!M128</f>
        <v>No Sheer Descent</v>
      </c>
      <c r="B249" s="220">
        <f>EQUIP!N128</f>
        <v>0</v>
      </c>
      <c r="C249" s="4">
        <f>EQUIP!O128</f>
        <v>0</v>
      </c>
      <c r="D249" s="220">
        <f>EQUIP!P128</f>
        <v>0</v>
      </c>
    </row>
    <row r="250" spans="1:8" hidden="1">
      <c r="A250" s="51" t="str">
        <f>EQUIP!M129</f>
        <v>No Sheer Descent</v>
      </c>
      <c r="B250" s="220">
        <f>EQUIP!N129</f>
        <v>0</v>
      </c>
      <c r="C250" s="4">
        <f>EQUIP!O129</f>
        <v>0</v>
      </c>
      <c r="D250" s="220">
        <f>EQUIP!P129</f>
        <v>0</v>
      </c>
    </row>
    <row r="251" spans="1:8" hidden="1">
      <c r="A251" s="51" t="str">
        <f>EQUIP!M130</f>
        <v>No Wok Pot</v>
      </c>
      <c r="B251" s="220">
        <f>EQUIP!N130</f>
        <v>0</v>
      </c>
      <c r="C251" s="4">
        <f>EQUIP!O130</f>
        <v>0</v>
      </c>
      <c r="D251" s="220">
        <f>EQUIP!P130</f>
        <v>0</v>
      </c>
    </row>
    <row r="252" spans="1:8" hidden="1">
      <c r="A252" s="51" t="str">
        <f>EQUIP!M131</f>
        <v>No Deck Jet or Laminar Jet</v>
      </c>
      <c r="B252" s="220">
        <f>EQUIP!N131</f>
        <v>0</v>
      </c>
      <c r="C252" s="4">
        <f>EQUIP!O131</f>
        <v>0</v>
      </c>
      <c r="D252" s="220">
        <f>EQUIP!P131</f>
        <v>0</v>
      </c>
    </row>
    <row r="253" spans="1:8" hidden="1">
      <c r="A253" s="51" t="str">
        <f>EQUIP!M132</f>
        <v>No LED Bubbler</v>
      </c>
      <c r="B253" s="220">
        <f>EQUIP!N132</f>
        <v>0</v>
      </c>
      <c r="C253" s="4">
        <f>EQUIP!O132</f>
        <v>0</v>
      </c>
      <c r="D253" s="220">
        <f>EQUIP!P132</f>
        <v>0</v>
      </c>
    </row>
    <row r="254" spans="1:8" hidden="1">
      <c r="A254" s="51" t="str">
        <f>FIBER!B82</f>
        <v>Equipment Pad</v>
      </c>
      <c r="B254" s="220">
        <f>IF(C254&gt;0,FIBER!C82,0)</f>
        <v>0</v>
      </c>
      <c r="C254" s="4">
        <f>F254+H254</f>
        <v>0</v>
      </c>
      <c r="D254" s="24">
        <f>B254*C254</f>
        <v>0</v>
      </c>
      <c r="F254" s="4">
        <f>IF((FIBER!F71+FIBER!F72+FIBER!F73)&gt;0,1,0)</f>
        <v>0</v>
      </c>
      <c r="G254" s="4">
        <f>C241</f>
        <v>0</v>
      </c>
      <c r="H254" s="4">
        <f>F254*G254</f>
        <v>0</v>
      </c>
    </row>
    <row r="255" spans="1:8" hidden="1">
      <c r="A255" s="51" t="str">
        <f>EQUIP!M107</f>
        <v>Electronic Auto-Fill</v>
      </c>
      <c r="B255" s="220">
        <f>EQUIP!N134</f>
        <v>0</v>
      </c>
      <c r="C255" s="5">
        <f>'NEW POOL'!B133</f>
        <v>0</v>
      </c>
      <c r="D255" s="24">
        <f>B255*C255</f>
        <v>0</v>
      </c>
      <c r="F255" s="4"/>
      <c r="G255" s="4"/>
      <c r="H255" s="4"/>
    </row>
    <row r="256" spans="1:8" ht="15" thickBot="1">
      <c r="A256" s="117"/>
      <c r="B256" s="117"/>
      <c r="C256" s="117"/>
      <c r="D256" s="117"/>
    </row>
    <row r="257" spans="1:5" ht="15" thickBot="1">
      <c r="A257" s="155" t="s">
        <v>634</v>
      </c>
      <c r="B257" s="156"/>
      <c r="C257" s="243">
        <v>7.0000000000000007E-2</v>
      </c>
      <c r="D257" s="158">
        <f>(SUM(D234:D256)*(1+C257))*1.2</f>
        <v>4840.1664000000001</v>
      </c>
    </row>
    <row r="258" spans="1:5" ht="15" thickBot="1"/>
    <row r="259" spans="1:5" ht="15" thickBot="1">
      <c r="A259" s="611" t="s">
        <v>522</v>
      </c>
      <c r="B259" s="612"/>
      <c r="C259" s="612"/>
      <c r="D259" s="613"/>
    </row>
    <row r="260" spans="1:5">
      <c r="A260" t="s">
        <v>1031</v>
      </c>
      <c r="B260" s="2">
        <f>PLUM!E40</f>
        <v>100</v>
      </c>
      <c r="C260" s="5">
        <f>REMODEL!B70+REMODEL!B71+REMODEL!B72</f>
        <v>0</v>
      </c>
      <c r="D260" s="2">
        <f>B260*C260</f>
        <v>0</v>
      </c>
    </row>
    <row r="261" spans="1:5">
      <c r="A261" t="s">
        <v>1033</v>
      </c>
      <c r="B261" s="2">
        <f>PLUM!E49</f>
        <v>100</v>
      </c>
      <c r="C261" s="5">
        <f>REMODEL!B74</f>
        <v>0</v>
      </c>
      <c r="D261" s="2">
        <f>B261*C261</f>
        <v>0</v>
      </c>
    </row>
    <row r="262" spans="1:5">
      <c r="A262" t="s">
        <v>1032</v>
      </c>
      <c r="B262" s="2">
        <f>PLUM!E41</f>
        <v>75</v>
      </c>
      <c r="C262" s="6">
        <f>REMODEL!B83+REMODEL!B84+REMODEL!B85</f>
        <v>0</v>
      </c>
      <c r="D262" s="2">
        <f t="shared" ref="D262:D264" si="4">B262*C262</f>
        <v>0</v>
      </c>
    </row>
    <row r="263" spans="1:5">
      <c r="A263" t="str">
        <f>PLUM!A43</f>
        <v>Heater:</v>
      </c>
      <c r="B263" s="2">
        <f>PLUM!E43</f>
        <v>200</v>
      </c>
      <c r="C263" s="5">
        <f>REMODEL!B78</f>
        <v>0</v>
      </c>
      <c r="D263" s="2">
        <f t="shared" si="4"/>
        <v>0</v>
      </c>
    </row>
    <row r="264" spans="1:5">
      <c r="A264" t="str">
        <f>PLUM!A45</f>
        <v>Travel:</v>
      </c>
      <c r="B264" s="2">
        <f>PLUM!B45</f>
        <v>7</v>
      </c>
      <c r="C264" s="4">
        <f>REMODEL!E10</f>
        <v>0</v>
      </c>
      <c r="D264" s="2">
        <f t="shared" si="4"/>
        <v>0</v>
      </c>
    </row>
    <row r="265" spans="1:5" ht="15" thickBot="1"/>
    <row r="266" spans="1:5" ht="15" thickBot="1">
      <c r="A266" s="155" t="s">
        <v>523</v>
      </c>
      <c r="B266" s="156"/>
      <c r="C266" s="157"/>
      <c r="D266" s="158">
        <f>SUM(D260:D265)</f>
        <v>0</v>
      </c>
    </row>
    <row r="267" spans="1:5" ht="15" thickBot="1"/>
    <row r="268" spans="1:5" ht="15" thickBot="1">
      <c r="A268" s="611" t="s">
        <v>575</v>
      </c>
      <c r="B268" s="612"/>
      <c r="C268" s="612"/>
      <c r="D268" s="613"/>
    </row>
    <row r="269" spans="1:5">
      <c r="A269" t="s">
        <v>1036</v>
      </c>
      <c r="B269" s="2">
        <f>CLEAN!B12</f>
        <v>350</v>
      </c>
      <c r="C269" s="4">
        <f>IF(C270&gt;0,0,1)</f>
        <v>1</v>
      </c>
      <c r="D269" s="2">
        <f>B269*C269</f>
        <v>350</v>
      </c>
    </row>
    <row r="270" spans="1:5">
      <c r="A270" t="s">
        <v>1037</v>
      </c>
      <c r="B270" s="2">
        <f>CLEAN!B13</f>
        <v>600</v>
      </c>
      <c r="C270" s="4">
        <f>IF(E270&gt;0,1,0)</f>
        <v>0</v>
      </c>
      <c r="D270" s="2">
        <f t="shared" ref="D270:D271" si="5">B270*C270</f>
        <v>0</v>
      </c>
      <c r="E270" s="5">
        <f>REMODEL!B46+REMODEL!B49+REMODEL!B52+REMODEL!B55</f>
        <v>0</v>
      </c>
    </row>
    <row r="271" spans="1:5">
      <c r="A271" t="str">
        <f>CLEAN!A8</f>
        <v>Travel:</v>
      </c>
      <c r="B271" s="2">
        <f>CLEAN!B8</f>
        <v>7</v>
      </c>
      <c r="C271" s="4">
        <f>REMODEL!E10</f>
        <v>0</v>
      </c>
      <c r="D271" s="2">
        <f t="shared" si="5"/>
        <v>0</v>
      </c>
    </row>
    <row r="272" spans="1:5" ht="15" thickBot="1"/>
    <row r="273" spans="1:4" ht="15" thickBot="1">
      <c r="A273" s="155" t="s">
        <v>577</v>
      </c>
      <c r="B273" s="156"/>
      <c r="C273" s="157"/>
      <c r="D273" s="158">
        <f>SUM(D269:D272)</f>
        <v>350</v>
      </c>
    </row>
    <row r="274" spans="1:4" ht="15" thickBot="1"/>
    <row r="275" spans="1:4" ht="15" thickBot="1">
      <c r="A275" s="611" t="s">
        <v>572</v>
      </c>
      <c r="B275" s="612"/>
      <c r="C275" s="612"/>
      <c r="D275" s="613"/>
    </row>
    <row r="276" spans="1:4">
      <c r="A276" t="str">
        <f>VLOOKUP(REMODEL!A116,INT!A6:Q17,1,FALSE)</f>
        <v>Ivory Quartz</v>
      </c>
      <c r="B276" s="2">
        <f>VLOOKUP(A276,INT!A6:B17,2,FALSE)</f>
        <v>5.5</v>
      </c>
      <c r="C276" s="424">
        <f>((((REMODEL!B9+REMODEL!B10)/2)*REMODEL!B7)+REMODEL!B8)*1.05</f>
        <v>819</v>
      </c>
      <c r="D276" s="2">
        <f>ROUNDUP(VLOOKUP(A276,INT!A6:N17,4,FALSE),0)</f>
        <v>5693</v>
      </c>
    </row>
    <row r="277" spans="1:4">
      <c r="A277" t="s">
        <v>476</v>
      </c>
      <c r="B277" s="2">
        <f>VLOOKUP(A276,INT!A6:G19,7,FALSE)</f>
        <v>850</v>
      </c>
      <c r="C277" s="5">
        <f>IF(REMODEL!B14&gt;0,1,0)</f>
        <v>0</v>
      </c>
      <c r="D277" s="2">
        <f>B277*C277</f>
        <v>0</v>
      </c>
    </row>
    <row r="278" spans="1:4">
      <c r="A278" t="s">
        <v>791</v>
      </c>
      <c r="B278" s="2">
        <f>INT!B23</f>
        <v>750</v>
      </c>
      <c r="C278" s="5">
        <v>0</v>
      </c>
      <c r="D278" s="21">
        <f>B278*C278</f>
        <v>0</v>
      </c>
    </row>
    <row r="279" spans="1:4">
      <c r="A279" t="s">
        <v>791</v>
      </c>
      <c r="B279" s="2">
        <f>INT!B24</f>
        <v>1</v>
      </c>
      <c r="C279" s="5">
        <v>0</v>
      </c>
      <c r="D279" s="21">
        <f>INT!D24</f>
        <v>0</v>
      </c>
    </row>
    <row r="280" spans="1:4">
      <c r="A280" t="s">
        <v>792</v>
      </c>
      <c r="B280" s="2">
        <f>INT!J6+INT!K6+INT!L6+INT!M6</f>
        <v>110</v>
      </c>
      <c r="C280" s="5">
        <v>0</v>
      </c>
      <c r="D280" s="2">
        <f>B280*C280</f>
        <v>0</v>
      </c>
    </row>
    <row r="281" spans="1:4">
      <c r="A281" t="str">
        <f>INT!A22</f>
        <v>Step &amp; Bench Detail:</v>
      </c>
      <c r="B281" s="2">
        <f>INT!B22</f>
        <v>20</v>
      </c>
      <c r="C281" s="5">
        <f>IF(REMODEL!B11&gt;20,REMODEL!B11-20,0)</f>
        <v>0</v>
      </c>
      <c r="D281" s="2">
        <f>B281*C281</f>
        <v>0</v>
      </c>
    </row>
    <row r="282" spans="1:4">
      <c r="A282" t="s">
        <v>485</v>
      </c>
      <c r="B282" s="2">
        <v>100</v>
      </c>
      <c r="C282" s="4">
        <v>1</v>
      </c>
      <c r="D282" s="2">
        <f>B282*C282</f>
        <v>100</v>
      </c>
    </row>
    <row r="283" spans="1:4">
      <c r="A283" t="s">
        <v>486</v>
      </c>
      <c r="B283" s="2">
        <f>INT!B21</f>
        <v>10</v>
      </c>
      <c r="C283" s="4">
        <f>REMODEL!E10</f>
        <v>0</v>
      </c>
      <c r="D283" s="2">
        <f>B283*C283</f>
        <v>0</v>
      </c>
    </row>
    <row r="284" spans="1:4">
      <c r="A284" t="s">
        <v>853</v>
      </c>
      <c r="B284" s="2">
        <f>INT!B31</f>
        <v>1.95</v>
      </c>
      <c r="C284" s="424">
        <f>C276</f>
        <v>819</v>
      </c>
      <c r="D284" s="2">
        <f>INT!D34</f>
        <v>0</v>
      </c>
    </row>
    <row r="285" spans="1:4" ht="15" thickBot="1"/>
    <row r="286" spans="1:4" ht="15" thickBot="1">
      <c r="A286" s="155" t="s">
        <v>620</v>
      </c>
      <c r="B286" s="156"/>
      <c r="C286" s="157"/>
      <c r="D286" s="158">
        <f>IF('NEW POOL'!$B$21+'NEW POOL'!$B$22+'NEW POOL'!$B$23&gt;0,0,SUM(D276:D285))</f>
        <v>5793</v>
      </c>
    </row>
    <row r="287" spans="1:4" ht="15" thickBot="1">
      <c r="A287" s="116"/>
      <c r="B287" s="116"/>
      <c r="C287" s="152"/>
      <c r="D287" s="154"/>
    </row>
    <row r="288" spans="1:4" ht="15" thickBot="1">
      <c r="A288" s="611" t="s">
        <v>833</v>
      </c>
      <c r="B288" s="612"/>
      <c r="C288" s="612"/>
      <c r="D288" s="613"/>
    </row>
    <row r="289" spans="1:6">
      <c r="A289" t="s">
        <v>915</v>
      </c>
      <c r="B289" s="1">
        <f>MISC!B22</f>
        <v>490</v>
      </c>
      <c r="C289" s="5">
        <v>1</v>
      </c>
      <c r="D289" s="1">
        <f>B289*C289</f>
        <v>490</v>
      </c>
    </row>
    <row r="290" spans="1:6">
      <c r="A290" t="s">
        <v>916</v>
      </c>
      <c r="B290" s="1">
        <f>B289</f>
        <v>490</v>
      </c>
      <c r="C290" s="5">
        <f>'NEW POOL'!B177</f>
        <v>2</v>
      </c>
      <c r="D290" s="1">
        <f>B290*C290</f>
        <v>980</v>
      </c>
      <c r="E290" s="1">
        <f>CEILING(D290/0.85,5)</f>
        <v>1155</v>
      </c>
    </row>
    <row r="291" spans="1:6" ht="15" thickBot="1">
      <c r="A291" s="116"/>
      <c r="B291" s="116"/>
      <c r="C291" s="152"/>
      <c r="D291" s="154"/>
    </row>
    <row r="292" spans="1:6" ht="15" thickBot="1">
      <c r="A292" s="155" t="s">
        <v>837</v>
      </c>
      <c r="B292" s="156"/>
      <c r="C292" s="157"/>
      <c r="D292" s="158">
        <f>D289+D290</f>
        <v>1470</v>
      </c>
    </row>
    <row r="293" spans="1:6" ht="15" thickBot="1">
      <c r="A293" s="116"/>
      <c r="B293" s="116"/>
      <c r="C293" s="152"/>
      <c r="D293" s="154"/>
    </row>
    <row r="294" spans="1:6" ht="15" thickBot="1">
      <c r="A294" s="611" t="s">
        <v>762</v>
      </c>
      <c r="B294" s="612"/>
      <c r="C294" s="612"/>
      <c r="D294" s="613"/>
    </row>
    <row r="295" spans="1:6">
      <c r="A295" s="283" t="str">
        <f>'NEW POOL'!A21</f>
        <v>Fiberglass - Small</v>
      </c>
      <c r="B295" s="283">
        <f>FIBER!G10</f>
        <v>0</v>
      </c>
      <c r="C295" s="284">
        <f>'NEW POOL'!B21</f>
        <v>0</v>
      </c>
      <c r="D295" s="283">
        <f>B295*C295</f>
        <v>0</v>
      </c>
      <c r="E295" s="332">
        <v>0</v>
      </c>
      <c r="F295" t="s">
        <v>765</v>
      </c>
    </row>
    <row r="296" spans="1:6">
      <c r="A296" s="283" t="str">
        <f>'NEW POOL'!A22</f>
        <v>Fiberglass - Medium</v>
      </c>
      <c r="B296" s="283">
        <f>FIBER!G19</f>
        <v>0</v>
      </c>
      <c r="C296" s="284">
        <f>'NEW POOL'!B22</f>
        <v>0</v>
      </c>
      <c r="D296" s="283">
        <f t="shared" ref="D296:D302" si="6">B296*C296</f>
        <v>0</v>
      </c>
    </row>
    <row r="297" spans="1:6">
      <c r="A297" s="283" t="str">
        <f>'NEW POOL'!A23</f>
        <v>Fiberglass - Large</v>
      </c>
      <c r="B297" s="283">
        <f>FIBER!G31</f>
        <v>0</v>
      </c>
      <c r="C297" s="284">
        <f>'NEW POOL'!B23</f>
        <v>0</v>
      </c>
      <c r="D297" s="283">
        <f t="shared" si="6"/>
        <v>0</v>
      </c>
    </row>
    <row r="298" spans="1:6">
      <c r="A298" s="283" t="str">
        <f>'NEW POOL'!A25</f>
        <v>No Spa</v>
      </c>
      <c r="B298" s="283">
        <f>FIBER!G43</f>
        <v>0</v>
      </c>
      <c r="C298" s="284">
        <f>'NEW POOL'!B25</f>
        <v>0</v>
      </c>
      <c r="D298" s="283">
        <f t="shared" si="6"/>
        <v>0</v>
      </c>
    </row>
    <row r="299" spans="1:6">
      <c r="A299" s="283" t="str">
        <f>'NEW POOL'!A27</f>
        <v>No Tanning</v>
      </c>
      <c r="B299" s="283">
        <f>FIBER!G56</f>
        <v>0</v>
      </c>
      <c r="C299" s="284">
        <f>'NEW POOL'!B27</f>
        <v>0</v>
      </c>
      <c r="D299" s="283">
        <f t="shared" si="6"/>
        <v>0</v>
      </c>
    </row>
    <row r="300" spans="1:6">
      <c r="A300" s="283" t="str">
        <f>'NEW POOL'!A24</f>
        <v>Crystite G3</v>
      </c>
      <c r="B300" s="283">
        <f>FIBER!G33+FIBER!G34+FIBER!G46+FIBER!G47+FIBER!G59+FIBER!G60</f>
        <v>1500</v>
      </c>
      <c r="C300" s="284">
        <f>'NEW POOL'!B24</f>
        <v>0</v>
      </c>
      <c r="D300" s="283">
        <f>B300*C300</f>
        <v>0</v>
      </c>
      <c r="E300" s="1">
        <v>1250</v>
      </c>
    </row>
    <row r="301" spans="1:6">
      <c r="A301" t="s">
        <v>735</v>
      </c>
      <c r="B301" s="129">
        <f>SUM(FIBER!G62:G64)</f>
        <v>0</v>
      </c>
      <c r="C301" s="5">
        <f>C295+C296+C297</f>
        <v>0</v>
      </c>
      <c r="D301" s="283">
        <f t="shared" si="6"/>
        <v>0</v>
      </c>
    </row>
    <row r="302" spans="1:6">
      <c r="A302" t="s">
        <v>934</v>
      </c>
      <c r="B302" s="129">
        <f>FIBER!C65</f>
        <v>0</v>
      </c>
      <c r="C302" s="5">
        <f>C295+C296+C297</f>
        <v>0</v>
      </c>
      <c r="D302" s="283">
        <f t="shared" si="6"/>
        <v>0</v>
      </c>
    </row>
    <row r="303" spans="1:6">
      <c r="A303" t="s">
        <v>983</v>
      </c>
      <c r="B303" s="129"/>
      <c r="D303" s="283">
        <f>-D300</f>
        <v>0</v>
      </c>
    </row>
    <row r="304" spans="1:6">
      <c r="A304" t="s">
        <v>765</v>
      </c>
      <c r="B304" s="129"/>
      <c r="D304" s="283">
        <f>(D295+D296+D297+D300)*-E295</f>
        <v>0</v>
      </c>
    </row>
    <row r="305" spans="1:5" ht="15" thickBot="1">
      <c r="A305" t="s">
        <v>770</v>
      </c>
      <c r="B305" s="129"/>
      <c r="D305" s="283">
        <f>SUM(D295:D304)*E305</f>
        <v>0</v>
      </c>
      <c r="E305" s="10">
        <v>0</v>
      </c>
    </row>
    <row r="306" spans="1:5" ht="15" thickBot="1">
      <c r="A306" s="155" t="s">
        <v>759</v>
      </c>
      <c r="B306" s="156"/>
      <c r="C306" s="157"/>
      <c r="D306" s="158">
        <f>SUM(D295:D305)</f>
        <v>0</v>
      </c>
    </row>
    <row r="307" spans="1:5" ht="15" thickBot="1">
      <c r="B307" s="129"/>
      <c r="D307" s="283"/>
    </row>
    <row r="308" spans="1:5" ht="15" thickBot="1">
      <c r="A308" s="611" t="s">
        <v>763</v>
      </c>
      <c r="B308" s="612"/>
      <c r="C308" s="612"/>
      <c r="D308" s="613"/>
    </row>
    <row r="309" spans="1:5">
      <c r="B309" s="129"/>
      <c r="D309" s="283"/>
    </row>
    <row r="310" spans="1:5">
      <c r="A310" t="str">
        <f>'NEW POOL'!A28</f>
        <v>No Crane</v>
      </c>
      <c r="B310" s="129">
        <f>SUM(FIBER!G66:G70)</f>
        <v>150</v>
      </c>
      <c r="C310" s="5">
        <f>IF(($C$295+$C$296+$C$297+$C$298)&gt;0,1,0)</f>
        <v>0</v>
      </c>
      <c r="D310" s="283">
        <f>B310*C310</f>
        <v>0</v>
      </c>
    </row>
    <row r="311" spans="1:5">
      <c r="A311" t="s">
        <v>342</v>
      </c>
      <c r="B311" s="129">
        <f>FIBER!G71+FIBER!G72+FIBER!G73+FIBER!G74</f>
        <v>0</v>
      </c>
      <c r="C311" s="5">
        <f>IF(($C$295+$C$296+$C$297+$C$298)&gt;0,1,0)</f>
        <v>0</v>
      </c>
      <c r="D311" s="283">
        <f>B311*C311</f>
        <v>0</v>
      </c>
    </row>
    <row r="312" spans="1:5">
      <c r="A312" t="s">
        <v>738</v>
      </c>
      <c r="B312" s="129">
        <f>SUM(FIBER!G75:G77)</f>
        <v>0</v>
      </c>
      <c r="C312" s="5">
        <f>IF(($C$295+$C$296+$C$297+$C$298)&gt;0,1,0)</f>
        <v>0</v>
      </c>
      <c r="D312" s="283">
        <f>B312*C312</f>
        <v>0</v>
      </c>
    </row>
    <row r="313" spans="1:5" ht="15" thickBot="1">
      <c r="B313" s="129"/>
      <c r="D313" s="283"/>
    </row>
    <row r="314" spans="1:5" ht="15" thickBot="1">
      <c r="A314" s="155" t="s">
        <v>761</v>
      </c>
      <c r="B314" s="156"/>
      <c r="C314" s="157"/>
      <c r="D314" s="158">
        <f>SUM(D309:D313)</f>
        <v>0</v>
      </c>
    </row>
    <row r="315" spans="1:5" ht="15" thickBot="1">
      <c r="B315" s="2"/>
      <c r="D315" s="283"/>
    </row>
    <row r="316" spans="1:5" ht="15" thickBot="1">
      <c r="A316" s="611" t="s">
        <v>632</v>
      </c>
      <c r="B316" s="612"/>
      <c r="C316" s="612"/>
      <c r="D316" s="613"/>
    </row>
    <row r="317" spans="1:5">
      <c r="A317" t="str">
        <f>MISC!A5</f>
        <v>Start-Up &amp; 30 Days:</v>
      </c>
      <c r="B317" s="2">
        <f>MISC!B5</f>
        <v>700</v>
      </c>
      <c r="C317" s="5">
        <v>1</v>
      </c>
      <c r="D317" s="2">
        <f>MISC!D5</f>
        <v>700</v>
      </c>
    </row>
    <row r="318" spans="1:5">
      <c r="A318" t="str">
        <f>MISC!A6</f>
        <v>Add Automation:</v>
      </c>
      <c r="B318" s="2">
        <f>MISC!B6</f>
        <v>300</v>
      </c>
      <c r="C318" s="4">
        <f>EXC!C27</f>
        <v>1</v>
      </c>
      <c r="D318" s="2">
        <f>MISC!D6</f>
        <v>300</v>
      </c>
    </row>
    <row r="319" spans="1:5">
      <c r="A319" t="str">
        <f>MISC!A7</f>
        <v>Premium Start-Up:</v>
      </c>
      <c r="B319" s="2">
        <f>MISC!B7</f>
        <v>800</v>
      </c>
      <c r="C319" s="5">
        <f>'NEW POOL'!B179</f>
        <v>0</v>
      </c>
      <c r="D319" s="2">
        <f>MISC!D7</f>
        <v>0</v>
      </c>
    </row>
    <row r="320" spans="1:5" ht="15" thickBot="1"/>
    <row r="321" spans="1:9" ht="15" thickBot="1">
      <c r="A321" s="155" t="s">
        <v>635</v>
      </c>
      <c r="B321" s="156"/>
      <c r="C321" s="157"/>
      <c r="D321" s="158">
        <f>SUM(D317:D320)</f>
        <v>1000</v>
      </c>
    </row>
    <row r="322" spans="1:9" ht="15" thickBot="1">
      <c r="A322" s="116"/>
      <c r="B322" s="116"/>
      <c r="C322" s="152"/>
      <c r="D322" s="154"/>
    </row>
    <row r="323" spans="1:9" ht="15" thickBot="1">
      <c r="A323" s="611" t="s">
        <v>796</v>
      </c>
      <c r="B323" s="612"/>
      <c r="C323" s="612"/>
      <c r="D323" s="613"/>
    </row>
    <row r="324" spans="1:9">
      <c r="A324" t="str">
        <f>CUSTOM!A3</f>
        <v>travertine cap for raised wall</v>
      </c>
      <c r="B324" s="2">
        <f>CUSTOM!E3</f>
        <v>1150</v>
      </c>
      <c r="C324" s="5">
        <f t="shared" ref="C324:C331" si="7">IF(B324&gt;0,1,0)</f>
        <v>1</v>
      </c>
      <c r="D324" s="2">
        <f t="shared" ref="D324:D331" si="8">B324*C324</f>
        <v>1150</v>
      </c>
    </row>
    <row r="325" spans="1:9">
      <c r="A325" t="str">
        <f>CUSTOM!A5</f>
        <v>No Custom Feature</v>
      </c>
      <c r="B325" s="2">
        <f>CUSTOM!E5</f>
        <v>0</v>
      </c>
      <c r="C325" s="5">
        <f t="shared" si="7"/>
        <v>0</v>
      </c>
      <c r="D325" s="2">
        <f t="shared" si="8"/>
        <v>0</v>
      </c>
    </row>
    <row r="326" spans="1:9">
      <c r="A326" t="str">
        <f>CUSTOM!A7</f>
        <v>No Custom Feature</v>
      </c>
      <c r="B326" s="2">
        <f>CUSTOM!E7</f>
        <v>0</v>
      </c>
      <c r="C326" s="5">
        <f t="shared" si="7"/>
        <v>0</v>
      </c>
      <c r="D326" s="2">
        <f t="shared" si="8"/>
        <v>0</v>
      </c>
    </row>
    <row r="327" spans="1:9">
      <c r="A327" t="str">
        <f>CUSTOM!A9</f>
        <v>No Custom Feature</v>
      </c>
      <c r="B327" s="2">
        <f>CUSTOM!E9</f>
        <v>0</v>
      </c>
      <c r="C327" s="5">
        <f t="shared" si="7"/>
        <v>0</v>
      </c>
      <c r="D327" s="2">
        <f t="shared" si="8"/>
        <v>0</v>
      </c>
    </row>
    <row r="328" spans="1:9">
      <c r="A328" t="str">
        <f>CUSTOM!A11</f>
        <v>No Custom Feature</v>
      </c>
      <c r="B328" s="2">
        <f>CUSTOM!E11</f>
        <v>0</v>
      </c>
      <c r="C328" s="5">
        <f t="shared" si="7"/>
        <v>0</v>
      </c>
      <c r="D328" s="2">
        <f t="shared" si="8"/>
        <v>0</v>
      </c>
    </row>
    <row r="329" spans="1:9">
      <c r="A329" t="str">
        <f>CUSTOM!A13</f>
        <v>No Custom Feature</v>
      </c>
      <c r="B329" s="2">
        <f>CUSTOM!E13</f>
        <v>0</v>
      </c>
      <c r="C329" s="5">
        <f t="shared" si="7"/>
        <v>0</v>
      </c>
      <c r="D329" s="2">
        <f t="shared" si="8"/>
        <v>0</v>
      </c>
    </row>
    <row r="330" spans="1:9">
      <c r="A330" t="str">
        <f>CUSTOM!A15</f>
        <v>No Custom Feature</v>
      </c>
      <c r="B330" s="2">
        <f>CUSTOM!E15</f>
        <v>0</v>
      </c>
      <c r="C330" s="5">
        <f t="shared" si="7"/>
        <v>0</v>
      </c>
      <c r="D330" s="2">
        <f t="shared" si="8"/>
        <v>0</v>
      </c>
    </row>
    <row r="331" spans="1:9">
      <c r="A331" t="str">
        <f>CUSTOM!A17</f>
        <v>No Custom Feature</v>
      </c>
      <c r="B331" s="2">
        <f>CUSTOM!E17</f>
        <v>0</v>
      </c>
      <c r="C331" s="5">
        <f t="shared" si="7"/>
        <v>0</v>
      </c>
      <c r="D331" s="2">
        <f t="shared" si="8"/>
        <v>0</v>
      </c>
    </row>
    <row r="332" spans="1:9" ht="15" thickBot="1">
      <c r="B332" s="2"/>
      <c r="D332" s="2"/>
    </row>
    <row r="333" spans="1:9" ht="15" thickBot="1">
      <c r="A333" s="155" t="s">
        <v>797</v>
      </c>
      <c r="B333" s="156"/>
      <c r="C333" s="157"/>
      <c r="D333" s="158">
        <f>SUM(D324:D332)</f>
        <v>1150</v>
      </c>
    </row>
    <row r="334" spans="1:9" ht="15" thickBot="1"/>
    <row r="335" spans="1:9" ht="15" thickBot="1">
      <c r="A335" s="159" t="s">
        <v>674</v>
      </c>
      <c r="B335" s="160"/>
      <c r="C335" s="161"/>
      <c r="D335" s="162">
        <f>(D32+D321+D286+D273+D266+D231+D212+D179+D152+D124+D108+D75+D54+D23+D9+D257+D16+D81+D306+D314+D333+D292-D53)*1.01</f>
        <v>28528.729063999999</v>
      </c>
      <c r="E335" s="178">
        <v>0.7</v>
      </c>
    </row>
    <row r="336" spans="1:9">
      <c r="H336" t="s">
        <v>800</v>
      </c>
      <c r="I336" t="s">
        <v>16</v>
      </c>
    </row>
    <row r="337" spans="1:9">
      <c r="A337" t="s">
        <v>637</v>
      </c>
      <c r="D337" s="2">
        <f>D335/E335</f>
        <v>40755.327234285716</v>
      </c>
      <c r="E337" s="183"/>
      <c r="G337" s="5">
        <f>SUM(C295:C297)</f>
        <v>0</v>
      </c>
      <c r="H337" s="3">
        <f>FIBER!C59+FIBER!C46+FIBER!C33</f>
        <v>2000</v>
      </c>
      <c r="I337" s="60">
        <f>CEILING(H337/0.75,10)*G337</f>
        <v>0</v>
      </c>
    </row>
    <row r="338" spans="1:9">
      <c r="E338" s="4"/>
    </row>
    <row r="339" spans="1:9" ht="15" thickBot="1">
      <c r="A339" t="s">
        <v>674</v>
      </c>
      <c r="D339" s="1">
        <f>-D335+D53</f>
        <v>-28528.729063999999</v>
      </c>
      <c r="E339" s="4"/>
    </row>
    <row r="340" spans="1:9" ht="15" thickBot="1">
      <c r="A340" t="s">
        <v>671</v>
      </c>
      <c r="D340" s="1">
        <f>-D337*0.0275</f>
        <v>-1120.7714989428573</v>
      </c>
      <c r="E340" s="179">
        <v>2.75E-2</v>
      </c>
    </row>
    <row r="341" spans="1:9" ht="15" thickBot="1">
      <c r="A341" t="s">
        <v>672</v>
      </c>
      <c r="D341" s="1">
        <f>-D337*0.0275</f>
        <v>-1120.7714989428573</v>
      </c>
      <c r="E341" s="4"/>
    </row>
    <row r="342" spans="1:9" ht="15" thickBot="1">
      <c r="A342" t="s">
        <v>673</v>
      </c>
      <c r="D342" s="2">
        <f>-D337*E342</f>
        <v>-1120.7714989428573</v>
      </c>
      <c r="E342" s="180">
        <f>E340</f>
        <v>2.75E-2</v>
      </c>
    </row>
    <row r="343" spans="1:9" ht="15" thickBot="1">
      <c r="D343" s="181"/>
    </row>
    <row r="344" spans="1:9" ht="18.600000000000001" thickBot="1">
      <c r="A344" s="189" t="s">
        <v>675</v>
      </c>
      <c r="B344" s="189"/>
      <c r="C344" s="190"/>
      <c r="D344" s="191">
        <f>SUM(D337:D343)</f>
        <v>8864.2836734571465</v>
      </c>
      <c r="E344" s="192">
        <f>D344/D337</f>
        <v>0.21750000000000008</v>
      </c>
    </row>
  </sheetData>
  <mergeCells count="22">
    <mergeCell ref="A214:D214"/>
    <mergeCell ref="A2:D2"/>
    <mergeCell ref="A11:D11"/>
    <mergeCell ref="A18:D18"/>
    <mergeCell ref="A34:D34"/>
    <mergeCell ref="A56:D56"/>
    <mergeCell ref="A77:D77"/>
    <mergeCell ref="A83:D83"/>
    <mergeCell ref="A110:D110"/>
    <mergeCell ref="A126:D126"/>
    <mergeCell ref="A154:D154"/>
    <mergeCell ref="A181:D181"/>
    <mergeCell ref="A25:D25"/>
    <mergeCell ref="A308:D308"/>
    <mergeCell ref="A316:D316"/>
    <mergeCell ref="A323:D323"/>
    <mergeCell ref="A233:D233"/>
    <mergeCell ref="A259:D259"/>
    <mergeCell ref="A268:D268"/>
    <mergeCell ref="A275:D275"/>
    <mergeCell ref="A288:D288"/>
    <mergeCell ref="A294:D29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5F740-A634-40B9-A7DA-AD60B878E8FC}">
  <sheetPr codeName="Sheet22">
    <pageSetUpPr fitToPage="1"/>
  </sheetPr>
  <dimension ref="A1:J67"/>
  <sheetViews>
    <sheetView topLeftCell="A46" zoomScaleNormal="100" workbookViewId="0">
      <selection activeCell="D47" activeCellId="8" sqref="D7 D11 D23 D25 D37 D41 D43 D45 D47"/>
    </sheetView>
  </sheetViews>
  <sheetFormatPr defaultRowHeight="14.4"/>
  <cols>
    <col min="1" max="1" width="24.44140625" customWidth="1"/>
    <col min="2" max="2" width="14.88671875" customWidth="1"/>
    <col min="3" max="3" width="9.109375" style="5"/>
    <col min="4" max="4" width="14.88671875" customWidth="1"/>
    <col min="6" max="6" width="13.44140625" style="4" customWidth="1"/>
    <col min="8" max="8" width="13.44140625" style="4" customWidth="1"/>
    <col min="10" max="10" width="13.44140625" customWidth="1"/>
    <col min="12" max="12" width="13.44140625" customWidth="1"/>
  </cols>
  <sheetData>
    <row r="1" spans="1:10" ht="24" thickBot="1">
      <c r="A1" s="617" t="s">
        <v>638</v>
      </c>
      <c r="B1" s="618"/>
      <c r="C1" s="618"/>
      <c r="D1" s="619"/>
    </row>
    <row r="2" spans="1:10" ht="15" thickBot="1"/>
    <row r="3" spans="1:10" ht="18.600000000000001" thickBot="1">
      <c r="A3" s="189" t="s">
        <v>0</v>
      </c>
      <c r="B3" s="620" t="str">
        <f>'NEW POOL'!B3</f>
        <v>Daisy Burger no sale</v>
      </c>
      <c r="C3" s="621"/>
      <c r="D3" s="622"/>
    </row>
    <row r="4" spans="1:10" ht="15" thickBot="1">
      <c r="J4" s="4"/>
    </row>
    <row r="5" spans="1:10" ht="15" thickBot="1">
      <c r="A5" s="155" t="s">
        <v>628</v>
      </c>
      <c r="B5" s="156"/>
      <c r="C5" s="157"/>
      <c r="D5" s="360">
        <f>'COST - REMODEL'!D9</f>
        <v>0</v>
      </c>
      <c r="F5" s="184"/>
      <c r="H5" s="24"/>
      <c r="J5" s="1"/>
    </row>
    <row r="6" spans="1:10" ht="15" thickBot="1">
      <c r="F6" s="184"/>
      <c r="H6" s="24"/>
    </row>
    <row r="7" spans="1:10" ht="15" thickBot="1">
      <c r="A7" s="155" t="s">
        <v>631</v>
      </c>
      <c r="B7" s="156"/>
      <c r="C7" s="157"/>
      <c r="D7" s="360">
        <f>'COST - REMODEL'!D16</f>
        <v>565</v>
      </c>
      <c r="F7" s="184"/>
      <c r="H7" s="24"/>
      <c r="J7" s="1"/>
    </row>
    <row r="8" spans="1:10" ht="15" thickBot="1">
      <c r="F8" s="184"/>
      <c r="H8" s="24"/>
    </row>
    <row r="9" spans="1:10" ht="15" thickBot="1">
      <c r="A9" s="155" t="s">
        <v>1</v>
      </c>
      <c r="B9" s="156"/>
      <c r="C9" s="157"/>
      <c r="D9" s="360">
        <f>'COST - REMODEL'!D23</f>
        <v>150</v>
      </c>
      <c r="F9" s="184"/>
      <c r="H9" s="24"/>
      <c r="J9" s="1"/>
    </row>
    <row r="10" spans="1:10" ht="15" thickBot="1">
      <c r="A10" s="116"/>
      <c r="B10" s="116"/>
      <c r="C10" s="152"/>
      <c r="D10" s="335"/>
      <c r="F10" s="184"/>
      <c r="H10" s="24"/>
      <c r="J10" s="1"/>
    </row>
    <row r="11" spans="1:10" ht="15" thickBot="1">
      <c r="A11" s="155" t="s">
        <v>1010</v>
      </c>
      <c r="B11" s="156"/>
      <c r="C11" s="157"/>
      <c r="D11" s="360">
        <f>'COST - REMODEL'!D32</f>
        <v>3622.5</v>
      </c>
      <c r="F11" s="184"/>
      <c r="H11" s="24"/>
    </row>
    <row r="12" spans="1:10" ht="15" thickBot="1">
      <c r="F12" s="184"/>
      <c r="H12" s="24"/>
    </row>
    <row r="13" spans="1:10" ht="15" thickBot="1">
      <c r="A13" s="155" t="s">
        <v>521</v>
      </c>
      <c r="B13" s="156"/>
      <c r="C13" s="157"/>
      <c r="D13" s="360">
        <f>'COST - REMODEL'!D54</f>
        <v>0</v>
      </c>
      <c r="F13" s="184"/>
      <c r="H13" s="24"/>
      <c r="J13" s="1"/>
    </row>
    <row r="14" spans="1:10" ht="15" thickBot="1">
      <c r="F14" s="184"/>
      <c r="H14" s="24"/>
    </row>
    <row r="15" spans="1:10" ht="15" thickBot="1">
      <c r="A15" s="155" t="s">
        <v>520</v>
      </c>
      <c r="B15" s="156"/>
      <c r="C15" s="157"/>
      <c r="D15" s="360">
        <f>'COST - REMODEL'!D75</f>
        <v>0</v>
      </c>
      <c r="F15" s="184"/>
      <c r="H15" s="24"/>
      <c r="J15" s="1"/>
    </row>
    <row r="16" spans="1:10" ht="15" thickBot="1">
      <c r="A16" s="116"/>
      <c r="B16" s="116"/>
      <c r="C16" s="152"/>
      <c r="D16" s="154"/>
      <c r="F16" s="184"/>
      <c r="H16" s="24"/>
    </row>
    <row r="17" spans="1:10" ht="15" thickBot="1">
      <c r="A17" s="155" t="s">
        <v>669</v>
      </c>
      <c r="B17" s="156"/>
      <c r="C17" s="157"/>
      <c r="D17" s="360">
        <f>'COST - REMODEL'!D81</f>
        <v>2050</v>
      </c>
      <c r="F17" s="184"/>
      <c r="H17" s="24"/>
      <c r="J17" s="1"/>
    </row>
    <row r="18" spans="1:10" ht="15" thickBot="1">
      <c r="F18" s="184"/>
      <c r="H18" s="24"/>
    </row>
    <row r="19" spans="1:10" ht="15" thickBot="1">
      <c r="A19" s="155" t="s">
        <v>536</v>
      </c>
      <c r="B19" s="156"/>
      <c r="C19" s="157"/>
      <c r="D19" s="360">
        <f>'COST - REMODEL'!D108</f>
        <v>0</v>
      </c>
      <c r="F19" s="184"/>
      <c r="H19" s="24"/>
      <c r="J19" s="1"/>
    </row>
    <row r="20" spans="1:10" ht="15" thickBot="1">
      <c r="F20" s="184"/>
      <c r="H20" s="24"/>
    </row>
    <row r="21" spans="1:10" ht="15" thickBot="1">
      <c r="A21" s="155" t="s">
        <v>559</v>
      </c>
      <c r="B21" s="156"/>
      <c r="C21" s="157"/>
      <c r="D21" s="360">
        <f>'COST - REMODEL'!D124</f>
        <v>0</v>
      </c>
      <c r="F21" s="184"/>
      <c r="H21" s="24"/>
      <c r="J21" s="1"/>
    </row>
    <row r="22" spans="1:10" ht="15" thickBot="1">
      <c r="F22" s="184"/>
      <c r="H22" s="24"/>
    </row>
    <row r="23" spans="1:10" ht="15" thickBot="1">
      <c r="A23" s="155" t="s">
        <v>596</v>
      </c>
      <c r="B23" s="156"/>
      <c r="C23" s="157"/>
      <c r="D23" s="360">
        <f>'COST - REMODEL'!D175</f>
        <v>1560</v>
      </c>
      <c r="F23" s="184"/>
      <c r="H23" s="24"/>
      <c r="J23" s="1"/>
    </row>
    <row r="24" spans="1:10" ht="15" thickBot="1">
      <c r="F24" s="184"/>
      <c r="H24" s="24"/>
    </row>
    <row r="25" spans="1:10" ht="15" thickBot="1">
      <c r="A25" s="155" t="s">
        <v>597</v>
      </c>
      <c r="B25" s="156"/>
      <c r="C25" s="157"/>
      <c r="D25" s="360">
        <f>'COST - REMODEL'!D177</f>
        <v>560</v>
      </c>
      <c r="F25" s="184"/>
      <c r="H25" s="24"/>
      <c r="J25" s="1"/>
    </row>
    <row r="26" spans="1:10" ht="15" thickBot="1">
      <c r="F26" s="184"/>
      <c r="H26" s="24"/>
    </row>
    <row r="27" spans="1:10" ht="15" thickBot="1">
      <c r="A27" s="155" t="s">
        <v>605</v>
      </c>
      <c r="B27" s="156"/>
      <c r="C27" s="157"/>
      <c r="D27" s="360">
        <f>'COST - REMODEL'!D206</f>
        <v>0</v>
      </c>
      <c r="F27" s="184"/>
      <c r="H27" s="24"/>
      <c r="J27" s="1"/>
    </row>
    <row r="28" spans="1:10" ht="15" thickBot="1">
      <c r="F28" s="184"/>
      <c r="H28" s="24"/>
    </row>
    <row r="29" spans="1:10" ht="15" thickBot="1">
      <c r="A29" s="155" t="s">
        <v>606</v>
      </c>
      <c r="B29" s="156"/>
      <c r="C29" s="157"/>
      <c r="D29" s="360">
        <f>'COST - REMODEL'!D208</f>
        <v>0</v>
      </c>
      <c r="F29" s="184"/>
      <c r="H29" s="24"/>
      <c r="J29" s="1"/>
    </row>
    <row r="30" spans="1:10" ht="15" thickBot="1">
      <c r="F30" s="184"/>
      <c r="H30" s="24"/>
    </row>
    <row r="31" spans="1:10" ht="15" thickBot="1">
      <c r="A31" s="155" t="s">
        <v>617</v>
      </c>
      <c r="B31" s="156"/>
      <c r="C31" s="157"/>
      <c r="D31" s="360">
        <f>'COST - REMODEL'!D227</f>
        <v>2474</v>
      </c>
      <c r="F31" s="184"/>
      <c r="H31" s="24"/>
      <c r="J31" s="1"/>
    </row>
    <row r="32" spans="1:10" ht="15" thickBot="1">
      <c r="F32" s="184"/>
      <c r="H32" s="24"/>
    </row>
    <row r="33" spans="1:10" ht="15" thickBot="1">
      <c r="A33" s="155" t="s">
        <v>618</v>
      </c>
      <c r="B33" s="156"/>
      <c r="C33" s="157"/>
      <c r="D33" s="360">
        <f>'COST - REMODEL'!D229</f>
        <v>2661.6</v>
      </c>
      <c r="F33" s="184"/>
      <c r="H33" s="24"/>
      <c r="J33" s="1"/>
    </row>
    <row r="34" spans="1:10" ht="15" thickBot="1">
      <c r="F34" s="184"/>
      <c r="H34" s="24"/>
    </row>
    <row r="35" spans="1:10" ht="15" thickBot="1">
      <c r="A35" s="155" t="s">
        <v>849</v>
      </c>
      <c r="B35" s="156"/>
      <c r="C35" s="157"/>
      <c r="D35" s="360">
        <f>'COST - REMODEL'!D210</f>
        <v>0</v>
      </c>
      <c r="F35" s="184"/>
      <c r="H35" s="24"/>
    </row>
    <row r="36" spans="1:10" ht="15" thickBot="1">
      <c r="F36" s="184"/>
      <c r="H36" s="24"/>
    </row>
    <row r="37" spans="1:10" ht="15" thickBot="1">
      <c r="A37" s="155" t="s">
        <v>634</v>
      </c>
      <c r="B37" s="156"/>
      <c r="C37" s="157"/>
      <c r="D37" s="360">
        <f>'COST - REMODEL'!D257</f>
        <v>4840.1664000000001</v>
      </c>
      <c r="F37" s="184"/>
      <c r="H37" s="24"/>
      <c r="J37" s="1"/>
    </row>
    <row r="38" spans="1:10" ht="15" thickBot="1">
      <c r="F38" s="184"/>
      <c r="H38" s="24"/>
    </row>
    <row r="39" spans="1:10" ht="15" thickBot="1">
      <c r="A39" s="155" t="s">
        <v>523</v>
      </c>
      <c r="B39" s="156"/>
      <c r="C39" s="157"/>
      <c r="D39" s="360">
        <f>'COST - REMODEL'!D266</f>
        <v>0</v>
      </c>
      <c r="F39" s="184"/>
      <c r="H39" s="24"/>
      <c r="J39" s="1"/>
    </row>
    <row r="40" spans="1:10" ht="15" thickBot="1">
      <c r="F40" s="184"/>
      <c r="H40" s="24"/>
    </row>
    <row r="41" spans="1:10" ht="15" thickBot="1">
      <c r="A41" s="155" t="s">
        <v>577</v>
      </c>
      <c r="B41" s="156"/>
      <c r="C41" s="157"/>
      <c r="D41" s="360">
        <f>'COST - REMODEL'!D273</f>
        <v>350</v>
      </c>
      <c r="F41" s="184"/>
      <c r="H41" s="24"/>
      <c r="J41" s="1"/>
    </row>
    <row r="42" spans="1:10" ht="15" thickBot="1">
      <c r="F42" s="184"/>
      <c r="H42" s="24"/>
    </row>
    <row r="43" spans="1:10" ht="15" thickBot="1">
      <c r="A43" s="155" t="s">
        <v>620</v>
      </c>
      <c r="B43" s="156"/>
      <c r="C43" s="157"/>
      <c r="D43" s="360">
        <f>'COST - REMODEL'!D286</f>
        <v>5793</v>
      </c>
      <c r="F43" s="184"/>
      <c r="H43" s="24"/>
      <c r="J43" s="1"/>
    </row>
    <row r="44" spans="1:10" ht="15" thickBot="1">
      <c r="A44" s="116"/>
      <c r="B44" s="116"/>
      <c r="C44" s="152"/>
      <c r="D44" s="335"/>
      <c r="F44" s="184"/>
      <c r="H44" s="24"/>
      <c r="J44" s="1"/>
    </row>
    <row r="45" spans="1:10" ht="15" thickBot="1">
      <c r="A45" s="155" t="s">
        <v>837</v>
      </c>
      <c r="B45" s="156"/>
      <c r="C45" s="157"/>
      <c r="D45" s="360">
        <f>'COST - REMODEL'!D292</f>
        <v>1470</v>
      </c>
      <c r="F45" s="184"/>
      <c r="H45" s="24"/>
    </row>
    <row r="46" spans="1:10" ht="15" thickBot="1">
      <c r="F46" s="184"/>
      <c r="H46" s="24"/>
    </row>
    <row r="47" spans="1:10" ht="15" thickBot="1">
      <c r="A47" s="155" t="s">
        <v>635</v>
      </c>
      <c r="B47" s="156"/>
      <c r="C47" s="157"/>
      <c r="D47" s="360">
        <f>'COST - NEW'!D330</f>
        <v>1000</v>
      </c>
      <c r="F47" s="184"/>
      <c r="H47" s="24"/>
      <c r="J47" s="1"/>
    </row>
    <row r="48" spans="1:10" ht="15" thickBot="1"/>
    <row r="49" spans="1:4" ht="15" thickBot="1">
      <c r="A49" s="155" t="str">
        <f>CUSTOM!A3</f>
        <v>travertine cap for raised wall</v>
      </c>
      <c r="B49" s="156"/>
      <c r="C49" s="157"/>
      <c r="D49" s="360">
        <f>'COST - NEW'!D333</f>
        <v>1150</v>
      </c>
    </row>
    <row r="50" spans="1:4" ht="15" thickBot="1"/>
    <row r="51" spans="1:4" ht="15" thickBot="1">
      <c r="A51" s="155" t="str">
        <f>CUSTOM!A5</f>
        <v>No Custom Feature</v>
      </c>
      <c r="B51" s="156"/>
      <c r="C51" s="157"/>
      <c r="D51" s="360">
        <f>'COST - NEW'!D334</f>
        <v>0</v>
      </c>
    </row>
    <row r="52" spans="1:4" ht="15" thickBot="1"/>
    <row r="53" spans="1:4" ht="15" thickBot="1">
      <c r="A53" s="155" t="str">
        <f>CUSTOM!A7</f>
        <v>No Custom Feature</v>
      </c>
      <c r="B53" s="156"/>
      <c r="C53" s="157"/>
      <c r="D53" s="360">
        <f>'COST - NEW'!D335</f>
        <v>0</v>
      </c>
    </row>
    <row r="54" spans="1:4" ht="15" thickBot="1"/>
    <row r="55" spans="1:4" ht="15" thickBot="1">
      <c r="A55" s="155" t="str">
        <f>CUSTOM!A9</f>
        <v>No Custom Feature</v>
      </c>
      <c r="B55" s="156"/>
      <c r="C55" s="157"/>
      <c r="D55" s="360">
        <f>'COST - NEW'!D336</f>
        <v>0</v>
      </c>
    </row>
    <row r="56" spans="1:4" ht="15" thickBot="1">
      <c r="A56" s="116"/>
      <c r="B56" s="116"/>
      <c r="C56" s="152"/>
      <c r="D56" s="335"/>
    </row>
    <row r="57" spans="1:4" ht="15" thickBot="1">
      <c r="A57" s="155" t="str">
        <f>CUSTOM!A11</f>
        <v>No Custom Feature</v>
      </c>
      <c r="B57" s="156"/>
      <c r="C57" s="157"/>
      <c r="D57" s="360">
        <f>'COST - NEW'!D337</f>
        <v>0</v>
      </c>
    </row>
    <row r="58" spans="1:4" ht="15" thickBot="1"/>
    <row r="59" spans="1:4" ht="15" thickBot="1">
      <c r="A59" s="155" t="str">
        <f>CUSTOM!A13</f>
        <v>No Custom Feature</v>
      </c>
      <c r="B59" s="156"/>
      <c r="C59" s="157"/>
      <c r="D59" s="360">
        <f>'COST - NEW'!D338</f>
        <v>0</v>
      </c>
    </row>
    <row r="60" spans="1:4" ht="15" thickBot="1"/>
    <row r="61" spans="1:4" ht="15" thickBot="1">
      <c r="A61" s="155" t="str">
        <f>CUSTOM!A15</f>
        <v>No Custom Feature</v>
      </c>
      <c r="B61" s="156"/>
      <c r="C61" s="157"/>
      <c r="D61" s="360">
        <f>'COST - NEW'!D339</f>
        <v>0</v>
      </c>
    </row>
    <row r="62" spans="1:4" ht="15" thickBot="1"/>
    <row r="63" spans="1:4" ht="15" thickBot="1">
      <c r="A63" s="155" t="str">
        <f>CUSTOM!A17</f>
        <v>No Custom Feature</v>
      </c>
      <c r="B63" s="156"/>
      <c r="C63" s="157"/>
      <c r="D63" s="360">
        <f>'COST - NEW'!D340</f>
        <v>0</v>
      </c>
    </row>
    <row r="64" spans="1:4" ht="15" thickBot="1">
      <c r="A64" s="116"/>
      <c r="B64" s="116"/>
      <c r="C64" s="152"/>
      <c r="D64" s="335"/>
    </row>
    <row r="65" spans="1:10" ht="18.600000000000001" thickBot="1">
      <c r="A65" s="361" t="s">
        <v>2</v>
      </c>
      <c r="B65" s="362"/>
      <c r="C65" s="363"/>
      <c r="D65" s="364">
        <f>SUM(D5:D64)</f>
        <v>28246.2664</v>
      </c>
      <c r="E65" s="9"/>
      <c r="F65" s="24"/>
      <c r="H65" s="24"/>
      <c r="J65" s="1"/>
    </row>
    <row r="67" spans="1:10">
      <c r="D67" s="1"/>
    </row>
  </sheetData>
  <mergeCells count="2">
    <mergeCell ref="A1:D1"/>
    <mergeCell ref="B3:D3"/>
  </mergeCells>
  <printOptions horizontalCentered="1"/>
  <pageMargins left="0.7" right="0.7" top="0.75" bottom="0.75" header="0.3" footer="0.3"/>
  <pageSetup scale="62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C1CDE-CB78-4FDF-8869-E51D0459FDAC}">
  <sheetPr codeName="Sheet2"/>
  <dimension ref="A1:W249"/>
  <sheetViews>
    <sheetView topLeftCell="M1" zoomScaleNormal="100" workbookViewId="0">
      <selection activeCell="N4" sqref="N4"/>
    </sheetView>
  </sheetViews>
  <sheetFormatPr defaultRowHeight="14.4"/>
  <cols>
    <col min="1" max="1" width="18.88671875" hidden="1" customWidth="1"/>
    <col min="2" max="2" width="35.88671875" hidden="1" customWidth="1"/>
    <col min="3" max="3" width="36.44140625" hidden="1" customWidth="1"/>
    <col min="4" max="4" width="11" hidden="1" customWidth="1"/>
    <col min="5" max="5" width="15.109375" hidden="1" customWidth="1"/>
    <col min="6" max="7" width="15.44140625" style="12" hidden="1" customWidth="1"/>
    <col min="8" max="8" width="15.44140625" hidden="1" customWidth="1"/>
    <col min="9" max="9" width="17.88671875" hidden="1" customWidth="1"/>
    <col min="10" max="10" width="13.88671875" hidden="1" customWidth="1"/>
    <col min="11" max="11" width="0" hidden="1" customWidth="1"/>
    <col min="12" max="12" width="0.109375" hidden="1" customWidth="1"/>
    <col min="13" max="13" width="37.109375" bestFit="1" customWidth="1"/>
    <col min="14" max="20" width="13.109375" customWidth="1"/>
    <col min="21" max="21" width="78.5546875" customWidth="1"/>
    <col min="22" max="22" width="11.109375" bestFit="1" customWidth="1"/>
    <col min="23" max="23" width="64.5546875" bestFit="1" customWidth="1"/>
    <col min="265" max="265" width="18.88671875" customWidth="1"/>
    <col min="266" max="266" width="35.88671875" customWidth="1"/>
    <col min="267" max="267" width="36.44140625" customWidth="1"/>
    <col min="268" max="268" width="15.44140625" customWidth="1"/>
    <col min="269" max="269" width="17.88671875" customWidth="1"/>
    <col min="273" max="273" width="35" customWidth="1"/>
    <col min="274" max="274" width="10.109375" bestFit="1" customWidth="1"/>
    <col min="275" max="275" width="12.109375" bestFit="1" customWidth="1"/>
    <col min="276" max="276" width="12.109375" customWidth="1"/>
    <col min="277" max="277" width="52.44140625" bestFit="1" customWidth="1"/>
    <col min="521" max="521" width="18.88671875" customWidth="1"/>
    <col min="522" max="522" width="35.88671875" customWidth="1"/>
    <col min="523" max="523" width="36.44140625" customWidth="1"/>
    <col min="524" max="524" width="15.44140625" customWidth="1"/>
    <col min="525" max="525" width="17.88671875" customWidth="1"/>
    <col min="529" max="529" width="35" customWidth="1"/>
    <col min="530" max="530" width="10.109375" bestFit="1" customWidth="1"/>
    <col min="531" max="531" width="12.109375" bestFit="1" customWidth="1"/>
    <col min="532" max="532" width="12.109375" customWidth="1"/>
    <col min="533" max="533" width="52.44140625" bestFit="1" customWidth="1"/>
    <col min="777" max="777" width="18.88671875" customWidth="1"/>
    <col min="778" max="778" width="35.88671875" customWidth="1"/>
    <col min="779" max="779" width="36.44140625" customWidth="1"/>
    <col min="780" max="780" width="15.44140625" customWidth="1"/>
    <col min="781" max="781" width="17.88671875" customWidth="1"/>
    <col min="785" max="785" width="35" customWidth="1"/>
    <col min="786" max="786" width="10.109375" bestFit="1" customWidth="1"/>
    <col min="787" max="787" width="12.109375" bestFit="1" customWidth="1"/>
    <col min="788" max="788" width="12.109375" customWidth="1"/>
    <col min="789" max="789" width="52.44140625" bestFit="1" customWidth="1"/>
    <col min="1033" max="1033" width="18.88671875" customWidth="1"/>
    <col min="1034" max="1034" width="35.88671875" customWidth="1"/>
    <col min="1035" max="1035" width="36.44140625" customWidth="1"/>
    <col min="1036" max="1036" width="15.44140625" customWidth="1"/>
    <col min="1037" max="1037" width="17.88671875" customWidth="1"/>
    <col min="1041" max="1041" width="35" customWidth="1"/>
    <col min="1042" max="1042" width="10.109375" bestFit="1" customWidth="1"/>
    <col min="1043" max="1043" width="12.109375" bestFit="1" customWidth="1"/>
    <col min="1044" max="1044" width="12.109375" customWidth="1"/>
    <col min="1045" max="1045" width="52.44140625" bestFit="1" customWidth="1"/>
    <col min="1289" max="1289" width="18.88671875" customWidth="1"/>
    <col min="1290" max="1290" width="35.88671875" customWidth="1"/>
    <col min="1291" max="1291" width="36.44140625" customWidth="1"/>
    <col min="1292" max="1292" width="15.44140625" customWidth="1"/>
    <col min="1293" max="1293" width="17.88671875" customWidth="1"/>
    <col min="1297" max="1297" width="35" customWidth="1"/>
    <col min="1298" max="1298" width="10.109375" bestFit="1" customWidth="1"/>
    <col min="1299" max="1299" width="12.109375" bestFit="1" customWidth="1"/>
    <col min="1300" max="1300" width="12.109375" customWidth="1"/>
    <col min="1301" max="1301" width="52.44140625" bestFit="1" customWidth="1"/>
    <col min="1545" max="1545" width="18.88671875" customWidth="1"/>
    <col min="1546" max="1546" width="35.88671875" customWidth="1"/>
    <col min="1547" max="1547" width="36.44140625" customWidth="1"/>
    <col min="1548" max="1548" width="15.44140625" customWidth="1"/>
    <col min="1549" max="1549" width="17.88671875" customWidth="1"/>
    <col min="1553" max="1553" width="35" customWidth="1"/>
    <col min="1554" max="1554" width="10.109375" bestFit="1" customWidth="1"/>
    <col min="1555" max="1555" width="12.109375" bestFit="1" customWidth="1"/>
    <col min="1556" max="1556" width="12.109375" customWidth="1"/>
    <col min="1557" max="1557" width="52.44140625" bestFit="1" customWidth="1"/>
    <col min="1801" max="1801" width="18.88671875" customWidth="1"/>
    <col min="1802" max="1802" width="35.88671875" customWidth="1"/>
    <col min="1803" max="1803" width="36.44140625" customWidth="1"/>
    <col min="1804" max="1804" width="15.44140625" customWidth="1"/>
    <col min="1805" max="1805" width="17.88671875" customWidth="1"/>
    <col min="1809" max="1809" width="35" customWidth="1"/>
    <col min="1810" max="1810" width="10.109375" bestFit="1" customWidth="1"/>
    <col min="1811" max="1811" width="12.109375" bestFit="1" customWidth="1"/>
    <col min="1812" max="1812" width="12.109375" customWidth="1"/>
    <col min="1813" max="1813" width="52.44140625" bestFit="1" customWidth="1"/>
    <col min="2057" max="2057" width="18.88671875" customWidth="1"/>
    <col min="2058" max="2058" width="35.88671875" customWidth="1"/>
    <col min="2059" max="2059" width="36.44140625" customWidth="1"/>
    <col min="2060" max="2060" width="15.44140625" customWidth="1"/>
    <col min="2061" max="2061" width="17.88671875" customWidth="1"/>
    <col min="2065" max="2065" width="35" customWidth="1"/>
    <col min="2066" max="2066" width="10.109375" bestFit="1" customWidth="1"/>
    <col min="2067" max="2067" width="12.109375" bestFit="1" customWidth="1"/>
    <col min="2068" max="2068" width="12.109375" customWidth="1"/>
    <col min="2069" max="2069" width="52.44140625" bestFit="1" customWidth="1"/>
    <col min="2313" max="2313" width="18.88671875" customWidth="1"/>
    <col min="2314" max="2314" width="35.88671875" customWidth="1"/>
    <col min="2315" max="2315" width="36.44140625" customWidth="1"/>
    <col min="2316" max="2316" width="15.44140625" customWidth="1"/>
    <col min="2317" max="2317" width="17.88671875" customWidth="1"/>
    <col min="2321" max="2321" width="35" customWidth="1"/>
    <col min="2322" max="2322" width="10.109375" bestFit="1" customWidth="1"/>
    <col min="2323" max="2323" width="12.109375" bestFit="1" customWidth="1"/>
    <col min="2324" max="2324" width="12.109375" customWidth="1"/>
    <col min="2325" max="2325" width="52.44140625" bestFit="1" customWidth="1"/>
    <col min="2569" max="2569" width="18.88671875" customWidth="1"/>
    <col min="2570" max="2570" width="35.88671875" customWidth="1"/>
    <col min="2571" max="2571" width="36.44140625" customWidth="1"/>
    <col min="2572" max="2572" width="15.44140625" customWidth="1"/>
    <col min="2573" max="2573" width="17.88671875" customWidth="1"/>
    <col min="2577" max="2577" width="35" customWidth="1"/>
    <col min="2578" max="2578" width="10.109375" bestFit="1" customWidth="1"/>
    <col min="2579" max="2579" width="12.109375" bestFit="1" customWidth="1"/>
    <col min="2580" max="2580" width="12.109375" customWidth="1"/>
    <col min="2581" max="2581" width="52.44140625" bestFit="1" customWidth="1"/>
    <col min="2825" max="2825" width="18.88671875" customWidth="1"/>
    <col min="2826" max="2826" width="35.88671875" customWidth="1"/>
    <col min="2827" max="2827" width="36.44140625" customWidth="1"/>
    <col min="2828" max="2828" width="15.44140625" customWidth="1"/>
    <col min="2829" max="2829" width="17.88671875" customWidth="1"/>
    <col min="2833" max="2833" width="35" customWidth="1"/>
    <col min="2834" max="2834" width="10.109375" bestFit="1" customWidth="1"/>
    <col min="2835" max="2835" width="12.109375" bestFit="1" customWidth="1"/>
    <col min="2836" max="2836" width="12.109375" customWidth="1"/>
    <col min="2837" max="2837" width="52.44140625" bestFit="1" customWidth="1"/>
    <col min="3081" max="3081" width="18.88671875" customWidth="1"/>
    <col min="3082" max="3082" width="35.88671875" customWidth="1"/>
    <col min="3083" max="3083" width="36.44140625" customWidth="1"/>
    <col min="3084" max="3084" width="15.44140625" customWidth="1"/>
    <col min="3085" max="3085" width="17.88671875" customWidth="1"/>
    <col min="3089" max="3089" width="35" customWidth="1"/>
    <col min="3090" max="3090" width="10.109375" bestFit="1" customWidth="1"/>
    <col min="3091" max="3091" width="12.109375" bestFit="1" customWidth="1"/>
    <col min="3092" max="3092" width="12.109375" customWidth="1"/>
    <col min="3093" max="3093" width="52.44140625" bestFit="1" customWidth="1"/>
    <col min="3337" max="3337" width="18.88671875" customWidth="1"/>
    <col min="3338" max="3338" width="35.88671875" customWidth="1"/>
    <col min="3339" max="3339" width="36.44140625" customWidth="1"/>
    <col min="3340" max="3340" width="15.44140625" customWidth="1"/>
    <col min="3341" max="3341" width="17.88671875" customWidth="1"/>
    <col min="3345" max="3345" width="35" customWidth="1"/>
    <col min="3346" max="3346" width="10.109375" bestFit="1" customWidth="1"/>
    <col min="3347" max="3347" width="12.109375" bestFit="1" customWidth="1"/>
    <col min="3348" max="3348" width="12.109375" customWidth="1"/>
    <col min="3349" max="3349" width="52.44140625" bestFit="1" customWidth="1"/>
    <col min="3593" max="3593" width="18.88671875" customWidth="1"/>
    <col min="3594" max="3594" width="35.88671875" customWidth="1"/>
    <col min="3595" max="3595" width="36.44140625" customWidth="1"/>
    <col min="3596" max="3596" width="15.44140625" customWidth="1"/>
    <col min="3597" max="3597" width="17.88671875" customWidth="1"/>
    <col min="3601" max="3601" width="35" customWidth="1"/>
    <col min="3602" max="3602" width="10.109375" bestFit="1" customWidth="1"/>
    <col min="3603" max="3603" width="12.109375" bestFit="1" customWidth="1"/>
    <col min="3604" max="3604" width="12.109375" customWidth="1"/>
    <col min="3605" max="3605" width="52.44140625" bestFit="1" customWidth="1"/>
    <col min="3849" max="3849" width="18.88671875" customWidth="1"/>
    <col min="3850" max="3850" width="35.88671875" customWidth="1"/>
    <col min="3851" max="3851" width="36.44140625" customWidth="1"/>
    <col min="3852" max="3852" width="15.44140625" customWidth="1"/>
    <col min="3853" max="3853" width="17.88671875" customWidth="1"/>
    <col min="3857" max="3857" width="35" customWidth="1"/>
    <col min="3858" max="3858" width="10.109375" bestFit="1" customWidth="1"/>
    <col min="3859" max="3859" width="12.109375" bestFit="1" customWidth="1"/>
    <col min="3860" max="3860" width="12.109375" customWidth="1"/>
    <col min="3861" max="3861" width="52.44140625" bestFit="1" customWidth="1"/>
    <col min="4105" max="4105" width="18.88671875" customWidth="1"/>
    <col min="4106" max="4106" width="35.88671875" customWidth="1"/>
    <col min="4107" max="4107" width="36.44140625" customWidth="1"/>
    <col min="4108" max="4108" width="15.44140625" customWidth="1"/>
    <col min="4109" max="4109" width="17.88671875" customWidth="1"/>
    <col min="4113" max="4113" width="35" customWidth="1"/>
    <col min="4114" max="4114" width="10.109375" bestFit="1" customWidth="1"/>
    <col min="4115" max="4115" width="12.109375" bestFit="1" customWidth="1"/>
    <col min="4116" max="4116" width="12.109375" customWidth="1"/>
    <col min="4117" max="4117" width="52.44140625" bestFit="1" customWidth="1"/>
    <col min="4361" max="4361" width="18.88671875" customWidth="1"/>
    <col min="4362" max="4362" width="35.88671875" customWidth="1"/>
    <col min="4363" max="4363" width="36.44140625" customWidth="1"/>
    <col min="4364" max="4364" width="15.44140625" customWidth="1"/>
    <col min="4365" max="4365" width="17.88671875" customWidth="1"/>
    <col min="4369" max="4369" width="35" customWidth="1"/>
    <col min="4370" max="4370" width="10.109375" bestFit="1" customWidth="1"/>
    <col min="4371" max="4371" width="12.109375" bestFit="1" customWidth="1"/>
    <col min="4372" max="4372" width="12.109375" customWidth="1"/>
    <col min="4373" max="4373" width="52.44140625" bestFit="1" customWidth="1"/>
    <col min="4617" max="4617" width="18.88671875" customWidth="1"/>
    <col min="4618" max="4618" width="35.88671875" customWidth="1"/>
    <col min="4619" max="4619" width="36.44140625" customWidth="1"/>
    <col min="4620" max="4620" width="15.44140625" customWidth="1"/>
    <col min="4621" max="4621" width="17.88671875" customWidth="1"/>
    <col min="4625" max="4625" width="35" customWidth="1"/>
    <col min="4626" max="4626" width="10.109375" bestFit="1" customWidth="1"/>
    <col min="4627" max="4627" width="12.109375" bestFit="1" customWidth="1"/>
    <col min="4628" max="4628" width="12.109375" customWidth="1"/>
    <col min="4629" max="4629" width="52.44140625" bestFit="1" customWidth="1"/>
    <col min="4873" max="4873" width="18.88671875" customWidth="1"/>
    <col min="4874" max="4874" width="35.88671875" customWidth="1"/>
    <col min="4875" max="4875" width="36.44140625" customWidth="1"/>
    <col min="4876" max="4876" width="15.44140625" customWidth="1"/>
    <col min="4877" max="4877" width="17.88671875" customWidth="1"/>
    <col min="4881" max="4881" width="35" customWidth="1"/>
    <col min="4882" max="4882" width="10.109375" bestFit="1" customWidth="1"/>
    <col min="4883" max="4883" width="12.109375" bestFit="1" customWidth="1"/>
    <col min="4884" max="4884" width="12.109375" customWidth="1"/>
    <col min="4885" max="4885" width="52.44140625" bestFit="1" customWidth="1"/>
    <col min="5129" max="5129" width="18.88671875" customWidth="1"/>
    <col min="5130" max="5130" width="35.88671875" customWidth="1"/>
    <col min="5131" max="5131" width="36.44140625" customWidth="1"/>
    <col min="5132" max="5132" width="15.44140625" customWidth="1"/>
    <col min="5133" max="5133" width="17.88671875" customWidth="1"/>
    <col min="5137" max="5137" width="35" customWidth="1"/>
    <col min="5138" max="5138" width="10.109375" bestFit="1" customWidth="1"/>
    <col min="5139" max="5139" width="12.109375" bestFit="1" customWidth="1"/>
    <col min="5140" max="5140" width="12.109375" customWidth="1"/>
    <col min="5141" max="5141" width="52.44140625" bestFit="1" customWidth="1"/>
    <col min="5385" max="5385" width="18.88671875" customWidth="1"/>
    <col min="5386" max="5386" width="35.88671875" customWidth="1"/>
    <col min="5387" max="5387" width="36.44140625" customWidth="1"/>
    <col min="5388" max="5388" width="15.44140625" customWidth="1"/>
    <col min="5389" max="5389" width="17.88671875" customWidth="1"/>
    <col min="5393" max="5393" width="35" customWidth="1"/>
    <col min="5394" max="5394" width="10.109375" bestFit="1" customWidth="1"/>
    <col min="5395" max="5395" width="12.109375" bestFit="1" customWidth="1"/>
    <col min="5396" max="5396" width="12.109375" customWidth="1"/>
    <col min="5397" max="5397" width="52.44140625" bestFit="1" customWidth="1"/>
    <col min="5641" max="5641" width="18.88671875" customWidth="1"/>
    <col min="5642" max="5642" width="35.88671875" customWidth="1"/>
    <col min="5643" max="5643" width="36.44140625" customWidth="1"/>
    <col min="5644" max="5644" width="15.44140625" customWidth="1"/>
    <col min="5645" max="5645" width="17.88671875" customWidth="1"/>
    <col min="5649" max="5649" width="35" customWidth="1"/>
    <col min="5650" max="5650" width="10.109375" bestFit="1" customWidth="1"/>
    <col min="5651" max="5651" width="12.109375" bestFit="1" customWidth="1"/>
    <col min="5652" max="5652" width="12.109375" customWidth="1"/>
    <col min="5653" max="5653" width="52.44140625" bestFit="1" customWidth="1"/>
    <col min="5897" max="5897" width="18.88671875" customWidth="1"/>
    <col min="5898" max="5898" width="35.88671875" customWidth="1"/>
    <col min="5899" max="5899" width="36.44140625" customWidth="1"/>
    <col min="5900" max="5900" width="15.44140625" customWidth="1"/>
    <col min="5901" max="5901" width="17.88671875" customWidth="1"/>
    <col min="5905" max="5905" width="35" customWidth="1"/>
    <col min="5906" max="5906" width="10.109375" bestFit="1" customWidth="1"/>
    <col min="5907" max="5907" width="12.109375" bestFit="1" customWidth="1"/>
    <col min="5908" max="5908" width="12.109375" customWidth="1"/>
    <col min="5909" max="5909" width="52.44140625" bestFit="1" customWidth="1"/>
    <col min="6153" max="6153" width="18.88671875" customWidth="1"/>
    <col min="6154" max="6154" width="35.88671875" customWidth="1"/>
    <col min="6155" max="6155" width="36.44140625" customWidth="1"/>
    <col min="6156" max="6156" width="15.44140625" customWidth="1"/>
    <col min="6157" max="6157" width="17.88671875" customWidth="1"/>
    <col min="6161" max="6161" width="35" customWidth="1"/>
    <col min="6162" max="6162" width="10.109375" bestFit="1" customWidth="1"/>
    <col min="6163" max="6163" width="12.109375" bestFit="1" customWidth="1"/>
    <col min="6164" max="6164" width="12.109375" customWidth="1"/>
    <col min="6165" max="6165" width="52.44140625" bestFit="1" customWidth="1"/>
    <col min="6409" max="6409" width="18.88671875" customWidth="1"/>
    <col min="6410" max="6410" width="35.88671875" customWidth="1"/>
    <col min="6411" max="6411" width="36.44140625" customWidth="1"/>
    <col min="6412" max="6412" width="15.44140625" customWidth="1"/>
    <col min="6413" max="6413" width="17.88671875" customWidth="1"/>
    <col min="6417" max="6417" width="35" customWidth="1"/>
    <col min="6418" max="6418" width="10.109375" bestFit="1" customWidth="1"/>
    <col min="6419" max="6419" width="12.109375" bestFit="1" customWidth="1"/>
    <col min="6420" max="6420" width="12.109375" customWidth="1"/>
    <col min="6421" max="6421" width="52.44140625" bestFit="1" customWidth="1"/>
    <col min="6665" max="6665" width="18.88671875" customWidth="1"/>
    <col min="6666" max="6666" width="35.88671875" customWidth="1"/>
    <col min="6667" max="6667" width="36.44140625" customWidth="1"/>
    <col min="6668" max="6668" width="15.44140625" customWidth="1"/>
    <col min="6669" max="6669" width="17.88671875" customWidth="1"/>
    <col min="6673" max="6673" width="35" customWidth="1"/>
    <col min="6674" max="6674" width="10.109375" bestFit="1" customWidth="1"/>
    <col min="6675" max="6675" width="12.109375" bestFit="1" customWidth="1"/>
    <col min="6676" max="6676" width="12.109375" customWidth="1"/>
    <col min="6677" max="6677" width="52.44140625" bestFit="1" customWidth="1"/>
    <col min="6921" max="6921" width="18.88671875" customWidth="1"/>
    <col min="6922" max="6922" width="35.88671875" customWidth="1"/>
    <col min="6923" max="6923" width="36.44140625" customWidth="1"/>
    <col min="6924" max="6924" width="15.44140625" customWidth="1"/>
    <col min="6925" max="6925" width="17.88671875" customWidth="1"/>
    <col min="6929" max="6929" width="35" customWidth="1"/>
    <col min="6930" max="6930" width="10.109375" bestFit="1" customWidth="1"/>
    <col min="6931" max="6931" width="12.109375" bestFit="1" customWidth="1"/>
    <col min="6932" max="6932" width="12.109375" customWidth="1"/>
    <col min="6933" max="6933" width="52.44140625" bestFit="1" customWidth="1"/>
    <col min="7177" max="7177" width="18.88671875" customWidth="1"/>
    <col min="7178" max="7178" width="35.88671875" customWidth="1"/>
    <col min="7179" max="7179" width="36.44140625" customWidth="1"/>
    <col min="7180" max="7180" width="15.44140625" customWidth="1"/>
    <col min="7181" max="7181" width="17.88671875" customWidth="1"/>
    <col min="7185" max="7185" width="35" customWidth="1"/>
    <col min="7186" max="7186" width="10.109375" bestFit="1" customWidth="1"/>
    <col min="7187" max="7187" width="12.109375" bestFit="1" customWidth="1"/>
    <col min="7188" max="7188" width="12.109375" customWidth="1"/>
    <col min="7189" max="7189" width="52.44140625" bestFit="1" customWidth="1"/>
    <col min="7433" max="7433" width="18.88671875" customWidth="1"/>
    <col min="7434" max="7434" width="35.88671875" customWidth="1"/>
    <col min="7435" max="7435" width="36.44140625" customWidth="1"/>
    <col min="7436" max="7436" width="15.44140625" customWidth="1"/>
    <col min="7437" max="7437" width="17.88671875" customWidth="1"/>
    <col min="7441" max="7441" width="35" customWidth="1"/>
    <col min="7442" max="7442" width="10.109375" bestFit="1" customWidth="1"/>
    <col min="7443" max="7443" width="12.109375" bestFit="1" customWidth="1"/>
    <col min="7444" max="7444" width="12.109375" customWidth="1"/>
    <col min="7445" max="7445" width="52.44140625" bestFit="1" customWidth="1"/>
    <col min="7689" max="7689" width="18.88671875" customWidth="1"/>
    <col min="7690" max="7690" width="35.88671875" customWidth="1"/>
    <col min="7691" max="7691" width="36.44140625" customWidth="1"/>
    <col min="7692" max="7692" width="15.44140625" customWidth="1"/>
    <col min="7693" max="7693" width="17.88671875" customWidth="1"/>
    <col min="7697" max="7697" width="35" customWidth="1"/>
    <col min="7698" max="7698" width="10.109375" bestFit="1" customWidth="1"/>
    <col min="7699" max="7699" width="12.109375" bestFit="1" customWidth="1"/>
    <col min="7700" max="7700" width="12.109375" customWidth="1"/>
    <col min="7701" max="7701" width="52.44140625" bestFit="1" customWidth="1"/>
    <col min="7945" max="7945" width="18.88671875" customWidth="1"/>
    <col min="7946" max="7946" width="35.88671875" customWidth="1"/>
    <col min="7947" max="7947" width="36.44140625" customWidth="1"/>
    <col min="7948" max="7948" width="15.44140625" customWidth="1"/>
    <col min="7949" max="7949" width="17.88671875" customWidth="1"/>
    <col min="7953" max="7953" width="35" customWidth="1"/>
    <col min="7954" max="7954" width="10.109375" bestFit="1" customWidth="1"/>
    <col min="7955" max="7955" width="12.109375" bestFit="1" customWidth="1"/>
    <col min="7956" max="7956" width="12.109375" customWidth="1"/>
    <col min="7957" max="7957" width="52.44140625" bestFit="1" customWidth="1"/>
    <col min="8201" max="8201" width="18.88671875" customWidth="1"/>
    <col min="8202" max="8202" width="35.88671875" customWidth="1"/>
    <col min="8203" max="8203" width="36.44140625" customWidth="1"/>
    <col min="8204" max="8204" width="15.44140625" customWidth="1"/>
    <col min="8205" max="8205" width="17.88671875" customWidth="1"/>
    <col min="8209" max="8209" width="35" customWidth="1"/>
    <col min="8210" max="8210" width="10.109375" bestFit="1" customWidth="1"/>
    <col min="8211" max="8211" width="12.109375" bestFit="1" customWidth="1"/>
    <col min="8212" max="8212" width="12.109375" customWidth="1"/>
    <col min="8213" max="8213" width="52.44140625" bestFit="1" customWidth="1"/>
    <col min="8457" max="8457" width="18.88671875" customWidth="1"/>
    <col min="8458" max="8458" width="35.88671875" customWidth="1"/>
    <col min="8459" max="8459" width="36.44140625" customWidth="1"/>
    <col min="8460" max="8460" width="15.44140625" customWidth="1"/>
    <col min="8461" max="8461" width="17.88671875" customWidth="1"/>
    <col min="8465" max="8465" width="35" customWidth="1"/>
    <col min="8466" max="8466" width="10.109375" bestFit="1" customWidth="1"/>
    <col min="8467" max="8467" width="12.109375" bestFit="1" customWidth="1"/>
    <col min="8468" max="8468" width="12.109375" customWidth="1"/>
    <col min="8469" max="8469" width="52.44140625" bestFit="1" customWidth="1"/>
    <col min="8713" max="8713" width="18.88671875" customWidth="1"/>
    <col min="8714" max="8714" width="35.88671875" customWidth="1"/>
    <col min="8715" max="8715" width="36.44140625" customWidth="1"/>
    <col min="8716" max="8716" width="15.44140625" customWidth="1"/>
    <col min="8717" max="8717" width="17.88671875" customWidth="1"/>
    <col min="8721" max="8721" width="35" customWidth="1"/>
    <col min="8722" max="8722" width="10.109375" bestFit="1" customWidth="1"/>
    <col min="8723" max="8723" width="12.109375" bestFit="1" customWidth="1"/>
    <col min="8724" max="8724" width="12.109375" customWidth="1"/>
    <col min="8725" max="8725" width="52.44140625" bestFit="1" customWidth="1"/>
    <col min="8969" max="8969" width="18.88671875" customWidth="1"/>
    <col min="8970" max="8970" width="35.88671875" customWidth="1"/>
    <col min="8971" max="8971" width="36.44140625" customWidth="1"/>
    <col min="8972" max="8972" width="15.44140625" customWidth="1"/>
    <col min="8973" max="8973" width="17.88671875" customWidth="1"/>
    <col min="8977" max="8977" width="35" customWidth="1"/>
    <col min="8978" max="8978" width="10.109375" bestFit="1" customWidth="1"/>
    <col min="8979" max="8979" width="12.109375" bestFit="1" customWidth="1"/>
    <col min="8980" max="8980" width="12.109375" customWidth="1"/>
    <col min="8981" max="8981" width="52.44140625" bestFit="1" customWidth="1"/>
    <col min="9225" max="9225" width="18.88671875" customWidth="1"/>
    <col min="9226" max="9226" width="35.88671875" customWidth="1"/>
    <col min="9227" max="9227" width="36.44140625" customWidth="1"/>
    <col min="9228" max="9228" width="15.44140625" customWidth="1"/>
    <col min="9229" max="9229" width="17.88671875" customWidth="1"/>
    <col min="9233" max="9233" width="35" customWidth="1"/>
    <col min="9234" max="9234" width="10.109375" bestFit="1" customWidth="1"/>
    <col min="9235" max="9235" width="12.109375" bestFit="1" customWidth="1"/>
    <col min="9236" max="9236" width="12.109375" customWidth="1"/>
    <col min="9237" max="9237" width="52.44140625" bestFit="1" customWidth="1"/>
    <col min="9481" max="9481" width="18.88671875" customWidth="1"/>
    <col min="9482" max="9482" width="35.88671875" customWidth="1"/>
    <col min="9483" max="9483" width="36.44140625" customWidth="1"/>
    <col min="9484" max="9484" width="15.44140625" customWidth="1"/>
    <col min="9485" max="9485" width="17.88671875" customWidth="1"/>
    <col min="9489" max="9489" width="35" customWidth="1"/>
    <col min="9490" max="9490" width="10.109375" bestFit="1" customWidth="1"/>
    <col min="9491" max="9491" width="12.109375" bestFit="1" customWidth="1"/>
    <col min="9492" max="9492" width="12.109375" customWidth="1"/>
    <col min="9493" max="9493" width="52.44140625" bestFit="1" customWidth="1"/>
    <col min="9737" max="9737" width="18.88671875" customWidth="1"/>
    <col min="9738" max="9738" width="35.88671875" customWidth="1"/>
    <col min="9739" max="9739" width="36.44140625" customWidth="1"/>
    <col min="9740" max="9740" width="15.44140625" customWidth="1"/>
    <col min="9741" max="9741" width="17.88671875" customWidth="1"/>
    <col min="9745" max="9745" width="35" customWidth="1"/>
    <col min="9746" max="9746" width="10.109375" bestFit="1" customWidth="1"/>
    <col min="9747" max="9747" width="12.109375" bestFit="1" customWidth="1"/>
    <col min="9748" max="9748" width="12.109375" customWidth="1"/>
    <col min="9749" max="9749" width="52.44140625" bestFit="1" customWidth="1"/>
    <col min="9993" max="9993" width="18.88671875" customWidth="1"/>
    <col min="9994" max="9994" width="35.88671875" customWidth="1"/>
    <col min="9995" max="9995" width="36.44140625" customWidth="1"/>
    <col min="9996" max="9996" width="15.44140625" customWidth="1"/>
    <col min="9997" max="9997" width="17.88671875" customWidth="1"/>
    <col min="10001" max="10001" width="35" customWidth="1"/>
    <col min="10002" max="10002" width="10.109375" bestFit="1" customWidth="1"/>
    <col min="10003" max="10003" width="12.109375" bestFit="1" customWidth="1"/>
    <col min="10004" max="10004" width="12.109375" customWidth="1"/>
    <col min="10005" max="10005" width="52.44140625" bestFit="1" customWidth="1"/>
    <col min="10249" max="10249" width="18.88671875" customWidth="1"/>
    <col min="10250" max="10250" width="35.88671875" customWidth="1"/>
    <col min="10251" max="10251" width="36.44140625" customWidth="1"/>
    <col min="10252" max="10252" width="15.44140625" customWidth="1"/>
    <col min="10253" max="10253" width="17.88671875" customWidth="1"/>
    <col min="10257" max="10257" width="35" customWidth="1"/>
    <col min="10258" max="10258" width="10.109375" bestFit="1" customWidth="1"/>
    <col min="10259" max="10259" width="12.109375" bestFit="1" customWidth="1"/>
    <col min="10260" max="10260" width="12.109375" customWidth="1"/>
    <col min="10261" max="10261" width="52.44140625" bestFit="1" customWidth="1"/>
    <col min="10505" max="10505" width="18.88671875" customWidth="1"/>
    <col min="10506" max="10506" width="35.88671875" customWidth="1"/>
    <col min="10507" max="10507" width="36.44140625" customWidth="1"/>
    <col min="10508" max="10508" width="15.44140625" customWidth="1"/>
    <col min="10509" max="10509" width="17.88671875" customWidth="1"/>
    <col min="10513" max="10513" width="35" customWidth="1"/>
    <col min="10514" max="10514" width="10.109375" bestFit="1" customWidth="1"/>
    <col min="10515" max="10515" width="12.109375" bestFit="1" customWidth="1"/>
    <col min="10516" max="10516" width="12.109375" customWidth="1"/>
    <col min="10517" max="10517" width="52.44140625" bestFit="1" customWidth="1"/>
    <col min="10761" max="10761" width="18.88671875" customWidth="1"/>
    <col min="10762" max="10762" width="35.88671875" customWidth="1"/>
    <col min="10763" max="10763" width="36.44140625" customWidth="1"/>
    <col min="10764" max="10764" width="15.44140625" customWidth="1"/>
    <col min="10765" max="10765" width="17.88671875" customWidth="1"/>
    <col min="10769" max="10769" width="35" customWidth="1"/>
    <col min="10770" max="10770" width="10.109375" bestFit="1" customWidth="1"/>
    <col min="10771" max="10771" width="12.109375" bestFit="1" customWidth="1"/>
    <col min="10772" max="10772" width="12.109375" customWidth="1"/>
    <col min="10773" max="10773" width="52.44140625" bestFit="1" customWidth="1"/>
    <col min="11017" max="11017" width="18.88671875" customWidth="1"/>
    <col min="11018" max="11018" width="35.88671875" customWidth="1"/>
    <col min="11019" max="11019" width="36.44140625" customWidth="1"/>
    <col min="11020" max="11020" width="15.44140625" customWidth="1"/>
    <col min="11021" max="11021" width="17.88671875" customWidth="1"/>
    <col min="11025" max="11025" width="35" customWidth="1"/>
    <col min="11026" max="11026" width="10.109375" bestFit="1" customWidth="1"/>
    <col min="11027" max="11027" width="12.109375" bestFit="1" customWidth="1"/>
    <col min="11028" max="11028" width="12.109375" customWidth="1"/>
    <col min="11029" max="11029" width="52.44140625" bestFit="1" customWidth="1"/>
    <col min="11273" max="11273" width="18.88671875" customWidth="1"/>
    <col min="11274" max="11274" width="35.88671875" customWidth="1"/>
    <col min="11275" max="11275" width="36.44140625" customWidth="1"/>
    <col min="11276" max="11276" width="15.44140625" customWidth="1"/>
    <col min="11277" max="11277" width="17.88671875" customWidth="1"/>
    <col min="11281" max="11281" width="35" customWidth="1"/>
    <col min="11282" max="11282" width="10.109375" bestFit="1" customWidth="1"/>
    <col min="11283" max="11283" width="12.109375" bestFit="1" customWidth="1"/>
    <col min="11284" max="11284" width="12.109375" customWidth="1"/>
    <col min="11285" max="11285" width="52.44140625" bestFit="1" customWidth="1"/>
    <col min="11529" max="11529" width="18.88671875" customWidth="1"/>
    <col min="11530" max="11530" width="35.88671875" customWidth="1"/>
    <col min="11531" max="11531" width="36.44140625" customWidth="1"/>
    <col min="11532" max="11532" width="15.44140625" customWidth="1"/>
    <col min="11533" max="11533" width="17.88671875" customWidth="1"/>
    <col min="11537" max="11537" width="35" customWidth="1"/>
    <col min="11538" max="11538" width="10.109375" bestFit="1" customWidth="1"/>
    <col min="11539" max="11539" width="12.109375" bestFit="1" customWidth="1"/>
    <col min="11540" max="11540" width="12.109375" customWidth="1"/>
    <col min="11541" max="11541" width="52.44140625" bestFit="1" customWidth="1"/>
    <col min="11785" max="11785" width="18.88671875" customWidth="1"/>
    <col min="11786" max="11786" width="35.88671875" customWidth="1"/>
    <col min="11787" max="11787" width="36.44140625" customWidth="1"/>
    <col min="11788" max="11788" width="15.44140625" customWidth="1"/>
    <col min="11789" max="11789" width="17.88671875" customWidth="1"/>
    <col min="11793" max="11793" width="35" customWidth="1"/>
    <col min="11794" max="11794" width="10.109375" bestFit="1" customWidth="1"/>
    <col min="11795" max="11795" width="12.109375" bestFit="1" customWidth="1"/>
    <col min="11796" max="11796" width="12.109375" customWidth="1"/>
    <col min="11797" max="11797" width="52.44140625" bestFit="1" customWidth="1"/>
    <col min="12041" max="12041" width="18.88671875" customWidth="1"/>
    <col min="12042" max="12042" width="35.88671875" customWidth="1"/>
    <col min="12043" max="12043" width="36.44140625" customWidth="1"/>
    <col min="12044" max="12044" width="15.44140625" customWidth="1"/>
    <col min="12045" max="12045" width="17.88671875" customWidth="1"/>
    <col min="12049" max="12049" width="35" customWidth="1"/>
    <col min="12050" max="12050" width="10.109375" bestFit="1" customWidth="1"/>
    <col min="12051" max="12051" width="12.109375" bestFit="1" customWidth="1"/>
    <col min="12052" max="12052" width="12.109375" customWidth="1"/>
    <col min="12053" max="12053" width="52.44140625" bestFit="1" customWidth="1"/>
    <col min="12297" max="12297" width="18.88671875" customWidth="1"/>
    <col min="12298" max="12298" width="35.88671875" customWidth="1"/>
    <col min="12299" max="12299" width="36.44140625" customWidth="1"/>
    <col min="12300" max="12300" width="15.44140625" customWidth="1"/>
    <col min="12301" max="12301" width="17.88671875" customWidth="1"/>
    <col min="12305" max="12305" width="35" customWidth="1"/>
    <col min="12306" max="12306" width="10.109375" bestFit="1" customWidth="1"/>
    <col min="12307" max="12307" width="12.109375" bestFit="1" customWidth="1"/>
    <col min="12308" max="12308" width="12.109375" customWidth="1"/>
    <col min="12309" max="12309" width="52.44140625" bestFit="1" customWidth="1"/>
    <col min="12553" max="12553" width="18.88671875" customWidth="1"/>
    <col min="12554" max="12554" width="35.88671875" customWidth="1"/>
    <col min="12555" max="12555" width="36.44140625" customWidth="1"/>
    <col min="12556" max="12556" width="15.44140625" customWidth="1"/>
    <col min="12557" max="12557" width="17.88671875" customWidth="1"/>
    <col min="12561" max="12561" width="35" customWidth="1"/>
    <col min="12562" max="12562" width="10.109375" bestFit="1" customWidth="1"/>
    <col min="12563" max="12563" width="12.109375" bestFit="1" customWidth="1"/>
    <col min="12564" max="12564" width="12.109375" customWidth="1"/>
    <col min="12565" max="12565" width="52.44140625" bestFit="1" customWidth="1"/>
    <col min="12809" max="12809" width="18.88671875" customWidth="1"/>
    <col min="12810" max="12810" width="35.88671875" customWidth="1"/>
    <col min="12811" max="12811" width="36.44140625" customWidth="1"/>
    <col min="12812" max="12812" width="15.44140625" customWidth="1"/>
    <col min="12813" max="12813" width="17.88671875" customWidth="1"/>
    <col min="12817" max="12817" width="35" customWidth="1"/>
    <col min="12818" max="12818" width="10.109375" bestFit="1" customWidth="1"/>
    <col min="12819" max="12819" width="12.109375" bestFit="1" customWidth="1"/>
    <col min="12820" max="12820" width="12.109375" customWidth="1"/>
    <col min="12821" max="12821" width="52.44140625" bestFit="1" customWidth="1"/>
    <col min="13065" max="13065" width="18.88671875" customWidth="1"/>
    <col min="13066" max="13066" width="35.88671875" customWidth="1"/>
    <col min="13067" max="13067" width="36.44140625" customWidth="1"/>
    <col min="13068" max="13068" width="15.44140625" customWidth="1"/>
    <col min="13069" max="13069" width="17.88671875" customWidth="1"/>
    <col min="13073" max="13073" width="35" customWidth="1"/>
    <col min="13074" max="13074" width="10.109375" bestFit="1" customWidth="1"/>
    <col min="13075" max="13075" width="12.109375" bestFit="1" customWidth="1"/>
    <col min="13076" max="13076" width="12.109375" customWidth="1"/>
    <col min="13077" max="13077" width="52.44140625" bestFit="1" customWidth="1"/>
    <col min="13321" max="13321" width="18.88671875" customWidth="1"/>
    <col min="13322" max="13322" width="35.88671875" customWidth="1"/>
    <col min="13323" max="13323" width="36.44140625" customWidth="1"/>
    <col min="13324" max="13324" width="15.44140625" customWidth="1"/>
    <col min="13325" max="13325" width="17.88671875" customWidth="1"/>
    <col min="13329" max="13329" width="35" customWidth="1"/>
    <col min="13330" max="13330" width="10.109375" bestFit="1" customWidth="1"/>
    <col min="13331" max="13331" width="12.109375" bestFit="1" customWidth="1"/>
    <col min="13332" max="13332" width="12.109375" customWidth="1"/>
    <col min="13333" max="13333" width="52.44140625" bestFit="1" customWidth="1"/>
    <col min="13577" max="13577" width="18.88671875" customWidth="1"/>
    <col min="13578" max="13578" width="35.88671875" customWidth="1"/>
    <col min="13579" max="13579" width="36.44140625" customWidth="1"/>
    <col min="13580" max="13580" width="15.44140625" customWidth="1"/>
    <col min="13581" max="13581" width="17.88671875" customWidth="1"/>
    <col min="13585" max="13585" width="35" customWidth="1"/>
    <col min="13586" max="13586" width="10.109375" bestFit="1" customWidth="1"/>
    <col min="13587" max="13587" width="12.109375" bestFit="1" customWidth="1"/>
    <col min="13588" max="13588" width="12.109375" customWidth="1"/>
    <col min="13589" max="13589" width="52.44140625" bestFit="1" customWidth="1"/>
    <col min="13833" max="13833" width="18.88671875" customWidth="1"/>
    <col min="13834" max="13834" width="35.88671875" customWidth="1"/>
    <col min="13835" max="13835" width="36.44140625" customWidth="1"/>
    <col min="13836" max="13836" width="15.44140625" customWidth="1"/>
    <col min="13837" max="13837" width="17.88671875" customWidth="1"/>
    <col min="13841" max="13841" width="35" customWidth="1"/>
    <col min="13842" max="13842" width="10.109375" bestFit="1" customWidth="1"/>
    <col min="13843" max="13843" width="12.109375" bestFit="1" customWidth="1"/>
    <col min="13844" max="13844" width="12.109375" customWidth="1"/>
    <col min="13845" max="13845" width="52.44140625" bestFit="1" customWidth="1"/>
    <col min="14089" max="14089" width="18.88671875" customWidth="1"/>
    <col min="14090" max="14090" width="35.88671875" customWidth="1"/>
    <col min="14091" max="14091" width="36.44140625" customWidth="1"/>
    <col min="14092" max="14092" width="15.44140625" customWidth="1"/>
    <col min="14093" max="14093" width="17.88671875" customWidth="1"/>
    <col min="14097" max="14097" width="35" customWidth="1"/>
    <col min="14098" max="14098" width="10.109375" bestFit="1" customWidth="1"/>
    <col min="14099" max="14099" width="12.109375" bestFit="1" customWidth="1"/>
    <col min="14100" max="14100" width="12.109375" customWidth="1"/>
    <col min="14101" max="14101" width="52.44140625" bestFit="1" customWidth="1"/>
    <col min="14345" max="14345" width="18.88671875" customWidth="1"/>
    <col min="14346" max="14346" width="35.88671875" customWidth="1"/>
    <col min="14347" max="14347" width="36.44140625" customWidth="1"/>
    <col min="14348" max="14348" width="15.44140625" customWidth="1"/>
    <col min="14349" max="14349" width="17.88671875" customWidth="1"/>
    <col min="14353" max="14353" width="35" customWidth="1"/>
    <col min="14354" max="14354" width="10.109375" bestFit="1" customWidth="1"/>
    <col min="14355" max="14355" width="12.109375" bestFit="1" customWidth="1"/>
    <col min="14356" max="14356" width="12.109375" customWidth="1"/>
    <col min="14357" max="14357" width="52.44140625" bestFit="1" customWidth="1"/>
    <col min="14601" max="14601" width="18.88671875" customWidth="1"/>
    <col min="14602" max="14602" width="35.88671875" customWidth="1"/>
    <col min="14603" max="14603" width="36.44140625" customWidth="1"/>
    <col min="14604" max="14604" width="15.44140625" customWidth="1"/>
    <col min="14605" max="14605" width="17.88671875" customWidth="1"/>
    <col min="14609" max="14609" width="35" customWidth="1"/>
    <col min="14610" max="14610" width="10.109375" bestFit="1" customWidth="1"/>
    <col min="14611" max="14611" width="12.109375" bestFit="1" customWidth="1"/>
    <col min="14612" max="14612" width="12.109375" customWidth="1"/>
    <col min="14613" max="14613" width="52.44140625" bestFit="1" customWidth="1"/>
    <col min="14857" max="14857" width="18.88671875" customWidth="1"/>
    <col min="14858" max="14858" width="35.88671875" customWidth="1"/>
    <col min="14859" max="14859" width="36.44140625" customWidth="1"/>
    <col min="14860" max="14860" width="15.44140625" customWidth="1"/>
    <col min="14861" max="14861" width="17.88671875" customWidth="1"/>
    <col min="14865" max="14865" width="35" customWidth="1"/>
    <col min="14866" max="14866" width="10.109375" bestFit="1" customWidth="1"/>
    <col min="14867" max="14867" width="12.109375" bestFit="1" customWidth="1"/>
    <col min="14868" max="14868" width="12.109375" customWidth="1"/>
    <col min="14869" max="14869" width="52.44140625" bestFit="1" customWidth="1"/>
    <col min="15113" max="15113" width="18.88671875" customWidth="1"/>
    <col min="15114" max="15114" width="35.88671875" customWidth="1"/>
    <col min="15115" max="15115" width="36.44140625" customWidth="1"/>
    <col min="15116" max="15116" width="15.44140625" customWidth="1"/>
    <col min="15117" max="15117" width="17.88671875" customWidth="1"/>
    <col min="15121" max="15121" width="35" customWidth="1"/>
    <col min="15122" max="15122" width="10.109375" bestFit="1" customWidth="1"/>
    <col min="15123" max="15123" width="12.109375" bestFit="1" customWidth="1"/>
    <col min="15124" max="15124" width="12.109375" customWidth="1"/>
    <col min="15125" max="15125" width="52.44140625" bestFit="1" customWidth="1"/>
    <col min="15369" max="15369" width="18.88671875" customWidth="1"/>
    <col min="15370" max="15370" width="35.88671875" customWidth="1"/>
    <col min="15371" max="15371" width="36.44140625" customWidth="1"/>
    <col min="15372" max="15372" width="15.44140625" customWidth="1"/>
    <col min="15373" max="15373" width="17.88671875" customWidth="1"/>
    <col min="15377" max="15377" width="35" customWidth="1"/>
    <col min="15378" max="15378" width="10.109375" bestFit="1" customWidth="1"/>
    <col min="15379" max="15379" width="12.109375" bestFit="1" customWidth="1"/>
    <col min="15380" max="15380" width="12.109375" customWidth="1"/>
    <col min="15381" max="15381" width="52.44140625" bestFit="1" customWidth="1"/>
    <col min="15625" max="15625" width="18.88671875" customWidth="1"/>
    <col min="15626" max="15626" width="35.88671875" customWidth="1"/>
    <col min="15627" max="15627" width="36.44140625" customWidth="1"/>
    <col min="15628" max="15628" width="15.44140625" customWidth="1"/>
    <col min="15629" max="15629" width="17.88671875" customWidth="1"/>
    <col min="15633" max="15633" width="35" customWidth="1"/>
    <col min="15634" max="15634" width="10.109375" bestFit="1" customWidth="1"/>
    <col min="15635" max="15635" width="12.109375" bestFit="1" customWidth="1"/>
    <col min="15636" max="15636" width="12.109375" customWidth="1"/>
    <col min="15637" max="15637" width="52.44140625" bestFit="1" customWidth="1"/>
    <col min="15881" max="15881" width="18.88671875" customWidth="1"/>
    <col min="15882" max="15882" width="35.88671875" customWidth="1"/>
    <col min="15883" max="15883" width="36.44140625" customWidth="1"/>
    <col min="15884" max="15884" width="15.44140625" customWidth="1"/>
    <col min="15885" max="15885" width="17.88671875" customWidth="1"/>
    <col min="15889" max="15889" width="35" customWidth="1"/>
    <col min="15890" max="15890" width="10.109375" bestFit="1" customWidth="1"/>
    <col min="15891" max="15891" width="12.109375" bestFit="1" customWidth="1"/>
    <col min="15892" max="15892" width="12.109375" customWidth="1"/>
    <col min="15893" max="15893" width="52.44140625" bestFit="1" customWidth="1"/>
    <col min="16137" max="16137" width="18.88671875" customWidth="1"/>
    <col min="16138" max="16138" width="35.88671875" customWidth="1"/>
    <col min="16139" max="16139" width="36.44140625" customWidth="1"/>
    <col min="16140" max="16140" width="15.44140625" customWidth="1"/>
    <col min="16141" max="16141" width="17.88671875" customWidth="1"/>
    <col min="16145" max="16145" width="35" customWidth="1"/>
    <col min="16146" max="16146" width="10.109375" bestFit="1" customWidth="1"/>
    <col min="16147" max="16147" width="12.109375" bestFit="1" customWidth="1"/>
    <col min="16148" max="16148" width="12.109375" customWidth="1"/>
    <col min="16149" max="16149" width="52.44140625" bestFit="1" customWidth="1"/>
  </cols>
  <sheetData>
    <row r="1" spans="1:21" ht="18.600000000000001" thickBot="1">
      <c r="M1" s="224" t="s">
        <v>973</v>
      </c>
      <c r="P1" s="117" t="s">
        <v>337</v>
      </c>
      <c r="Q1" s="4" t="s">
        <v>338</v>
      </c>
      <c r="R1" s="4" t="s">
        <v>712</v>
      </c>
    </row>
    <row r="2" spans="1:21" ht="16.2" thickBot="1">
      <c r="A2" s="11" t="s">
        <v>335</v>
      </c>
      <c r="H2" s="13">
        <v>0.08</v>
      </c>
      <c r="I2" s="9">
        <v>0.69</v>
      </c>
      <c r="J2" s="9"/>
      <c r="M2" s="14"/>
      <c r="N2" s="4" t="s">
        <v>1004</v>
      </c>
      <c r="O2" s="4" t="s">
        <v>1000</v>
      </c>
      <c r="P2" s="228">
        <f>P111*(1+R2)</f>
        <v>15381.25</v>
      </c>
      <c r="Q2" s="229">
        <f>((S111*(1+R2)))</f>
        <v>22256</v>
      </c>
      <c r="R2" s="230">
        <v>7.0000000000000007E-2</v>
      </c>
    </row>
    <row r="3" spans="1:21">
      <c r="A3" t="s">
        <v>17</v>
      </c>
      <c r="B3" s="15">
        <v>43922</v>
      </c>
      <c r="M3" s="197" t="s">
        <v>357</v>
      </c>
      <c r="N3" s="195">
        <f>SUM(N4:N10)</f>
        <v>1046.0999999999999</v>
      </c>
      <c r="O3" s="195">
        <f>SUM(O4:O10)</f>
        <v>216.6</v>
      </c>
      <c r="P3" s="648" t="s">
        <v>711</v>
      </c>
      <c r="Q3" s="648"/>
    </row>
    <row r="4" spans="1:21">
      <c r="B4" s="15"/>
      <c r="M4" s="27" t="s">
        <v>10</v>
      </c>
      <c r="N4" s="196">
        <v>120</v>
      </c>
      <c r="O4" s="196">
        <v>0</v>
      </c>
      <c r="P4" s="4"/>
      <c r="S4" t="s">
        <v>1030</v>
      </c>
      <c r="T4" s="465">
        <v>250</v>
      </c>
    </row>
    <row r="5" spans="1:21">
      <c r="B5" s="15"/>
      <c r="M5" s="27" t="s">
        <v>9</v>
      </c>
      <c r="N5" s="196">
        <v>100</v>
      </c>
      <c r="O5" s="196">
        <v>0</v>
      </c>
      <c r="P5" s="8"/>
    </row>
    <row r="6" spans="1:21">
      <c r="B6" s="15"/>
      <c r="M6" s="27" t="s">
        <v>358</v>
      </c>
      <c r="N6" s="196">
        <f>10*1.06</f>
        <v>10.600000000000001</v>
      </c>
      <c r="O6" s="196">
        <f>10*1.06</f>
        <v>10.600000000000001</v>
      </c>
    </row>
    <row r="7" spans="1:21">
      <c r="B7" s="15"/>
      <c r="M7" s="27" t="s">
        <v>807</v>
      </c>
      <c r="N7" s="196">
        <f>25*1.06</f>
        <v>26.5</v>
      </c>
      <c r="O7" s="196">
        <v>0</v>
      </c>
      <c r="P7" t="s">
        <v>782</v>
      </c>
      <c r="Q7" s="2">
        <v>65</v>
      </c>
    </row>
    <row r="8" spans="1:21">
      <c r="B8" s="15"/>
      <c r="M8" s="27" t="s">
        <v>359</v>
      </c>
      <c r="N8" s="196">
        <f>550*1.06</f>
        <v>583</v>
      </c>
      <c r="O8" s="196">
        <v>0</v>
      </c>
    </row>
    <row r="9" spans="1:21">
      <c r="A9" s="16" t="s">
        <v>5</v>
      </c>
      <c r="B9" s="17"/>
      <c r="C9" s="18"/>
      <c r="D9" s="19"/>
      <c r="E9" s="19"/>
      <c r="F9" s="20"/>
      <c r="G9" s="20"/>
      <c r="H9" s="19"/>
      <c r="I9" s="21"/>
      <c r="M9" s="27" t="s">
        <v>360</v>
      </c>
      <c r="N9" s="196">
        <v>100</v>
      </c>
      <c r="O9" s="196">
        <v>100</v>
      </c>
    </row>
    <row r="10" spans="1:21">
      <c r="B10" s="17"/>
      <c r="C10" s="17"/>
      <c r="D10" s="22">
        <v>2015</v>
      </c>
      <c r="E10" s="22">
        <v>2017</v>
      </c>
      <c r="F10" s="23">
        <v>2018</v>
      </c>
      <c r="G10" s="23">
        <v>2019</v>
      </c>
      <c r="H10" s="19"/>
      <c r="I10" s="21"/>
      <c r="M10" s="27" t="s">
        <v>5</v>
      </c>
      <c r="N10" s="196">
        <f>100*1.06</f>
        <v>106</v>
      </c>
      <c r="O10" s="196">
        <f>100*1.06</f>
        <v>106</v>
      </c>
    </row>
    <row r="11" spans="1:21">
      <c r="B11" s="17" t="s">
        <v>10</v>
      </c>
      <c r="C11" s="17" t="s">
        <v>18</v>
      </c>
      <c r="D11" s="19">
        <v>69.92</v>
      </c>
      <c r="E11" s="19">
        <f>D11*1.05</f>
        <v>73.416000000000011</v>
      </c>
      <c r="F11" s="20">
        <f>E11*1.05</f>
        <v>77.086800000000011</v>
      </c>
      <c r="G11" s="20">
        <f>+F11*1.03</f>
        <v>79.399404000000018</v>
      </c>
      <c r="H11" s="19">
        <f>G11*(1+$H$2)</f>
        <v>85.751356320000028</v>
      </c>
      <c r="I11" s="24">
        <f>H11/$I$2</f>
        <v>124.27732800000005</v>
      </c>
      <c r="M11" s="245" t="s">
        <v>16</v>
      </c>
      <c r="N11" s="144">
        <f>N3/S13</f>
        <v>1494.4285714285713</v>
      </c>
      <c r="O11" s="144">
        <f>O3/S13</f>
        <v>309.42857142857144</v>
      </c>
    </row>
    <row r="12" spans="1:21" ht="15" thickBot="1">
      <c r="B12" s="17"/>
      <c r="C12" s="17"/>
      <c r="D12" s="19"/>
      <c r="E12" s="19"/>
      <c r="F12" s="20"/>
      <c r="G12" s="20"/>
      <c r="H12" s="19"/>
      <c r="I12" s="24"/>
      <c r="M12" s="14"/>
      <c r="N12" s="1"/>
    </row>
    <row r="13" spans="1:21" ht="15" thickBot="1">
      <c r="B13" s="17"/>
      <c r="C13" s="17"/>
      <c r="D13" s="19"/>
      <c r="E13" s="19"/>
      <c r="F13" s="20"/>
      <c r="G13" s="20"/>
      <c r="H13" s="19"/>
      <c r="I13" s="24"/>
      <c r="M13" s="198" t="s">
        <v>687</v>
      </c>
      <c r="O13" s="4" t="s">
        <v>690</v>
      </c>
      <c r="P13" s="4" t="s">
        <v>341</v>
      </c>
      <c r="Q13" t="s">
        <v>1000</v>
      </c>
      <c r="R13" s="461" t="s">
        <v>1026</v>
      </c>
      <c r="S13" s="350">
        <v>0.7</v>
      </c>
      <c r="T13" s="318"/>
    </row>
    <row r="14" spans="1:21">
      <c r="B14" s="17"/>
      <c r="C14" s="17"/>
      <c r="D14" s="19"/>
      <c r="E14" s="19"/>
      <c r="F14" s="20"/>
      <c r="G14" s="20"/>
      <c r="H14" s="19"/>
      <c r="I14" s="24"/>
      <c r="M14" s="199" t="s">
        <v>50</v>
      </c>
      <c r="N14" s="136">
        <v>0</v>
      </c>
      <c r="O14" s="29">
        <v>0</v>
      </c>
      <c r="P14" s="29"/>
      <c r="Q14" s="29">
        <f t="shared" ref="Q14" si="0">SUM(N14:P14)</f>
        <v>0</v>
      </c>
      <c r="R14" s="2">
        <v>0</v>
      </c>
      <c r="S14" s="150">
        <f>SUM(N14:Q14)</f>
        <v>0</v>
      </c>
      <c r="T14" s="150"/>
      <c r="U14" s="27" t="s">
        <v>51</v>
      </c>
    </row>
    <row r="15" spans="1:21">
      <c r="B15" s="17"/>
      <c r="C15" s="17"/>
      <c r="D15" s="19"/>
      <c r="E15" s="19"/>
      <c r="F15" s="20"/>
      <c r="G15" s="20"/>
      <c r="H15" s="19"/>
      <c r="I15" s="24"/>
      <c r="M15" s="199" t="s">
        <v>982</v>
      </c>
      <c r="N15" s="196">
        <v>1153.5999999999999</v>
      </c>
      <c r="O15" s="30">
        <v>290</v>
      </c>
      <c r="P15" s="451">
        <v>90</v>
      </c>
      <c r="Q15" s="29">
        <f>SUM(N15:P15)*1.1</f>
        <v>1686.96</v>
      </c>
      <c r="R15" s="29">
        <f>((N15+P15)/$S$13)*1.2</f>
        <v>2131.8857142857141</v>
      </c>
      <c r="S15" s="30">
        <f>CEILING(Q15/$S$13,10)-100</f>
        <v>2310</v>
      </c>
      <c r="T15" s="150">
        <f>S15-S16</f>
        <v>-230</v>
      </c>
      <c r="U15" s="27"/>
    </row>
    <row r="16" spans="1:21">
      <c r="B16" s="17"/>
      <c r="C16" s="17"/>
      <c r="D16" s="19"/>
      <c r="E16" s="19"/>
      <c r="F16" s="20"/>
      <c r="G16" s="20"/>
      <c r="H16" s="19"/>
      <c r="I16" s="24"/>
      <c r="M16" s="27" t="s">
        <v>972</v>
      </c>
      <c r="N16" s="67">
        <v>1236</v>
      </c>
      <c r="O16" s="30">
        <v>290</v>
      </c>
      <c r="P16" s="30">
        <f>P15</f>
        <v>90</v>
      </c>
      <c r="Q16" s="29">
        <f t="shared" ref="Q16:Q19" si="1">SUM(N16:P16)*1.1</f>
        <v>1777.6000000000001</v>
      </c>
      <c r="R16" s="29">
        <f t="shared" ref="R16:R19" si="2">((N16+P16)/$S$13)*1.2</f>
        <v>2273.1428571428573</v>
      </c>
      <c r="S16" s="30">
        <f>CEILING(Q16/$S$13,10)</f>
        <v>2540</v>
      </c>
      <c r="T16" s="452" t="s">
        <v>688</v>
      </c>
      <c r="U16" s="27"/>
    </row>
    <row r="17" spans="1:21">
      <c r="B17" s="17"/>
      <c r="C17" s="17"/>
      <c r="D17" s="19"/>
      <c r="E17" s="19"/>
      <c r="F17" s="20"/>
      <c r="G17" s="20"/>
      <c r="H17" s="19"/>
      <c r="I17" s="24"/>
      <c r="M17" s="27" t="s">
        <v>969</v>
      </c>
      <c r="N17" s="196">
        <v>1596.5</v>
      </c>
      <c r="O17" s="30">
        <v>290</v>
      </c>
      <c r="P17" s="1">
        <f>P16</f>
        <v>90</v>
      </c>
      <c r="Q17" s="29">
        <f t="shared" si="1"/>
        <v>2174.15</v>
      </c>
      <c r="R17" s="29">
        <f t="shared" si="2"/>
        <v>2891.1428571428569</v>
      </c>
      <c r="S17" s="30">
        <f>CEILING(Q17/$S$13,10)</f>
        <v>3110</v>
      </c>
      <c r="T17" s="30">
        <f>S17-S16</f>
        <v>570</v>
      </c>
      <c r="U17" s="37"/>
    </row>
    <row r="18" spans="1:21">
      <c r="B18" s="17" t="s">
        <v>19</v>
      </c>
      <c r="C18" s="17"/>
      <c r="D18" s="19">
        <v>90</v>
      </c>
      <c r="E18" s="19">
        <f t="shared" ref="E18:E32" si="3">D18*1.05</f>
        <v>94.5</v>
      </c>
      <c r="F18" s="20">
        <v>125</v>
      </c>
      <c r="G18" s="20">
        <f t="shared" ref="G18:G77" si="4">+F18*1.03</f>
        <v>128.75</v>
      </c>
      <c r="H18" s="19">
        <f t="shared" ref="H18:H77" si="5">G18*(1+$H$2)</f>
        <v>139.05000000000001</v>
      </c>
      <c r="I18" s="24">
        <f>H18/$I$2</f>
        <v>201.52173913043481</v>
      </c>
      <c r="M18" s="199" t="s">
        <v>970</v>
      </c>
      <c r="N18" s="196">
        <v>824</v>
      </c>
      <c r="O18" s="30">
        <f>O17</f>
        <v>290</v>
      </c>
      <c r="P18" s="30">
        <f>P16</f>
        <v>90</v>
      </c>
      <c r="Q18" s="29">
        <f t="shared" si="1"/>
        <v>1324.4</v>
      </c>
      <c r="R18" s="29">
        <f t="shared" si="2"/>
        <v>1566.8571428571429</v>
      </c>
      <c r="S18" s="30">
        <f>CEILING(Q18/$S$13,10)</f>
        <v>1900</v>
      </c>
      <c r="T18" s="30"/>
      <c r="U18" s="37"/>
    </row>
    <row r="19" spans="1:21">
      <c r="B19" s="17"/>
      <c r="C19" s="17"/>
      <c r="D19" s="19"/>
      <c r="E19" s="19"/>
      <c r="F19" s="20"/>
      <c r="G19" s="20"/>
      <c r="H19" s="19"/>
      <c r="I19" s="24"/>
      <c r="M19" s="199" t="s">
        <v>971</v>
      </c>
      <c r="N19" s="196">
        <v>927</v>
      </c>
      <c r="O19" s="30">
        <f>O18</f>
        <v>290</v>
      </c>
      <c r="P19" s="30">
        <f>P16</f>
        <v>90</v>
      </c>
      <c r="Q19" s="29">
        <f t="shared" si="1"/>
        <v>1437.7</v>
      </c>
      <c r="R19" s="29">
        <f t="shared" si="2"/>
        <v>1743.4285714285713</v>
      </c>
      <c r="S19" s="30">
        <f>CEILING(Q19/$S$13,10)</f>
        <v>2060</v>
      </c>
      <c r="T19" s="30"/>
      <c r="U19" s="37"/>
    </row>
    <row r="20" spans="1:21" ht="15" thickBot="1">
      <c r="B20" s="17"/>
      <c r="C20" s="17"/>
      <c r="D20" s="19"/>
      <c r="E20" s="19"/>
      <c r="F20" s="20"/>
      <c r="G20" s="20"/>
      <c r="H20" s="19"/>
      <c r="I20" s="24"/>
      <c r="M20" s="14"/>
    </row>
    <row r="21" spans="1:21" ht="15" thickBot="1">
      <c r="A21" s="16"/>
      <c r="B21" s="17" t="s">
        <v>20</v>
      </c>
      <c r="C21" s="17" t="s">
        <v>21</v>
      </c>
      <c r="D21" s="19">
        <v>20.13</v>
      </c>
      <c r="E21" s="19">
        <f t="shared" si="3"/>
        <v>21.136500000000002</v>
      </c>
      <c r="F21" s="20">
        <f>E21*1.04</f>
        <v>21.981960000000001</v>
      </c>
      <c r="G21" s="20">
        <f t="shared" si="4"/>
        <v>22.6414188</v>
      </c>
      <c r="H21" s="19">
        <f t="shared" si="5"/>
        <v>24.452732304000001</v>
      </c>
      <c r="I21" s="24">
        <f t="shared" ref="I21:I31" si="6">H21/$I$2</f>
        <v>35.43874246956522</v>
      </c>
      <c r="M21" s="201" t="s">
        <v>691</v>
      </c>
      <c r="O21" s="35" t="s">
        <v>1001</v>
      </c>
      <c r="P21" s="35" t="s">
        <v>1002</v>
      </c>
      <c r="Q21" s="211" t="s">
        <v>1029</v>
      </c>
      <c r="R21" s="35" t="s">
        <v>1026</v>
      </c>
      <c r="S21" s="470">
        <v>0.7</v>
      </c>
      <c r="T21" s="418"/>
    </row>
    <row r="22" spans="1:21">
      <c r="A22" s="16"/>
      <c r="B22" s="17"/>
      <c r="C22" s="17"/>
      <c r="D22" s="19"/>
      <c r="E22" s="19"/>
      <c r="F22" s="20"/>
      <c r="G22" s="20"/>
      <c r="H22" s="19"/>
      <c r="I22" s="24"/>
      <c r="M22" s="43" t="s">
        <v>999</v>
      </c>
      <c r="N22" s="472">
        <v>0</v>
      </c>
      <c r="O22" s="204">
        <v>0</v>
      </c>
      <c r="P22" s="203"/>
      <c r="Q22" s="29">
        <v>0</v>
      </c>
      <c r="R22" s="28"/>
      <c r="S22" s="473">
        <f t="shared" ref="S22" si="7">N22/$S$21</f>
        <v>0</v>
      </c>
      <c r="T22" s="418"/>
    </row>
    <row r="23" spans="1:21">
      <c r="A23" s="16"/>
      <c r="B23" s="17"/>
      <c r="C23" s="17"/>
      <c r="D23" s="19"/>
      <c r="E23" s="19"/>
      <c r="F23" s="20"/>
      <c r="G23" s="20"/>
      <c r="H23" s="19"/>
      <c r="I23" s="24"/>
      <c r="M23" s="43" t="s">
        <v>775</v>
      </c>
      <c r="N23" s="205">
        <v>772.5</v>
      </c>
      <c r="O23" s="204">
        <f>S23-S24</f>
        <v>-515</v>
      </c>
      <c r="P23" s="202">
        <f>P15</f>
        <v>90</v>
      </c>
      <c r="Q23" s="29">
        <f>((N23+P23))*1.1</f>
        <v>948.75000000000011</v>
      </c>
      <c r="R23" s="469">
        <f>Q23/$S$21</f>
        <v>1355.3571428571431</v>
      </c>
      <c r="S23" s="321">
        <f t="shared" ref="S23:S28" si="8">N23/$S$21</f>
        <v>1103.5714285714287</v>
      </c>
      <c r="T23" s="322"/>
    </row>
    <row r="24" spans="1:21">
      <c r="A24" s="4"/>
      <c r="B24" s="17" t="s">
        <v>22</v>
      </c>
      <c r="C24" s="17" t="s">
        <v>23</v>
      </c>
      <c r="D24" s="25">
        <v>439.87</v>
      </c>
      <c r="E24" s="19">
        <f t="shared" si="3"/>
        <v>461.86350000000004</v>
      </c>
      <c r="F24" s="20">
        <f t="shared" ref="F24:F32" si="9">E24*1.04</f>
        <v>480.33804000000003</v>
      </c>
      <c r="G24" s="20">
        <f t="shared" si="4"/>
        <v>494.74818120000003</v>
      </c>
      <c r="H24" s="19">
        <f t="shared" si="5"/>
        <v>534.32803569600003</v>
      </c>
      <c r="I24" s="24">
        <f t="shared" si="6"/>
        <v>774.38845753043483</v>
      </c>
      <c r="M24" s="200" t="s">
        <v>100</v>
      </c>
      <c r="N24" s="319">
        <v>1133</v>
      </c>
      <c r="O24" s="320" t="s">
        <v>688</v>
      </c>
      <c r="P24" s="321">
        <f>P23</f>
        <v>90</v>
      </c>
      <c r="Q24" s="29">
        <f t="shared" ref="Q24:Q28" si="10">((N24+P24))*1.1</f>
        <v>1345.3000000000002</v>
      </c>
      <c r="R24" s="469">
        <f t="shared" ref="R24:R28" si="11">Q24/$S$21</f>
        <v>1921.8571428571433</v>
      </c>
      <c r="S24" s="321">
        <f t="shared" si="8"/>
        <v>1618.5714285714287</v>
      </c>
      <c r="T24" s="321"/>
      <c r="U24" s="37" t="s">
        <v>101</v>
      </c>
    </row>
    <row r="25" spans="1:21">
      <c r="A25" s="4"/>
      <c r="B25" s="17" t="s">
        <v>24</v>
      </c>
      <c r="C25" s="17" t="s">
        <v>25</v>
      </c>
      <c r="D25" s="19">
        <v>535.79999999999995</v>
      </c>
      <c r="E25" s="19">
        <f t="shared" si="3"/>
        <v>562.59</v>
      </c>
      <c r="F25" s="20">
        <f t="shared" si="9"/>
        <v>585.09360000000004</v>
      </c>
      <c r="G25" s="20">
        <f t="shared" si="4"/>
        <v>602.64640800000006</v>
      </c>
      <c r="H25" s="19">
        <f t="shared" si="5"/>
        <v>650.85812064000015</v>
      </c>
      <c r="I25" s="24">
        <f t="shared" si="6"/>
        <v>943.27263860869596</v>
      </c>
      <c r="M25" s="43" t="s">
        <v>102</v>
      </c>
      <c r="N25" s="205">
        <v>1174.2</v>
      </c>
      <c r="O25" s="204">
        <f>CEILING((N25-$N$24)*1.7,20)</f>
        <v>80</v>
      </c>
      <c r="P25" s="321">
        <f t="shared" ref="P25:P28" si="12">P24</f>
        <v>90</v>
      </c>
      <c r="Q25" s="29">
        <f t="shared" si="10"/>
        <v>1390.6200000000001</v>
      </c>
      <c r="R25" s="469">
        <f t="shared" si="11"/>
        <v>1986.6000000000004</v>
      </c>
      <c r="S25" s="202">
        <f t="shared" si="8"/>
        <v>1677.4285714285716</v>
      </c>
      <c r="T25" s="202"/>
      <c r="U25" s="37" t="s">
        <v>101</v>
      </c>
    </row>
    <row r="26" spans="1:21">
      <c r="A26" s="4"/>
      <c r="B26" s="17" t="s">
        <v>28</v>
      </c>
      <c r="C26" s="17"/>
      <c r="D26" s="19"/>
      <c r="E26" s="19">
        <f>547.7+251.35</f>
        <v>799.05000000000007</v>
      </c>
      <c r="F26" s="20">
        <f>580+250</f>
        <v>830</v>
      </c>
      <c r="G26" s="20">
        <f t="shared" si="4"/>
        <v>854.9</v>
      </c>
      <c r="H26" s="19">
        <f t="shared" si="5"/>
        <v>923.29200000000003</v>
      </c>
      <c r="I26" s="24">
        <f t="shared" si="6"/>
        <v>1338.1043478260872</v>
      </c>
      <c r="M26" s="43" t="s">
        <v>106</v>
      </c>
      <c r="N26" s="205">
        <v>1493.5</v>
      </c>
      <c r="O26" s="204">
        <f>CEILING((N26-$N$24)*1.7,20)</f>
        <v>620</v>
      </c>
      <c r="P26" s="321">
        <f t="shared" si="12"/>
        <v>90</v>
      </c>
      <c r="Q26" s="29">
        <f t="shared" si="10"/>
        <v>1741.8500000000001</v>
      </c>
      <c r="R26" s="469">
        <f t="shared" si="11"/>
        <v>2488.3571428571431</v>
      </c>
      <c r="S26" s="202">
        <f t="shared" si="8"/>
        <v>2133.5714285714289</v>
      </c>
      <c r="T26" s="202"/>
      <c r="U26" s="37" t="s">
        <v>101</v>
      </c>
    </row>
    <row r="27" spans="1:21">
      <c r="A27" s="4"/>
      <c r="B27" s="17" t="s">
        <v>29</v>
      </c>
      <c r="C27" s="17"/>
      <c r="D27" s="19">
        <v>69.41</v>
      </c>
      <c r="E27" s="19">
        <f t="shared" si="3"/>
        <v>72.880499999999998</v>
      </c>
      <c r="F27" s="20">
        <f t="shared" si="9"/>
        <v>75.795720000000003</v>
      </c>
      <c r="G27" s="20">
        <f t="shared" si="4"/>
        <v>78.06959160000001</v>
      </c>
      <c r="H27" s="19">
        <f t="shared" si="5"/>
        <v>84.315158928000017</v>
      </c>
      <c r="I27" s="24">
        <f t="shared" si="6"/>
        <v>122.19588250434786</v>
      </c>
      <c r="M27" s="43" t="s">
        <v>116</v>
      </c>
      <c r="N27" s="205">
        <v>780.64</v>
      </c>
      <c r="O27" s="204" t="s">
        <v>688</v>
      </c>
      <c r="P27" s="321">
        <f t="shared" si="12"/>
        <v>90</v>
      </c>
      <c r="Q27" s="29">
        <f t="shared" si="10"/>
        <v>957.70400000000006</v>
      </c>
      <c r="R27" s="469">
        <f t="shared" si="11"/>
        <v>1368.1485714285716</v>
      </c>
      <c r="S27" s="202">
        <f t="shared" si="8"/>
        <v>1115.2</v>
      </c>
      <c r="T27" s="202"/>
      <c r="U27" s="37" t="s">
        <v>117</v>
      </c>
    </row>
    <row r="28" spans="1:21">
      <c r="A28" s="4"/>
      <c r="B28" s="17" t="s">
        <v>30</v>
      </c>
      <c r="C28" s="17" t="s">
        <v>31</v>
      </c>
      <c r="D28" s="19">
        <v>55</v>
      </c>
      <c r="E28" s="19">
        <f t="shared" si="3"/>
        <v>57.75</v>
      </c>
      <c r="F28" s="20">
        <f t="shared" si="9"/>
        <v>60.06</v>
      </c>
      <c r="G28" s="20">
        <f t="shared" si="4"/>
        <v>61.861800000000002</v>
      </c>
      <c r="H28" s="19">
        <f t="shared" si="5"/>
        <v>66.810744000000014</v>
      </c>
      <c r="I28" s="24">
        <f t="shared" si="6"/>
        <v>96.827165217391325</v>
      </c>
      <c r="M28" s="43" t="s">
        <v>121</v>
      </c>
      <c r="N28" s="205">
        <v>857.06</v>
      </c>
      <c r="O28" s="204" t="s">
        <v>688</v>
      </c>
      <c r="P28" s="321">
        <f t="shared" si="12"/>
        <v>90</v>
      </c>
      <c r="Q28" s="29">
        <f t="shared" si="10"/>
        <v>1041.7660000000001</v>
      </c>
      <c r="R28" s="469">
        <f t="shared" si="11"/>
        <v>1488.237142857143</v>
      </c>
      <c r="S28" s="202">
        <f t="shared" si="8"/>
        <v>1224.3714285714286</v>
      </c>
      <c r="T28" s="202"/>
      <c r="U28" s="37" t="s">
        <v>122</v>
      </c>
    </row>
    <row r="29" spans="1:21" ht="15" thickBot="1">
      <c r="A29" s="4"/>
      <c r="B29" s="17" t="s">
        <v>33</v>
      </c>
      <c r="C29" s="17" t="s">
        <v>34</v>
      </c>
      <c r="D29" s="19">
        <v>7.63</v>
      </c>
      <c r="E29" s="19">
        <f t="shared" si="3"/>
        <v>8.0114999999999998</v>
      </c>
      <c r="F29" s="20">
        <f t="shared" si="9"/>
        <v>8.3319600000000005</v>
      </c>
      <c r="G29" s="20">
        <f t="shared" si="4"/>
        <v>8.5819188000000004</v>
      </c>
      <c r="H29" s="19">
        <f t="shared" si="5"/>
        <v>9.2684723040000012</v>
      </c>
      <c r="I29" s="24">
        <f t="shared" si="6"/>
        <v>13.432568556521742</v>
      </c>
    </row>
    <row r="30" spans="1:21" ht="15" thickBot="1">
      <c r="A30" s="4"/>
      <c r="B30" s="17" t="s">
        <v>35</v>
      </c>
      <c r="C30" s="17" t="s">
        <v>36</v>
      </c>
      <c r="D30" s="19">
        <v>58.27</v>
      </c>
      <c r="E30" s="19">
        <f t="shared" si="3"/>
        <v>61.183500000000009</v>
      </c>
      <c r="F30" s="20">
        <v>72.59</v>
      </c>
      <c r="G30" s="20">
        <f t="shared" si="4"/>
        <v>74.767700000000005</v>
      </c>
      <c r="H30" s="19">
        <f t="shared" si="5"/>
        <v>80.749116000000015</v>
      </c>
      <c r="I30" s="24">
        <f t="shared" si="6"/>
        <v>117.02770434782612</v>
      </c>
      <c r="M30" s="198" t="s">
        <v>692</v>
      </c>
      <c r="N30" s="26"/>
      <c r="O30" s="26"/>
      <c r="P30" s="26"/>
      <c r="Q30" s="26"/>
      <c r="R30" s="26"/>
      <c r="S30" s="193">
        <f>S13</f>
        <v>0.7</v>
      </c>
      <c r="T30" s="318"/>
      <c r="U30" s="26"/>
    </row>
    <row r="31" spans="1:21">
      <c r="A31" s="4"/>
      <c r="B31" s="17" t="s">
        <v>38</v>
      </c>
      <c r="C31" s="17" t="s">
        <v>39</v>
      </c>
      <c r="D31" s="19">
        <v>84.24</v>
      </c>
      <c r="E31" s="19">
        <f t="shared" si="3"/>
        <v>88.451999999999998</v>
      </c>
      <c r="F31" s="20">
        <f t="shared" si="9"/>
        <v>91.990080000000006</v>
      </c>
      <c r="G31" s="20">
        <f t="shared" si="4"/>
        <v>94.749782400000015</v>
      </c>
      <c r="H31" s="19">
        <f t="shared" si="5"/>
        <v>102.32976499200002</v>
      </c>
      <c r="I31" s="24">
        <f t="shared" si="6"/>
        <v>148.30400723478266</v>
      </c>
      <c r="M31" s="39" t="s">
        <v>699</v>
      </c>
      <c r="N31" s="136">
        <v>0</v>
      </c>
      <c r="O31" s="29"/>
      <c r="P31" s="29"/>
      <c r="Q31" s="29"/>
      <c r="R31" s="29"/>
      <c r="S31" s="30"/>
      <c r="T31" s="30"/>
      <c r="U31" s="31"/>
    </row>
    <row r="32" spans="1:21">
      <c r="A32" s="4"/>
      <c r="B32" s="17" t="s">
        <v>40</v>
      </c>
      <c r="C32" s="17" t="s">
        <v>41</v>
      </c>
      <c r="D32" s="19">
        <v>171.72</v>
      </c>
      <c r="E32" s="19">
        <f t="shared" si="3"/>
        <v>180.30600000000001</v>
      </c>
      <c r="F32" s="20">
        <f t="shared" si="9"/>
        <v>187.51824000000002</v>
      </c>
      <c r="G32" s="20">
        <f t="shared" si="4"/>
        <v>193.14378720000002</v>
      </c>
      <c r="H32" s="19">
        <f t="shared" si="5"/>
        <v>208.59529017600005</v>
      </c>
      <c r="I32" s="24">
        <f>H32/$I$2</f>
        <v>302.3120147478262</v>
      </c>
      <c r="M32" s="27" t="s">
        <v>1116</v>
      </c>
      <c r="N32" s="196">
        <v>1077.25</v>
      </c>
      <c r="O32" s="29"/>
      <c r="P32" s="29"/>
      <c r="Q32" s="29"/>
      <c r="R32" s="29"/>
      <c r="S32" s="30">
        <f>CEILING(N32/$S$30,10)</f>
        <v>1540</v>
      </c>
      <c r="T32" s="30"/>
      <c r="U32" s="32"/>
    </row>
    <row r="33" spans="1:22">
      <c r="A33" s="4"/>
      <c r="B33" s="26" t="s">
        <v>42</v>
      </c>
      <c r="C33" s="4"/>
      <c r="D33" s="21"/>
      <c r="E33" s="19">
        <v>445</v>
      </c>
      <c r="F33" s="20">
        <v>460</v>
      </c>
      <c r="G33" s="20">
        <f t="shared" si="4"/>
        <v>473.8</v>
      </c>
      <c r="H33" s="19">
        <f t="shared" si="5"/>
        <v>511.70400000000006</v>
      </c>
      <c r="I33" s="24">
        <f>H33/$I$2</f>
        <v>741.60000000000014</v>
      </c>
      <c r="M33" s="27" t="s">
        <v>1117</v>
      </c>
      <c r="N33" s="196">
        <v>1397.13</v>
      </c>
      <c r="O33" s="29"/>
      <c r="P33" s="29"/>
      <c r="Q33" s="29"/>
      <c r="R33" s="29"/>
      <c r="S33" s="30">
        <f>CEILING(N33/$S$30,10)</f>
        <v>2000</v>
      </c>
      <c r="T33" s="30"/>
      <c r="U33" s="32"/>
    </row>
    <row r="34" spans="1:22" ht="15" thickBot="1">
      <c r="A34" s="4"/>
      <c r="B34" s="26" t="s">
        <v>44</v>
      </c>
      <c r="C34" s="4"/>
      <c r="D34" s="21"/>
      <c r="E34" s="19">
        <v>1257</v>
      </c>
      <c r="F34" s="20">
        <v>1426.5</v>
      </c>
      <c r="G34" s="20">
        <f t="shared" si="4"/>
        <v>1469.2950000000001</v>
      </c>
      <c r="H34" s="19">
        <f t="shared" si="5"/>
        <v>1586.8386000000003</v>
      </c>
      <c r="I34" s="24">
        <f>H34/$I$2</f>
        <v>2299.7660869565225</v>
      </c>
    </row>
    <row r="35" spans="1:22" ht="15" thickBot="1">
      <c r="A35" s="16" t="s">
        <v>45</v>
      </c>
      <c r="B35" s="16"/>
      <c r="C35" s="4"/>
      <c r="D35" s="21"/>
      <c r="E35" s="19"/>
      <c r="F35" s="20"/>
      <c r="G35" s="20">
        <f t="shared" si="4"/>
        <v>0</v>
      </c>
      <c r="H35" s="19">
        <f t="shared" si="5"/>
        <v>0</v>
      </c>
      <c r="I35" s="24"/>
      <c r="M35" s="198" t="s">
        <v>697</v>
      </c>
      <c r="Q35" s="211" t="s">
        <v>1029</v>
      </c>
      <c r="R35" s="35" t="s">
        <v>1026</v>
      </c>
      <c r="S35" s="470">
        <f>S30</f>
        <v>0.7</v>
      </c>
      <c r="T35" s="318"/>
      <c r="V35" s="4"/>
    </row>
    <row r="36" spans="1:22">
      <c r="A36" s="16"/>
      <c r="B36" s="4"/>
      <c r="C36" s="4"/>
      <c r="D36" s="21"/>
      <c r="E36" s="19"/>
      <c r="F36" s="20"/>
      <c r="G36" s="20">
        <f t="shared" si="4"/>
        <v>0</v>
      </c>
      <c r="H36" s="19">
        <f t="shared" si="5"/>
        <v>0</v>
      </c>
      <c r="I36" s="24"/>
      <c r="M36" s="199" t="s">
        <v>698</v>
      </c>
      <c r="N36" s="206"/>
      <c r="O36" s="207"/>
      <c r="P36" s="29"/>
      <c r="Q36" s="471"/>
      <c r="R36" s="28"/>
      <c r="S36" s="211">
        <v>0</v>
      </c>
      <c r="T36" s="211"/>
      <c r="U36" s="208" t="s">
        <v>216</v>
      </c>
    </row>
    <row r="37" spans="1:22">
      <c r="A37" s="34" t="s">
        <v>47</v>
      </c>
      <c r="B37" s="34" t="s">
        <v>48</v>
      </c>
      <c r="C37" s="34" t="s">
        <v>49</v>
      </c>
      <c r="D37" s="19">
        <v>645.04999999999995</v>
      </c>
      <c r="E37" s="19">
        <f t="shared" ref="E37:E45" si="13">D37*1.082</f>
        <v>697.94410000000005</v>
      </c>
      <c r="F37" s="20">
        <v>715</v>
      </c>
      <c r="G37" s="20">
        <f t="shared" si="4"/>
        <v>736.45</v>
      </c>
      <c r="H37" s="19">
        <f t="shared" si="5"/>
        <v>795.3660000000001</v>
      </c>
      <c r="I37" s="24">
        <f>H37/$I$2</f>
        <v>1152.7043478260871</v>
      </c>
      <c r="J37" s="1" t="e">
        <f>F37-#REF!</f>
        <v>#REF!</v>
      </c>
      <c r="M37" s="27" t="s">
        <v>1089</v>
      </c>
      <c r="N37" s="210">
        <v>5175.75</v>
      </c>
      <c r="O37" s="209"/>
      <c r="P37" s="33">
        <f>ELEC!D7+ELEC!D8</f>
        <v>255</v>
      </c>
      <c r="Q37" s="33">
        <f>N37*1.05</f>
        <v>5434.5375000000004</v>
      </c>
      <c r="R37" s="469">
        <f>Q37/S35</f>
        <v>7763.6250000000009</v>
      </c>
      <c r="S37" s="33">
        <f>N37/S35</f>
        <v>7393.9285714285716</v>
      </c>
      <c r="T37" s="33"/>
      <c r="U37" s="27"/>
    </row>
    <row r="38" spans="1:22">
      <c r="A38" s="34"/>
      <c r="B38" s="34"/>
      <c r="C38" s="34"/>
      <c r="D38" s="19"/>
      <c r="E38" s="19"/>
      <c r="F38" s="20"/>
      <c r="G38" s="20"/>
      <c r="H38" s="19"/>
      <c r="I38" s="24"/>
      <c r="J38" s="1"/>
      <c r="M38" s="27" t="s">
        <v>1118</v>
      </c>
      <c r="N38" s="210">
        <v>3297</v>
      </c>
      <c r="O38" s="209"/>
      <c r="P38" s="33">
        <f>ELEC!D8+ELEC!D9</f>
        <v>0</v>
      </c>
      <c r="Q38" s="33">
        <f>N38*1.05</f>
        <v>3461.8500000000004</v>
      </c>
      <c r="R38" s="469">
        <f>Q38/S35</f>
        <v>4945.5000000000009</v>
      </c>
      <c r="S38" s="33">
        <f>N38/S35</f>
        <v>4710</v>
      </c>
      <c r="T38" s="33"/>
      <c r="U38" s="27"/>
    </row>
    <row r="39" spans="1:22">
      <c r="A39" s="34"/>
      <c r="B39" s="34"/>
      <c r="C39" s="34"/>
      <c r="D39" s="19"/>
      <c r="E39" s="19"/>
      <c r="F39" s="20"/>
      <c r="G39" s="20"/>
      <c r="H39" s="19"/>
      <c r="I39" s="24"/>
      <c r="J39" s="1"/>
      <c r="M39" s="27"/>
      <c r="N39" s="210">
        <v>0</v>
      </c>
      <c r="O39" s="209"/>
      <c r="P39" s="28"/>
      <c r="Q39" s="33">
        <f>N39*1.1</f>
        <v>0</v>
      </c>
      <c r="R39" s="469">
        <f>Q39/S35</f>
        <v>0</v>
      </c>
      <c r="S39" s="33">
        <f>CEILING(N39/S35,5)</f>
        <v>0</v>
      </c>
      <c r="T39" s="33"/>
      <c r="U39" s="27">
        <f>IF('NEW POOL'!E121="",0,1)</f>
        <v>0</v>
      </c>
    </row>
    <row r="40" spans="1:22" ht="15" thickBot="1">
      <c r="A40" s="34" t="s">
        <v>52</v>
      </c>
      <c r="B40" s="34" t="s">
        <v>53</v>
      </c>
      <c r="C40" s="34" t="s">
        <v>54</v>
      </c>
      <c r="D40" s="19">
        <v>479.06</v>
      </c>
      <c r="E40" s="19">
        <f t="shared" si="13"/>
        <v>518.34292000000005</v>
      </c>
      <c r="F40" s="20">
        <v>525</v>
      </c>
      <c r="G40" s="20">
        <f t="shared" si="4"/>
        <v>540.75</v>
      </c>
      <c r="H40" s="19">
        <f t="shared" si="5"/>
        <v>584.01</v>
      </c>
      <c r="I40" s="24">
        <f>H40/$I$2</f>
        <v>846.39130434782612</v>
      </c>
      <c r="J40" s="1" t="e">
        <f>F40-#REF!</f>
        <v>#REF!</v>
      </c>
    </row>
    <row r="41" spans="1:22" ht="15" thickBot="1">
      <c r="A41" s="34"/>
      <c r="B41" s="34"/>
      <c r="C41" s="34"/>
      <c r="D41" s="19"/>
      <c r="E41" s="19"/>
      <c r="F41" s="20"/>
      <c r="G41" s="20"/>
      <c r="H41" s="19"/>
      <c r="I41" s="24"/>
      <c r="J41" s="1"/>
      <c r="M41" s="198" t="s">
        <v>693</v>
      </c>
      <c r="P41" t="s">
        <v>1003</v>
      </c>
      <c r="R41" s="461" t="s">
        <v>1000</v>
      </c>
      <c r="S41" s="193">
        <f>S30</f>
        <v>0.7</v>
      </c>
      <c r="T41" s="318"/>
    </row>
    <row r="42" spans="1:22">
      <c r="A42" s="34" t="s">
        <v>55</v>
      </c>
      <c r="B42" s="34" t="s">
        <v>56</v>
      </c>
      <c r="C42" s="34" t="s">
        <v>57</v>
      </c>
      <c r="D42" s="19">
        <v>517.36</v>
      </c>
      <c r="E42" s="19">
        <f t="shared" si="13"/>
        <v>559.78352000000007</v>
      </c>
      <c r="F42" s="20">
        <v>570</v>
      </c>
      <c r="G42" s="20">
        <f t="shared" si="4"/>
        <v>587.1</v>
      </c>
      <c r="H42" s="19">
        <f t="shared" si="5"/>
        <v>634.0680000000001</v>
      </c>
      <c r="I42" s="24">
        <f>H42/$I$2</f>
        <v>918.93913043478278</v>
      </c>
      <c r="J42" s="1" t="e">
        <f>F42-#REF!</f>
        <v>#REF!</v>
      </c>
      <c r="M42" s="199" t="s">
        <v>695</v>
      </c>
      <c r="N42" s="206"/>
      <c r="O42" s="207"/>
      <c r="P42" s="29"/>
      <c r="Q42" s="29"/>
      <c r="R42" s="2">
        <v>0</v>
      </c>
      <c r="S42" s="207"/>
      <c r="T42" s="207"/>
      <c r="U42" s="208" t="s">
        <v>216</v>
      </c>
    </row>
    <row r="43" spans="1:22">
      <c r="A43" s="34" t="s">
        <v>58</v>
      </c>
      <c r="B43" s="34" t="s">
        <v>59</v>
      </c>
      <c r="C43" s="34" t="s">
        <v>60</v>
      </c>
      <c r="D43" s="19">
        <v>566.19000000000005</v>
      </c>
      <c r="E43" s="19">
        <f t="shared" si="13"/>
        <v>612.61758000000009</v>
      </c>
      <c r="F43" s="20">
        <v>625</v>
      </c>
      <c r="G43" s="20">
        <f t="shared" si="4"/>
        <v>643.75</v>
      </c>
      <c r="H43" s="19">
        <f t="shared" si="5"/>
        <v>695.25</v>
      </c>
      <c r="I43" s="24">
        <f>H43/$I$2</f>
        <v>1007.608695652174</v>
      </c>
      <c r="J43" s="1" t="e">
        <f>F43-#REF!</f>
        <v>#REF!</v>
      </c>
      <c r="M43" s="27" t="s">
        <v>986</v>
      </c>
      <c r="N43" s="210">
        <v>528</v>
      </c>
      <c r="O43" s="209"/>
      <c r="P43" s="210">
        <v>95</v>
      </c>
      <c r="Q43" s="33"/>
      <c r="R43" s="29">
        <f>((N43+P43)/$S$41)*1.05</f>
        <v>934.5</v>
      </c>
      <c r="S43" s="33">
        <f>CEILING(N43/$S$41,5)</f>
        <v>755</v>
      </c>
      <c r="T43" s="33"/>
      <c r="U43" s="27"/>
    </row>
    <row r="44" spans="1:22">
      <c r="A44" s="34" t="s">
        <v>61</v>
      </c>
      <c r="B44" s="34" t="s">
        <v>62</v>
      </c>
      <c r="C44" s="34" t="s">
        <v>63</v>
      </c>
      <c r="D44" s="19">
        <v>666.14</v>
      </c>
      <c r="E44" s="19">
        <f t="shared" si="13"/>
        <v>720.76348000000007</v>
      </c>
      <c r="F44" s="20">
        <v>735</v>
      </c>
      <c r="G44" s="20">
        <f t="shared" si="4"/>
        <v>757.05000000000007</v>
      </c>
      <c r="H44" s="19">
        <f t="shared" si="5"/>
        <v>817.61400000000015</v>
      </c>
      <c r="I44" s="24">
        <f>H44/$I$2</f>
        <v>1184.9478260869569</v>
      </c>
      <c r="J44" s="1" t="e">
        <f>F44-#REF!</f>
        <v>#REF!</v>
      </c>
      <c r="M44" s="27" t="s">
        <v>1119</v>
      </c>
      <c r="N44" s="210">
        <v>715</v>
      </c>
      <c r="O44" s="209"/>
      <c r="P44" s="33">
        <v>95</v>
      </c>
      <c r="Q44" s="33"/>
      <c r="R44" s="29">
        <f>((N44+P44)/$S$41)*1.05</f>
        <v>1215</v>
      </c>
      <c r="S44" s="33">
        <f>CEILING(N44/$S$41,5)</f>
        <v>1025</v>
      </c>
      <c r="T44" s="33"/>
      <c r="U44" s="27"/>
    </row>
    <row r="45" spans="1:22">
      <c r="A45" s="34" t="s">
        <v>64</v>
      </c>
      <c r="B45" s="34" t="s">
        <v>65</v>
      </c>
      <c r="C45" s="34" t="s">
        <v>66</v>
      </c>
      <c r="D45" s="19">
        <v>786</v>
      </c>
      <c r="E45" s="19">
        <f t="shared" si="13"/>
        <v>850.45200000000011</v>
      </c>
      <c r="F45" s="20">
        <v>870</v>
      </c>
      <c r="G45" s="20">
        <f t="shared" si="4"/>
        <v>896.1</v>
      </c>
      <c r="H45" s="19">
        <f t="shared" si="5"/>
        <v>967.78800000000012</v>
      </c>
      <c r="I45" s="24">
        <f>H45/$I$2</f>
        <v>1402.5913043478263</v>
      </c>
      <c r="M45" s="27" t="s">
        <v>694</v>
      </c>
      <c r="N45" s="210">
        <v>601</v>
      </c>
      <c r="O45" s="209"/>
      <c r="P45" s="33">
        <f>P43</f>
        <v>95</v>
      </c>
      <c r="Q45" s="33"/>
      <c r="R45" s="29">
        <f>((N45+P45)/$S$41)*1.05</f>
        <v>1044</v>
      </c>
      <c r="S45" s="33">
        <f>CEILING(N45/$S$41,5)</f>
        <v>860</v>
      </c>
      <c r="T45" s="33"/>
      <c r="U45" s="27"/>
    </row>
    <row r="46" spans="1:22">
      <c r="A46" s="34"/>
      <c r="B46" s="34"/>
      <c r="C46" s="34"/>
      <c r="D46" s="19"/>
      <c r="E46" s="19"/>
      <c r="F46" s="20"/>
      <c r="G46" s="20"/>
      <c r="H46" s="19"/>
      <c r="I46" s="24"/>
      <c r="M46" s="27" t="s">
        <v>774</v>
      </c>
      <c r="N46" s="210">
        <f>110*1.06</f>
        <v>116.60000000000001</v>
      </c>
      <c r="O46" s="209"/>
      <c r="P46" s="33"/>
      <c r="Q46" s="33"/>
      <c r="R46" s="33"/>
      <c r="S46" s="33">
        <f>N46/S41</f>
        <v>166.57142857142858</v>
      </c>
      <c r="T46" s="33"/>
      <c r="U46" s="27"/>
    </row>
    <row r="47" spans="1:22" ht="15" thickBot="1">
      <c r="A47" s="56"/>
      <c r="B47" s="56" t="s">
        <v>349</v>
      </c>
      <c r="C47" s="56"/>
      <c r="D47" s="57"/>
      <c r="E47" s="57"/>
      <c r="F47" s="57"/>
      <c r="G47" s="57"/>
      <c r="H47" s="57">
        <v>0</v>
      </c>
      <c r="I47" s="58"/>
      <c r="J47" s="65"/>
    </row>
    <row r="48" spans="1:22" ht="15" thickBot="1">
      <c r="A48" s="56" t="s">
        <v>67</v>
      </c>
      <c r="B48" s="56" t="s">
        <v>346</v>
      </c>
      <c r="C48" s="56"/>
      <c r="D48" s="64"/>
      <c r="E48" s="57">
        <v>597</v>
      </c>
      <c r="F48" s="57">
        <v>600</v>
      </c>
      <c r="G48" s="57">
        <f t="shared" si="4"/>
        <v>618</v>
      </c>
      <c r="H48" s="57">
        <v>1270</v>
      </c>
      <c r="I48" s="58">
        <f t="shared" ref="I48:I59" si="14">H48/$I$2</f>
        <v>1840.5797101449277</v>
      </c>
      <c r="J48" s="65"/>
      <c r="M48" s="198" t="s">
        <v>700</v>
      </c>
      <c r="P48" t="s">
        <v>1003</v>
      </c>
      <c r="Q48" t="s">
        <v>1027</v>
      </c>
      <c r="R48" s="461" t="s">
        <v>1028</v>
      </c>
      <c r="S48" s="193">
        <f>S41</f>
        <v>0.7</v>
      </c>
      <c r="T48" s="318"/>
    </row>
    <row r="49" spans="1:21">
      <c r="A49" s="56" t="s">
        <v>69</v>
      </c>
      <c r="B49" s="56" t="s">
        <v>347</v>
      </c>
      <c r="C49" s="56" t="s">
        <v>70</v>
      </c>
      <c r="D49" s="57">
        <v>383</v>
      </c>
      <c r="E49" s="57">
        <f>D49*1.082</f>
        <v>414.40600000000001</v>
      </c>
      <c r="F49" s="57">
        <v>415</v>
      </c>
      <c r="G49" s="57">
        <f t="shared" si="4"/>
        <v>427.45</v>
      </c>
      <c r="H49" s="57">
        <v>530</v>
      </c>
      <c r="I49" s="58">
        <f t="shared" si="14"/>
        <v>768.11594202898561</v>
      </c>
      <c r="J49" s="66" t="e">
        <f>H49-#REF!</f>
        <v>#REF!</v>
      </c>
      <c r="M49" s="213" t="s">
        <v>126</v>
      </c>
      <c r="N49" s="196">
        <v>0</v>
      </c>
      <c r="O49" s="30"/>
      <c r="P49" s="30"/>
      <c r="Q49" s="30"/>
      <c r="R49" s="29">
        <f>((N49+P49)/$S$48)*1.05</f>
        <v>0</v>
      </c>
      <c r="S49" s="33">
        <f>CEILING(N49/$S$41,5)</f>
        <v>0</v>
      </c>
      <c r="T49" s="33"/>
      <c r="U49" s="27"/>
    </row>
    <row r="50" spans="1:21">
      <c r="A50" s="56" t="s">
        <v>71</v>
      </c>
      <c r="B50" s="56" t="s">
        <v>348</v>
      </c>
      <c r="C50" s="56" t="s">
        <v>72</v>
      </c>
      <c r="D50" s="57">
        <v>458</v>
      </c>
      <c r="E50" s="57">
        <f>D50*1.082</f>
        <v>495.55600000000004</v>
      </c>
      <c r="F50" s="57">
        <v>505</v>
      </c>
      <c r="G50" s="57">
        <f t="shared" si="4"/>
        <v>520.15</v>
      </c>
      <c r="H50" s="57">
        <v>640</v>
      </c>
      <c r="I50" s="58">
        <f t="shared" si="14"/>
        <v>927.536231884058</v>
      </c>
      <c r="J50" s="66" t="e">
        <f>H50-#REF!</f>
        <v>#REF!</v>
      </c>
      <c r="M50" s="213" t="s">
        <v>33</v>
      </c>
      <c r="N50" s="196">
        <f>12*1.06</f>
        <v>12.72</v>
      </c>
      <c r="O50" s="30"/>
      <c r="P50" s="196">
        <v>0</v>
      </c>
      <c r="Q50" s="30">
        <f>N50</f>
        <v>12.72</v>
      </c>
      <c r="R50" s="29">
        <f>((N50+P50)/$S$48)*1.05</f>
        <v>19.080000000000005</v>
      </c>
      <c r="S50" s="33">
        <f t="shared" ref="S50:S57" si="15">CEILING(N50/$S$41,5)</f>
        <v>20</v>
      </c>
      <c r="T50" s="33"/>
      <c r="U50" s="27"/>
    </row>
    <row r="51" spans="1:21">
      <c r="A51" s="34"/>
      <c r="B51" s="34" t="s">
        <v>73</v>
      </c>
      <c r="C51" s="34"/>
      <c r="D51" s="19">
        <v>460</v>
      </c>
      <c r="E51" s="19">
        <f>D51*1.082</f>
        <v>497.72</v>
      </c>
      <c r="F51" s="20">
        <v>510</v>
      </c>
      <c r="G51" s="20">
        <f t="shared" si="4"/>
        <v>525.30000000000007</v>
      </c>
      <c r="H51" s="19">
        <f t="shared" si="5"/>
        <v>567.32400000000007</v>
      </c>
      <c r="I51" s="24">
        <f t="shared" si="14"/>
        <v>822.20869565217413</v>
      </c>
      <c r="J51" s="1" t="e">
        <f>H51-#REF!</f>
        <v>#REF!</v>
      </c>
      <c r="M51" s="213" t="s">
        <v>128</v>
      </c>
      <c r="N51" s="196">
        <v>200</v>
      </c>
      <c r="O51" s="30"/>
      <c r="P51" s="196">
        <v>65</v>
      </c>
      <c r="Q51" s="30">
        <f>N51+P51</f>
        <v>265</v>
      </c>
      <c r="R51" s="29">
        <f t="shared" ref="R51:R57" si="16">((N51+P51)/$S$48)*1.05</f>
        <v>397.50000000000006</v>
      </c>
      <c r="S51" s="33">
        <f t="shared" si="15"/>
        <v>290</v>
      </c>
      <c r="T51" s="33"/>
      <c r="U51" s="27"/>
    </row>
    <row r="52" spans="1:21">
      <c r="A52" s="34" t="s">
        <v>74</v>
      </c>
      <c r="B52" s="34" t="s">
        <v>68</v>
      </c>
      <c r="C52" s="34" t="s">
        <v>75</v>
      </c>
      <c r="D52" s="2"/>
      <c r="E52" s="19">
        <v>955</v>
      </c>
      <c r="F52" s="20">
        <v>1013.16</v>
      </c>
      <c r="G52" s="20">
        <f>F52*1.05</f>
        <v>1063.818</v>
      </c>
      <c r="H52" s="19">
        <f t="shared" si="5"/>
        <v>1148.92344</v>
      </c>
      <c r="I52" s="24">
        <f t="shared" si="14"/>
        <v>1665.1064347826089</v>
      </c>
      <c r="M52" s="213" t="s">
        <v>129</v>
      </c>
      <c r="N52" s="196">
        <v>100</v>
      </c>
      <c r="O52" s="30"/>
      <c r="P52" s="30">
        <f>P51</f>
        <v>65</v>
      </c>
      <c r="Q52" s="30">
        <f t="shared" ref="Q52:Q57" si="17">N52+P52</f>
        <v>165</v>
      </c>
      <c r="R52" s="29">
        <f t="shared" si="16"/>
        <v>247.50000000000003</v>
      </c>
      <c r="S52" s="33">
        <f t="shared" si="15"/>
        <v>145</v>
      </c>
      <c r="T52" s="33"/>
      <c r="U52" s="27"/>
    </row>
    <row r="53" spans="1:21">
      <c r="A53" s="34"/>
      <c r="B53" s="34"/>
      <c r="C53" s="34"/>
      <c r="D53" s="2"/>
      <c r="E53" s="19"/>
      <c r="F53" s="20"/>
      <c r="G53" s="20"/>
      <c r="H53" s="19"/>
      <c r="I53" s="24"/>
      <c r="M53" s="213" t="s">
        <v>1079</v>
      </c>
      <c r="N53" s="196">
        <f>300*1.06</f>
        <v>318</v>
      </c>
      <c r="O53" s="30"/>
      <c r="P53" s="30">
        <f>P52</f>
        <v>65</v>
      </c>
      <c r="Q53" s="30">
        <f t="shared" si="17"/>
        <v>383</v>
      </c>
      <c r="R53" s="29">
        <f t="shared" si="16"/>
        <v>574.50000000000011</v>
      </c>
      <c r="S53" s="33">
        <f t="shared" si="15"/>
        <v>455</v>
      </c>
      <c r="T53" s="33"/>
      <c r="U53" s="27"/>
    </row>
    <row r="54" spans="1:21">
      <c r="A54" s="34" t="s">
        <v>76</v>
      </c>
      <c r="B54" s="34" t="s">
        <v>77</v>
      </c>
      <c r="C54" s="34" t="s">
        <v>78</v>
      </c>
      <c r="D54" s="19">
        <v>929.97</v>
      </c>
      <c r="E54" s="19">
        <v>985</v>
      </c>
      <c r="F54" s="20">
        <v>1050</v>
      </c>
      <c r="G54" s="20">
        <f t="shared" si="4"/>
        <v>1081.5</v>
      </c>
      <c r="H54" s="19">
        <f t="shared" si="5"/>
        <v>1168.02</v>
      </c>
      <c r="I54" s="24">
        <f t="shared" si="14"/>
        <v>1692.7826086956522</v>
      </c>
      <c r="M54" s="27" t="s">
        <v>1064</v>
      </c>
      <c r="N54" s="196">
        <v>1100</v>
      </c>
      <c r="O54" s="136">
        <f>PLUM!B41</f>
        <v>200</v>
      </c>
      <c r="P54" s="196">
        <v>95</v>
      </c>
      <c r="Q54" s="30">
        <f t="shared" si="17"/>
        <v>1195</v>
      </c>
      <c r="R54" s="29">
        <f t="shared" si="16"/>
        <v>1792.5000000000002</v>
      </c>
      <c r="S54" s="33">
        <f>CEILING((N54+O54)/$S$41,5)</f>
        <v>1860</v>
      </c>
      <c r="T54" s="33"/>
      <c r="U54" s="215"/>
    </row>
    <row r="55" spans="1:21">
      <c r="A55" s="34"/>
      <c r="B55" s="34"/>
      <c r="C55" s="34"/>
      <c r="D55" s="19"/>
      <c r="E55" s="19"/>
      <c r="F55" s="20"/>
      <c r="G55" s="20"/>
      <c r="H55" s="19"/>
      <c r="I55" s="24"/>
      <c r="M55" s="27" t="s">
        <v>1065</v>
      </c>
      <c r="N55" s="196">
        <v>2000</v>
      </c>
      <c r="O55" s="136">
        <f>PLUM!B42</f>
        <v>210</v>
      </c>
      <c r="P55" s="196">
        <v>110</v>
      </c>
      <c r="Q55" s="30">
        <f t="shared" si="17"/>
        <v>2110</v>
      </c>
      <c r="R55" s="29">
        <f t="shared" si="16"/>
        <v>3165.0000000000005</v>
      </c>
      <c r="S55" s="33">
        <f>CEILING((N55+O55)/$S$41,5)</f>
        <v>3160</v>
      </c>
      <c r="T55" s="33"/>
      <c r="U55" s="215"/>
    </row>
    <row r="56" spans="1:21">
      <c r="A56" s="34"/>
      <c r="B56" s="34"/>
      <c r="C56" s="34"/>
      <c r="D56" s="19"/>
      <c r="E56" s="19"/>
      <c r="F56" s="20"/>
      <c r="G56" s="20"/>
      <c r="H56" s="19"/>
      <c r="I56" s="24"/>
      <c r="M56" s="27" t="s">
        <v>1077</v>
      </c>
      <c r="N56" s="196">
        <v>1150</v>
      </c>
      <c r="O56" s="214"/>
      <c r="P56" s="30">
        <f>P55</f>
        <v>110</v>
      </c>
      <c r="Q56" s="30">
        <f t="shared" si="17"/>
        <v>1260</v>
      </c>
      <c r="R56" s="29">
        <f t="shared" si="16"/>
        <v>1890.0000000000002</v>
      </c>
      <c r="S56" s="33">
        <f t="shared" si="15"/>
        <v>1645</v>
      </c>
      <c r="T56" s="33"/>
      <c r="U56" s="215"/>
    </row>
    <row r="57" spans="1:21">
      <c r="A57" s="34" t="s">
        <v>79</v>
      </c>
      <c r="B57" s="34" t="s">
        <v>80</v>
      </c>
      <c r="C57" s="34" t="s">
        <v>81</v>
      </c>
      <c r="D57" s="19">
        <v>950.78</v>
      </c>
      <c r="E57" s="19">
        <v>1110</v>
      </c>
      <c r="F57" s="20">
        <v>1210</v>
      </c>
      <c r="G57" s="20">
        <v>1120</v>
      </c>
      <c r="H57" s="19">
        <f t="shared" si="5"/>
        <v>1209.6000000000001</v>
      </c>
      <c r="I57" s="24">
        <f t="shared" si="14"/>
        <v>1753.04347826087</v>
      </c>
      <c r="M57" s="216" t="s">
        <v>1078</v>
      </c>
      <c r="N57" s="196">
        <v>1000</v>
      </c>
      <c r="O57" s="30"/>
      <c r="P57" s="30">
        <f>P56</f>
        <v>110</v>
      </c>
      <c r="Q57" s="30">
        <f t="shared" si="17"/>
        <v>1110</v>
      </c>
      <c r="R57" s="29">
        <f t="shared" si="16"/>
        <v>1665.0000000000002</v>
      </c>
      <c r="S57" s="33">
        <f t="shared" si="15"/>
        <v>1430</v>
      </c>
      <c r="T57" s="33"/>
      <c r="U57" s="215"/>
    </row>
    <row r="58" spans="1:21">
      <c r="A58" s="34"/>
      <c r="B58" s="34"/>
      <c r="C58" s="34"/>
      <c r="D58" s="19"/>
      <c r="E58" s="19"/>
      <c r="F58" s="20"/>
      <c r="G58" s="20"/>
      <c r="H58" s="19"/>
      <c r="I58" s="24"/>
      <c r="M58" s="216" t="s">
        <v>793</v>
      </c>
      <c r="N58" s="196">
        <f>300*1.06</f>
        <v>318</v>
      </c>
      <c r="O58" s="30"/>
      <c r="P58" s="30"/>
      <c r="Q58" s="30"/>
      <c r="R58" s="30"/>
      <c r="S58" s="33">
        <f>CEILING(-N58/$S$41,5)</f>
        <v>-450</v>
      </c>
      <c r="T58" s="33"/>
      <c r="U58" s="215"/>
    </row>
    <row r="59" spans="1:21" ht="15" thickBot="1">
      <c r="A59" s="34" t="s">
        <v>82</v>
      </c>
      <c r="B59" s="34" t="s">
        <v>83</v>
      </c>
      <c r="C59" s="34" t="s">
        <v>46</v>
      </c>
      <c r="D59" s="19">
        <v>965.16</v>
      </c>
      <c r="E59" s="19">
        <v>765</v>
      </c>
      <c r="F59" s="20">
        <v>780</v>
      </c>
      <c r="G59" s="20">
        <f t="shared" si="4"/>
        <v>803.4</v>
      </c>
      <c r="H59" s="19">
        <f t="shared" si="5"/>
        <v>867.67200000000003</v>
      </c>
      <c r="I59" s="24">
        <f t="shared" si="14"/>
        <v>1257.4956521739132</v>
      </c>
      <c r="M59" s="14"/>
      <c r="N59" s="1"/>
      <c r="O59" s="1"/>
      <c r="P59" s="1"/>
      <c r="Q59" s="1"/>
      <c r="R59" s="1"/>
      <c r="S59" s="1"/>
      <c r="T59" s="1"/>
      <c r="U59" s="14"/>
    </row>
    <row r="60" spans="1:21" ht="15" thickBot="1">
      <c r="A60" s="16"/>
      <c r="B60" s="4"/>
      <c r="C60" s="4"/>
      <c r="D60" s="21"/>
      <c r="E60" s="19"/>
      <c r="F60" s="20"/>
      <c r="G60" s="20">
        <f t="shared" si="4"/>
        <v>0</v>
      </c>
      <c r="H60" s="19">
        <f t="shared" si="5"/>
        <v>0</v>
      </c>
      <c r="I60" s="24"/>
      <c r="M60" s="198" t="s">
        <v>701</v>
      </c>
      <c r="N60" s="1"/>
      <c r="O60" s="1"/>
      <c r="P60" s="24" t="s">
        <v>342</v>
      </c>
      <c r="Q60" s="24"/>
      <c r="R60" s="24"/>
      <c r="S60" s="193">
        <v>0.75</v>
      </c>
      <c r="T60" s="318"/>
      <c r="U60" s="14"/>
    </row>
    <row r="61" spans="1:21">
      <c r="A61" s="16" t="s">
        <v>84</v>
      </c>
      <c r="B61" s="4"/>
      <c r="C61" s="4"/>
      <c r="D61" s="21"/>
      <c r="E61" s="19"/>
      <c r="F61" s="20"/>
      <c r="G61" s="20">
        <f t="shared" si="4"/>
        <v>0</v>
      </c>
      <c r="H61" s="19">
        <f t="shared" si="5"/>
        <v>0</v>
      </c>
      <c r="I61" s="24"/>
      <c r="M61" s="218" t="s">
        <v>987</v>
      </c>
      <c r="N61" s="196">
        <v>1600</v>
      </c>
      <c r="O61" s="28"/>
      <c r="P61" s="28"/>
      <c r="Q61" s="28"/>
      <c r="R61" s="28"/>
      <c r="S61" s="28"/>
      <c r="T61" s="28"/>
      <c r="U61" s="28"/>
    </row>
    <row r="62" spans="1:21">
      <c r="A62" s="16"/>
      <c r="B62" s="4"/>
      <c r="C62" s="4"/>
      <c r="D62" s="21"/>
      <c r="E62" s="19"/>
      <c r="F62" s="20"/>
      <c r="G62" s="20"/>
      <c r="H62" s="19"/>
      <c r="I62" s="24"/>
      <c r="M62" s="218" t="s">
        <v>702</v>
      </c>
      <c r="N62" s="196">
        <v>200</v>
      </c>
      <c r="O62" s="28"/>
      <c r="P62" s="67">
        <v>75</v>
      </c>
      <c r="Q62" s="136"/>
      <c r="R62" s="221">
        <f>SUM(N62:Q62)/S60</f>
        <v>366.66666666666669</v>
      </c>
      <c r="S62" s="202">
        <f>CEILING((R62),5)</f>
        <v>370</v>
      </c>
      <c r="T62" s="202"/>
      <c r="U62" s="28"/>
    </row>
    <row r="63" spans="1:21">
      <c r="A63" s="34" t="s">
        <v>85</v>
      </c>
      <c r="B63" s="34" t="s">
        <v>86</v>
      </c>
      <c r="C63" s="56" t="s">
        <v>87</v>
      </c>
      <c r="D63" s="57">
        <v>255</v>
      </c>
      <c r="E63" s="57">
        <v>360</v>
      </c>
      <c r="F63" s="57">
        <v>370</v>
      </c>
      <c r="G63" s="57">
        <f t="shared" si="4"/>
        <v>381.1</v>
      </c>
      <c r="H63" s="57">
        <v>520</v>
      </c>
      <c r="I63" s="58">
        <f>H63/$I$2</f>
        <v>753.62318840579712</v>
      </c>
      <c r="M63" s="43" t="s">
        <v>356</v>
      </c>
      <c r="N63" s="29">
        <v>0</v>
      </c>
      <c r="O63" s="30">
        <v>0</v>
      </c>
      <c r="P63" s="28"/>
      <c r="Q63" s="28"/>
      <c r="R63" s="43"/>
      <c r="S63" s="43"/>
      <c r="T63" s="43"/>
      <c r="U63" s="43"/>
    </row>
    <row r="64" spans="1:21">
      <c r="A64" s="34"/>
      <c r="B64" s="34"/>
      <c r="C64" s="56"/>
      <c r="D64" s="57"/>
      <c r="E64" s="57"/>
      <c r="F64" s="57"/>
      <c r="G64" s="57"/>
      <c r="H64" s="57"/>
      <c r="I64" s="58"/>
      <c r="M64" s="43" t="s">
        <v>1091</v>
      </c>
      <c r="N64" s="67">
        <v>650</v>
      </c>
      <c r="O64" s="30"/>
      <c r="P64" s="67">
        <v>35</v>
      </c>
      <c r="Q64" s="136"/>
      <c r="R64" s="221">
        <f>SUM(N64:Q64)/S60</f>
        <v>913.33333333333337</v>
      </c>
      <c r="S64" s="202">
        <f>R64/$S$60</f>
        <v>1217.7777777777778</v>
      </c>
      <c r="T64" s="202"/>
      <c r="U64" s="43" t="s">
        <v>1120</v>
      </c>
    </row>
    <row r="65" spans="1:23">
      <c r="A65" s="34" t="s">
        <v>88</v>
      </c>
      <c r="B65" s="34" t="s">
        <v>89</v>
      </c>
      <c r="C65" s="56" t="s">
        <v>90</v>
      </c>
      <c r="D65" s="57">
        <v>486.06</v>
      </c>
      <c r="E65" s="57">
        <v>525</v>
      </c>
      <c r="F65" s="57">
        <v>550</v>
      </c>
      <c r="G65" s="57">
        <f t="shared" si="4"/>
        <v>566.5</v>
      </c>
      <c r="H65" s="57">
        <v>650</v>
      </c>
      <c r="I65" s="58">
        <f>H65/$I$2</f>
        <v>942.02898550724649</v>
      </c>
      <c r="M65" s="47" t="s">
        <v>179</v>
      </c>
      <c r="N65" s="219">
        <v>650</v>
      </c>
      <c r="O65" s="44">
        <v>325</v>
      </c>
      <c r="P65" s="219">
        <v>0</v>
      </c>
      <c r="Q65" s="221"/>
      <c r="R65" s="44">
        <f>($N$61+N65+O65+P65+Q65)</f>
        <v>2575</v>
      </c>
      <c r="S65" s="202">
        <f t="shared" ref="S65:S72" si="18">R65/$S$60</f>
        <v>3433.3333333333335</v>
      </c>
      <c r="T65" s="202"/>
      <c r="U65" s="47" t="s">
        <v>180</v>
      </c>
    </row>
    <row r="66" spans="1:23">
      <c r="A66" s="34" t="s">
        <v>91</v>
      </c>
      <c r="B66" s="34" t="s">
        <v>92</v>
      </c>
      <c r="C66" s="56" t="s">
        <v>93</v>
      </c>
      <c r="D66" s="57">
        <v>663.51</v>
      </c>
      <c r="E66" s="57">
        <v>700</v>
      </c>
      <c r="F66" s="57">
        <v>735</v>
      </c>
      <c r="G66" s="57">
        <f t="shared" si="4"/>
        <v>757.05000000000007</v>
      </c>
      <c r="H66" s="57">
        <v>755</v>
      </c>
      <c r="I66" s="58">
        <f>H66/$I$2</f>
        <v>1094.2028985507247</v>
      </c>
      <c r="M66" s="43" t="s">
        <v>1090</v>
      </c>
      <c r="N66" s="221">
        <v>1100</v>
      </c>
      <c r="O66" s="29">
        <v>325</v>
      </c>
      <c r="P66" s="221">
        <f>P65</f>
        <v>0</v>
      </c>
      <c r="Q66" s="221"/>
      <c r="R66" s="44">
        <f t="shared" ref="R66:R72" si="19">($N$61+N66+O66+P66+Q66)</f>
        <v>3025</v>
      </c>
      <c r="S66" s="202">
        <f t="shared" si="18"/>
        <v>4033.3333333333335</v>
      </c>
      <c r="T66" s="202"/>
      <c r="U66" s="43" t="s">
        <v>184</v>
      </c>
    </row>
    <row r="67" spans="1:23">
      <c r="A67" s="34" t="s">
        <v>94</v>
      </c>
      <c r="B67" s="34" t="s">
        <v>95</v>
      </c>
      <c r="C67" s="56" t="s">
        <v>96</v>
      </c>
      <c r="D67" s="57">
        <v>744.21</v>
      </c>
      <c r="E67" s="57">
        <v>790</v>
      </c>
      <c r="F67" s="57">
        <v>830</v>
      </c>
      <c r="G67" s="57">
        <f t="shared" si="4"/>
        <v>854.9</v>
      </c>
      <c r="H67" s="57">
        <v>850</v>
      </c>
      <c r="I67" s="58">
        <f>H67/$I$2</f>
        <v>1231.8840579710145</v>
      </c>
      <c r="M67" s="43" t="s">
        <v>185</v>
      </c>
      <c r="N67" s="221">
        <v>1797</v>
      </c>
      <c r="O67" s="29">
        <v>325</v>
      </c>
      <c r="P67" s="221">
        <f t="shared" ref="P67:P72" si="20">P66</f>
        <v>0</v>
      </c>
      <c r="Q67" s="221"/>
      <c r="R67" s="44">
        <f t="shared" si="19"/>
        <v>3722</v>
      </c>
      <c r="S67" s="202">
        <f t="shared" si="18"/>
        <v>4962.666666666667</v>
      </c>
      <c r="T67" s="202"/>
      <c r="U67" s="43" t="s">
        <v>186</v>
      </c>
    </row>
    <row r="68" spans="1:23">
      <c r="A68" s="34" t="s">
        <v>97</v>
      </c>
      <c r="B68" s="34" t="s">
        <v>98</v>
      </c>
      <c r="C68" s="56" t="s">
        <v>99</v>
      </c>
      <c r="D68" s="57">
        <v>919.06</v>
      </c>
      <c r="E68" s="57">
        <v>980</v>
      </c>
      <c r="F68" s="57">
        <v>1025</v>
      </c>
      <c r="G68" s="57">
        <f t="shared" si="4"/>
        <v>1055.75</v>
      </c>
      <c r="H68" s="57">
        <v>1200</v>
      </c>
      <c r="I68" s="58">
        <f>H68/$I$2</f>
        <v>1739.1304347826087</v>
      </c>
      <c r="M68" s="43" t="s">
        <v>190</v>
      </c>
      <c r="N68" s="221">
        <v>2600</v>
      </c>
      <c r="O68" s="29">
        <v>325</v>
      </c>
      <c r="P68" s="221">
        <f t="shared" si="20"/>
        <v>0</v>
      </c>
      <c r="Q68" s="221"/>
      <c r="R68" s="44">
        <f t="shared" si="19"/>
        <v>4525</v>
      </c>
      <c r="S68" s="202">
        <f t="shared" si="18"/>
        <v>6033.333333333333</v>
      </c>
      <c r="T68" s="202"/>
      <c r="U68" s="43" t="s">
        <v>191</v>
      </c>
    </row>
    <row r="69" spans="1:23" s="38" customFormat="1">
      <c r="A69"/>
      <c r="B69"/>
      <c r="C69"/>
      <c r="D69" s="2"/>
      <c r="E69" s="19"/>
      <c r="F69" s="20"/>
      <c r="G69" s="20">
        <f t="shared" si="4"/>
        <v>0</v>
      </c>
      <c r="H69" s="19">
        <f t="shared" si="5"/>
        <v>0</v>
      </c>
      <c r="I69" s="24"/>
      <c r="M69" s="47" t="s">
        <v>1121</v>
      </c>
      <c r="N69" s="219">
        <v>121</v>
      </c>
      <c r="O69" s="44"/>
      <c r="P69" s="221">
        <v>35</v>
      </c>
      <c r="Q69" s="221"/>
      <c r="R69" s="44">
        <f>SUM(N69:Q69)/S60</f>
        <v>208</v>
      </c>
      <c r="S69" s="202">
        <f t="shared" si="18"/>
        <v>277.33333333333331</v>
      </c>
      <c r="T69" s="202"/>
      <c r="U69" s="47"/>
      <c r="V69"/>
      <c r="W69"/>
    </row>
    <row r="70" spans="1:23">
      <c r="A70" s="56" t="s">
        <v>103</v>
      </c>
      <c r="B70" s="56" t="s">
        <v>104</v>
      </c>
      <c r="C70" s="56" t="s">
        <v>105</v>
      </c>
      <c r="D70" s="57">
        <v>219</v>
      </c>
      <c r="E70" s="57">
        <v>138.19999999999999</v>
      </c>
      <c r="F70" s="57">
        <v>140</v>
      </c>
      <c r="G70" s="57">
        <f t="shared" si="4"/>
        <v>144.20000000000002</v>
      </c>
      <c r="H70" s="57">
        <v>160</v>
      </c>
      <c r="I70" s="58">
        <f t="shared" ref="I70:I75" si="21">H70/$I$2</f>
        <v>231.8840579710145</v>
      </c>
      <c r="M70" s="43"/>
      <c r="N70" s="221">
        <v>0</v>
      </c>
      <c r="O70" s="29">
        <v>325</v>
      </c>
      <c r="P70" s="221">
        <f>P69</f>
        <v>35</v>
      </c>
      <c r="Q70" s="221"/>
      <c r="R70" s="44">
        <f t="shared" si="19"/>
        <v>1960</v>
      </c>
      <c r="S70" s="202">
        <f t="shared" si="18"/>
        <v>2613.3333333333335</v>
      </c>
      <c r="T70" s="202"/>
      <c r="U70" s="43"/>
      <c r="V70" s="38"/>
      <c r="W70" s="38"/>
    </row>
    <row r="71" spans="1:23">
      <c r="A71" s="56" t="s">
        <v>107</v>
      </c>
      <c r="B71" s="56" t="s">
        <v>108</v>
      </c>
      <c r="C71" s="56" t="s">
        <v>109</v>
      </c>
      <c r="D71" s="57">
        <v>254</v>
      </c>
      <c r="E71" s="57">
        <v>149.25</v>
      </c>
      <c r="F71" s="57">
        <v>155</v>
      </c>
      <c r="G71" s="57">
        <f t="shared" si="4"/>
        <v>159.65</v>
      </c>
      <c r="H71" s="57">
        <v>165</v>
      </c>
      <c r="I71" s="58">
        <f t="shared" si="21"/>
        <v>239.13043478260872</v>
      </c>
      <c r="M71" s="43"/>
      <c r="N71" s="221">
        <v>0</v>
      </c>
      <c r="O71" s="29">
        <v>325</v>
      </c>
      <c r="P71" s="221">
        <f t="shared" si="20"/>
        <v>35</v>
      </c>
      <c r="Q71" s="221"/>
      <c r="R71" s="44">
        <f t="shared" si="19"/>
        <v>1960</v>
      </c>
      <c r="S71" s="202">
        <f t="shared" si="18"/>
        <v>2613.3333333333335</v>
      </c>
      <c r="T71" s="202"/>
      <c r="U71" s="43"/>
    </row>
    <row r="72" spans="1:23">
      <c r="A72" s="56" t="s">
        <v>110</v>
      </c>
      <c r="B72" s="56" t="s">
        <v>111</v>
      </c>
      <c r="C72" s="56" t="s">
        <v>112</v>
      </c>
      <c r="D72" s="57">
        <v>272</v>
      </c>
      <c r="E72" s="57">
        <v>156.72</v>
      </c>
      <c r="F72" s="57">
        <v>160</v>
      </c>
      <c r="G72" s="57">
        <f t="shared" si="4"/>
        <v>164.8</v>
      </c>
      <c r="H72" s="57">
        <v>170</v>
      </c>
      <c r="I72" s="58">
        <f t="shared" si="21"/>
        <v>246.37681159420291</v>
      </c>
      <c r="M72" s="43"/>
      <c r="N72" s="221">
        <v>0</v>
      </c>
      <c r="O72" s="29">
        <v>325</v>
      </c>
      <c r="P72" s="221">
        <f t="shared" si="20"/>
        <v>35</v>
      </c>
      <c r="Q72" s="221"/>
      <c r="R72" s="44">
        <f t="shared" si="19"/>
        <v>1960</v>
      </c>
      <c r="S72" s="202">
        <f t="shared" si="18"/>
        <v>2613.3333333333335</v>
      </c>
      <c r="T72" s="202"/>
      <c r="U72" s="43"/>
    </row>
    <row r="73" spans="1:23">
      <c r="A73" s="56" t="s">
        <v>113</v>
      </c>
      <c r="B73" s="56" t="s">
        <v>114</v>
      </c>
      <c r="C73" s="56" t="s">
        <v>115</v>
      </c>
      <c r="D73" s="57">
        <v>346</v>
      </c>
      <c r="E73" s="57">
        <v>209.28</v>
      </c>
      <c r="F73" s="57">
        <v>215</v>
      </c>
      <c r="G73" s="57">
        <f t="shared" si="4"/>
        <v>221.45000000000002</v>
      </c>
      <c r="H73" s="57">
        <v>250</v>
      </c>
      <c r="I73" s="58">
        <f t="shared" si="21"/>
        <v>362.31884057971018</v>
      </c>
    </row>
    <row r="74" spans="1:23" ht="15" thickBot="1">
      <c r="A74" s="56" t="s">
        <v>118</v>
      </c>
      <c r="B74" s="56" t="s">
        <v>119</v>
      </c>
      <c r="C74" s="56" t="s">
        <v>120</v>
      </c>
      <c r="D74" s="57">
        <v>433</v>
      </c>
      <c r="E74" s="57">
        <v>296.12</v>
      </c>
      <c r="F74" s="57">
        <v>305</v>
      </c>
      <c r="G74" s="57">
        <f t="shared" si="4"/>
        <v>314.15000000000003</v>
      </c>
      <c r="H74" s="57">
        <v>340</v>
      </c>
      <c r="I74" s="58">
        <f t="shared" si="21"/>
        <v>492.75362318840581</v>
      </c>
    </row>
    <row r="75" spans="1:23" ht="15" thickBot="1">
      <c r="A75" s="56" t="s">
        <v>123</v>
      </c>
      <c r="B75" s="56" t="s">
        <v>124</v>
      </c>
      <c r="C75" s="56" t="s">
        <v>125</v>
      </c>
      <c r="D75" s="57">
        <v>533</v>
      </c>
      <c r="E75" s="57">
        <v>392.18</v>
      </c>
      <c r="F75" s="57">
        <v>405</v>
      </c>
      <c r="G75" s="57">
        <f t="shared" si="4"/>
        <v>417.15000000000003</v>
      </c>
      <c r="H75" s="57">
        <v>580</v>
      </c>
      <c r="I75" s="58">
        <f t="shared" si="21"/>
        <v>840.57971014492762</v>
      </c>
      <c r="M75" s="198" t="s">
        <v>703</v>
      </c>
      <c r="N75" s="24" t="s">
        <v>340</v>
      </c>
      <c r="O75" s="24" t="s">
        <v>341</v>
      </c>
      <c r="P75" s="24" t="s">
        <v>342</v>
      </c>
      <c r="Q75" s="1"/>
      <c r="R75" s="1"/>
      <c r="S75" s="193">
        <v>0.7</v>
      </c>
      <c r="T75" s="318"/>
      <c r="U75" s="14"/>
    </row>
    <row r="76" spans="1:23">
      <c r="D76" s="19"/>
      <c r="E76" s="19"/>
      <c r="F76" s="20"/>
      <c r="G76" s="20">
        <f t="shared" si="4"/>
        <v>0</v>
      </c>
      <c r="H76" s="19">
        <f t="shared" si="5"/>
        <v>0</v>
      </c>
      <c r="I76" s="24"/>
      <c r="M76" s="43" t="s">
        <v>139</v>
      </c>
      <c r="N76" s="221">
        <v>0</v>
      </c>
      <c r="O76" s="221">
        <v>0</v>
      </c>
      <c r="P76" s="221">
        <v>0</v>
      </c>
      <c r="Q76" s="221"/>
      <c r="R76" s="221">
        <f>SUM(N76:Q76)</f>
        <v>0</v>
      </c>
      <c r="S76" s="221">
        <v>0</v>
      </c>
      <c r="T76" s="221"/>
      <c r="U76" s="27" t="s">
        <v>139</v>
      </c>
    </row>
    <row r="77" spans="1:23">
      <c r="A77" s="16" t="s">
        <v>127</v>
      </c>
      <c r="D77" s="2"/>
      <c r="E77" s="19"/>
      <c r="F77" s="20"/>
      <c r="G77" s="20">
        <f t="shared" si="4"/>
        <v>0</v>
      </c>
      <c r="H77" s="19">
        <f t="shared" si="5"/>
        <v>0</v>
      </c>
      <c r="I77" s="24"/>
      <c r="M77" s="43" t="s">
        <v>143</v>
      </c>
      <c r="N77" s="205">
        <v>185</v>
      </c>
      <c r="O77" s="205">
        <v>85</v>
      </c>
      <c r="P77" s="205">
        <v>250</v>
      </c>
      <c r="Q77" s="202"/>
      <c r="R77" s="221">
        <f t="shared" ref="R77:R96" si="22">SUM(N77:Q77)</f>
        <v>520</v>
      </c>
      <c r="S77" s="202">
        <f>CEILING(R77/$S$75,20)</f>
        <v>760</v>
      </c>
      <c r="T77" s="202"/>
      <c r="U77" s="27" t="s">
        <v>135</v>
      </c>
    </row>
    <row r="78" spans="1:23">
      <c r="D78" s="2"/>
      <c r="E78" s="19"/>
      <c r="F78" s="20"/>
      <c r="G78" s="20">
        <f t="shared" ref="G78:G161" si="23">+F78*1.03</f>
        <v>0</v>
      </c>
      <c r="H78" s="19">
        <f t="shared" ref="H78:H102" si="24">G78*(1+$H$2)</f>
        <v>0</v>
      </c>
      <c r="I78" s="24"/>
      <c r="M78" s="43" t="s">
        <v>147</v>
      </c>
      <c r="N78" s="205">
        <v>200</v>
      </c>
      <c r="O78" s="202">
        <f>O77</f>
        <v>85</v>
      </c>
      <c r="P78" s="202">
        <f>P77</f>
        <v>250</v>
      </c>
      <c r="Q78" s="202"/>
      <c r="R78" s="221">
        <f t="shared" si="22"/>
        <v>535</v>
      </c>
      <c r="S78" s="202">
        <f t="shared" ref="S78:S96" si="25">CEILING(R78/$S$75,20)</f>
        <v>780</v>
      </c>
      <c r="T78" s="202"/>
      <c r="U78" s="27" t="s">
        <v>135</v>
      </c>
    </row>
    <row r="79" spans="1:23">
      <c r="A79" s="34"/>
      <c r="B79" s="34" t="s">
        <v>130</v>
      </c>
      <c r="C79" s="34" t="s">
        <v>131</v>
      </c>
      <c r="D79" s="19">
        <v>1673.46</v>
      </c>
      <c r="E79" s="19">
        <f>D79*1.082</f>
        <v>1810.6837200000002</v>
      </c>
      <c r="F79" s="20">
        <v>1885</v>
      </c>
      <c r="G79" s="20">
        <f t="shared" si="23"/>
        <v>1941.55</v>
      </c>
      <c r="H79" s="19">
        <f t="shared" si="24"/>
        <v>2096.8740000000003</v>
      </c>
      <c r="I79" s="24">
        <f>H79/$I$2</f>
        <v>3038.9478260869573</v>
      </c>
      <c r="M79" s="43" t="s">
        <v>151</v>
      </c>
      <c r="N79" s="205">
        <v>233</v>
      </c>
      <c r="O79" s="202">
        <f t="shared" ref="O79:P83" si="26">O78</f>
        <v>85</v>
      </c>
      <c r="P79" s="202">
        <f t="shared" si="26"/>
        <v>250</v>
      </c>
      <c r="Q79" s="202"/>
      <c r="R79" s="221">
        <f t="shared" si="22"/>
        <v>568</v>
      </c>
      <c r="S79" s="202">
        <f t="shared" si="25"/>
        <v>820</v>
      </c>
      <c r="T79" s="202"/>
      <c r="U79" s="27" t="s">
        <v>135</v>
      </c>
      <c r="V79" s="36"/>
    </row>
    <row r="80" spans="1:23">
      <c r="A80" s="34"/>
      <c r="B80" s="34"/>
      <c r="C80" s="34" t="s">
        <v>132</v>
      </c>
      <c r="D80" s="19">
        <v>2051.12</v>
      </c>
      <c r="E80" s="19">
        <f>D80*1.082</f>
        <v>2219.3118399999998</v>
      </c>
      <c r="F80" s="20">
        <f>E80*1.04</f>
        <v>2308.0843135999999</v>
      </c>
      <c r="G80" s="20">
        <f t="shared" si="23"/>
        <v>2377.3268430079997</v>
      </c>
      <c r="H80" s="19">
        <f t="shared" si="24"/>
        <v>2567.5129904486398</v>
      </c>
      <c r="I80" s="24">
        <f>H80/$I$2</f>
        <v>3721.0333194907826</v>
      </c>
      <c r="M80" s="43" t="s">
        <v>155</v>
      </c>
      <c r="N80" s="205">
        <v>272</v>
      </c>
      <c r="O80" s="202">
        <f t="shared" si="26"/>
        <v>85</v>
      </c>
      <c r="P80" s="202">
        <f t="shared" si="26"/>
        <v>250</v>
      </c>
      <c r="Q80" s="202"/>
      <c r="R80" s="221">
        <f t="shared" si="22"/>
        <v>607</v>
      </c>
      <c r="S80" s="202">
        <f t="shared" si="25"/>
        <v>880</v>
      </c>
      <c r="T80" s="202"/>
      <c r="U80" s="27" t="s">
        <v>135</v>
      </c>
      <c r="V80" s="36"/>
    </row>
    <row r="81" spans="1:23">
      <c r="A81" s="34"/>
      <c r="B81" s="34"/>
      <c r="C81" s="56" t="s">
        <v>133</v>
      </c>
      <c r="D81" s="57">
        <v>2051.12</v>
      </c>
      <c r="E81" s="57">
        <f>E80+155</f>
        <v>2374.3118399999998</v>
      </c>
      <c r="F81" s="57">
        <v>2475</v>
      </c>
      <c r="G81" s="57">
        <v>2475</v>
      </c>
      <c r="H81" s="57">
        <v>2360</v>
      </c>
      <c r="I81" s="24">
        <f>H81/$I$2</f>
        <v>3420.289855072464</v>
      </c>
      <c r="M81" s="43" t="s">
        <v>159</v>
      </c>
      <c r="N81" s="205">
        <v>355</v>
      </c>
      <c r="O81" s="202">
        <f t="shared" si="26"/>
        <v>85</v>
      </c>
      <c r="P81" s="202">
        <f t="shared" si="26"/>
        <v>250</v>
      </c>
      <c r="Q81" s="202"/>
      <c r="R81" s="221">
        <f t="shared" si="22"/>
        <v>690</v>
      </c>
      <c r="S81" s="202">
        <f t="shared" si="25"/>
        <v>1000</v>
      </c>
      <c r="T81" s="202"/>
      <c r="U81" s="28" t="s">
        <v>135</v>
      </c>
    </row>
    <row r="82" spans="1:23">
      <c r="A82" s="34"/>
      <c r="B82" s="34"/>
      <c r="C82" s="34"/>
      <c r="D82" s="19"/>
      <c r="E82" s="19"/>
      <c r="F82" s="19"/>
      <c r="G82" s="19"/>
      <c r="H82" s="19"/>
      <c r="I82" s="24"/>
      <c r="M82" s="43" t="s">
        <v>1093</v>
      </c>
      <c r="N82" s="205">
        <v>442</v>
      </c>
      <c r="O82" s="202">
        <f t="shared" si="26"/>
        <v>85</v>
      </c>
      <c r="P82" s="202">
        <f t="shared" si="26"/>
        <v>250</v>
      </c>
      <c r="Q82" s="202"/>
      <c r="R82" s="221">
        <f t="shared" si="22"/>
        <v>777</v>
      </c>
      <c r="S82" s="202">
        <f t="shared" si="25"/>
        <v>1120</v>
      </c>
      <c r="T82" s="202"/>
      <c r="U82" s="27" t="s">
        <v>135</v>
      </c>
    </row>
    <row r="83" spans="1:23">
      <c r="A83" s="61" t="s">
        <v>345</v>
      </c>
      <c r="B83" s="34"/>
      <c r="C83" s="34"/>
      <c r="D83" s="19"/>
      <c r="E83" s="19"/>
      <c r="F83" s="19"/>
      <c r="G83" s="19"/>
      <c r="H83" s="19"/>
      <c r="I83" s="24"/>
      <c r="M83" s="43" t="s">
        <v>1092</v>
      </c>
      <c r="N83" s="205">
        <v>570</v>
      </c>
      <c r="O83" s="202">
        <f t="shared" si="26"/>
        <v>85</v>
      </c>
      <c r="P83" s="202">
        <f t="shared" si="26"/>
        <v>250</v>
      </c>
      <c r="Q83" s="202"/>
      <c r="R83" s="221">
        <f t="shared" si="22"/>
        <v>905</v>
      </c>
      <c r="S83" s="202">
        <f t="shared" si="25"/>
        <v>1300</v>
      </c>
      <c r="T83" s="202"/>
      <c r="U83" s="27" t="s">
        <v>135</v>
      </c>
    </row>
    <row r="84" spans="1:23">
      <c r="A84" s="34"/>
      <c r="B84" s="34"/>
      <c r="C84" s="62" t="s">
        <v>344</v>
      </c>
      <c r="D84" s="57"/>
      <c r="E84" s="57"/>
      <c r="F84" s="57"/>
      <c r="G84" s="57"/>
      <c r="H84" s="63">
        <v>550</v>
      </c>
      <c r="I84" s="24"/>
      <c r="M84" s="138" t="s">
        <v>705</v>
      </c>
      <c r="N84" s="136">
        <v>0</v>
      </c>
      <c r="O84" s="28"/>
      <c r="P84" s="35"/>
      <c r="Q84" s="28"/>
      <c r="R84" s="28"/>
      <c r="S84" s="28"/>
    </row>
    <row r="85" spans="1:23">
      <c r="A85" s="34"/>
      <c r="B85" s="34"/>
      <c r="C85" s="62" t="s">
        <v>37</v>
      </c>
      <c r="D85" s="57"/>
      <c r="E85" s="57"/>
      <c r="F85" s="57"/>
      <c r="G85" s="57">
        <f t="shared" si="23"/>
        <v>0</v>
      </c>
      <c r="H85" s="63">
        <v>1586</v>
      </c>
      <c r="I85" s="24"/>
      <c r="M85" s="138" t="s">
        <v>354</v>
      </c>
      <c r="N85" s="67">
        <v>150</v>
      </c>
      <c r="O85" s="30">
        <f>O83</f>
        <v>85</v>
      </c>
      <c r="P85" s="196">
        <v>50</v>
      </c>
      <c r="Q85" s="30">
        <v>0</v>
      </c>
      <c r="R85" s="221">
        <f t="shared" si="22"/>
        <v>285</v>
      </c>
      <c r="S85" s="202">
        <f t="shared" si="25"/>
        <v>420</v>
      </c>
      <c r="T85" s="322"/>
    </row>
    <row r="86" spans="1:23">
      <c r="C86" s="62" t="s">
        <v>32</v>
      </c>
      <c r="D86" s="63"/>
      <c r="E86" s="57"/>
      <c r="F86" s="57"/>
      <c r="G86" s="57">
        <f t="shared" si="23"/>
        <v>0</v>
      </c>
      <c r="H86" s="63">
        <v>1950</v>
      </c>
      <c r="I86" s="24"/>
      <c r="M86" s="28" t="s">
        <v>353</v>
      </c>
      <c r="N86" s="67">
        <v>1050</v>
      </c>
      <c r="O86" s="30">
        <f>O85</f>
        <v>85</v>
      </c>
      <c r="P86" s="196">
        <v>75</v>
      </c>
      <c r="Q86" s="30">
        <f>$N$102</f>
        <v>15</v>
      </c>
      <c r="R86" s="221">
        <f t="shared" si="22"/>
        <v>1225</v>
      </c>
      <c r="S86" s="202">
        <f t="shared" si="25"/>
        <v>1760</v>
      </c>
      <c r="T86" s="322"/>
    </row>
    <row r="87" spans="1:23">
      <c r="A87" s="16" t="s">
        <v>134</v>
      </c>
      <c r="D87" s="2"/>
      <c r="E87" s="19"/>
      <c r="F87" s="20"/>
      <c r="G87" s="20">
        <f t="shared" si="23"/>
        <v>0</v>
      </c>
      <c r="H87" s="19">
        <f t="shared" si="24"/>
        <v>0</v>
      </c>
      <c r="I87" s="24"/>
      <c r="M87" s="28" t="s">
        <v>704</v>
      </c>
      <c r="N87" s="28"/>
      <c r="O87" s="28"/>
      <c r="P87" s="28"/>
      <c r="Q87" s="28"/>
      <c r="R87" s="28"/>
      <c r="S87" s="28"/>
    </row>
    <row r="88" spans="1:23">
      <c r="D88" s="2"/>
      <c r="E88" s="19"/>
      <c r="F88" s="20"/>
      <c r="G88" s="20">
        <f t="shared" si="23"/>
        <v>0</v>
      </c>
      <c r="H88" s="19">
        <f t="shared" si="24"/>
        <v>0</v>
      </c>
      <c r="I88" s="24"/>
      <c r="M88" s="138" t="s">
        <v>1125</v>
      </c>
      <c r="N88" s="67">
        <v>983</v>
      </c>
      <c r="O88" s="30">
        <f>O86</f>
        <v>85</v>
      </c>
      <c r="P88" s="30">
        <f>P83</f>
        <v>250</v>
      </c>
      <c r="Q88" s="30">
        <f t="shared" ref="Q88:Q96" si="27">$N$102</f>
        <v>15</v>
      </c>
      <c r="R88" s="221">
        <f t="shared" si="22"/>
        <v>1333</v>
      </c>
      <c r="S88" s="202">
        <f t="shared" si="25"/>
        <v>1920</v>
      </c>
      <c r="T88" s="322"/>
    </row>
    <row r="89" spans="1:23">
      <c r="A89" s="38" t="s">
        <v>136</v>
      </c>
      <c r="B89" s="39" t="s">
        <v>137</v>
      </c>
      <c r="C89" s="39" t="s">
        <v>138</v>
      </c>
      <c r="D89" s="40">
        <v>533.55999999999995</v>
      </c>
      <c r="E89" s="19">
        <f t="shared" ref="E89:E95" si="28">D89*1.05</f>
        <v>560.23799999999994</v>
      </c>
      <c r="F89" s="20">
        <f>E89*1.08</f>
        <v>605.05704000000003</v>
      </c>
      <c r="G89" s="20">
        <f t="shared" si="23"/>
        <v>623.20875120000005</v>
      </c>
      <c r="H89" s="19">
        <f t="shared" si="24"/>
        <v>673.06545129600011</v>
      </c>
      <c r="I89" s="24">
        <f t="shared" ref="I89:I95" si="29">H89/$I$2</f>
        <v>975.45717579130462</v>
      </c>
      <c r="M89" s="138" t="s">
        <v>1126</v>
      </c>
      <c r="N89" s="67">
        <v>1083</v>
      </c>
      <c r="O89" s="30">
        <f>O88</f>
        <v>85</v>
      </c>
      <c r="P89" s="30">
        <f>P88</f>
        <v>250</v>
      </c>
      <c r="Q89" s="30">
        <f t="shared" si="27"/>
        <v>15</v>
      </c>
      <c r="R89" s="221">
        <f t="shared" si="22"/>
        <v>1433</v>
      </c>
      <c r="S89" s="202">
        <f t="shared" si="25"/>
        <v>2060</v>
      </c>
      <c r="T89" s="322"/>
    </row>
    <row r="90" spans="1:23">
      <c r="A90" s="34" t="s">
        <v>140</v>
      </c>
      <c r="B90" s="41" t="s">
        <v>141</v>
      </c>
      <c r="C90" s="41" t="s">
        <v>142</v>
      </c>
      <c r="D90" s="42">
        <v>533.55999999999995</v>
      </c>
      <c r="E90" s="19">
        <f t="shared" si="28"/>
        <v>560.23799999999994</v>
      </c>
      <c r="F90" s="20">
        <f t="shared" ref="F90:F95" si="30">E90*1.08</f>
        <v>605.05704000000003</v>
      </c>
      <c r="G90" s="20">
        <f t="shared" si="23"/>
        <v>623.20875120000005</v>
      </c>
      <c r="H90" s="19">
        <f t="shared" si="24"/>
        <v>673.06545129600011</v>
      </c>
      <c r="I90" s="24">
        <f t="shared" si="29"/>
        <v>975.45717579130462</v>
      </c>
      <c r="M90" s="138" t="s">
        <v>1127</v>
      </c>
      <c r="N90" s="67">
        <v>1228</v>
      </c>
      <c r="O90" s="30">
        <f t="shared" ref="O90:P96" si="31">O89</f>
        <v>85</v>
      </c>
      <c r="P90" s="30">
        <f t="shared" si="31"/>
        <v>250</v>
      </c>
      <c r="Q90" s="30">
        <f t="shared" si="27"/>
        <v>15</v>
      </c>
      <c r="R90" s="221">
        <f t="shared" si="22"/>
        <v>1578</v>
      </c>
      <c r="S90" s="202">
        <f t="shared" si="25"/>
        <v>2260</v>
      </c>
      <c r="T90" s="322"/>
      <c r="U90" t="s">
        <v>1128</v>
      </c>
    </row>
    <row r="91" spans="1:23" s="38" customFormat="1">
      <c r="A91" s="34" t="s">
        <v>144</v>
      </c>
      <c r="B91" s="34" t="s">
        <v>145</v>
      </c>
      <c r="C91" s="34" t="s">
        <v>146</v>
      </c>
      <c r="D91" s="19">
        <v>393</v>
      </c>
      <c r="E91" s="19">
        <f t="shared" si="28"/>
        <v>412.65000000000003</v>
      </c>
      <c r="F91" s="20">
        <f t="shared" si="30"/>
        <v>445.66200000000009</v>
      </c>
      <c r="G91" s="20">
        <f t="shared" si="23"/>
        <v>459.03186000000011</v>
      </c>
      <c r="H91" s="19">
        <f t="shared" si="24"/>
        <v>495.75440880000014</v>
      </c>
      <c r="I91" s="24">
        <f t="shared" si="29"/>
        <v>718.48465043478291</v>
      </c>
      <c r="M91" s="138" t="s">
        <v>1130</v>
      </c>
      <c r="N91" s="67">
        <v>3190</v>
      </c>
      <c r="O91" s="30">
        <f t="shared" si="31"/>
        <v>85</v>
      </c>
      <c r="P91" s="30">
        <f t="shared" si="31"/>
        <v>250</v>
      </c>
      <c r="Q91" s="30">
        <f t="shared" si="27"/>
        <v>15</v>
      </c>
      <c r="R91" s="221">
        <f t="shared" si="22"/>
        <v>3540</v>
      </c>
      <c r="S91" s="202">
        <f t="shared" si="25"/>
        <v>5060</v>
      </c>
      <c r="T91" s="322"/>
      <c r="U91" s="153" t="s">
        <v>1129</v>
      </c>
      <c r="V91"/>
      <c r="W91"/>
    </row>
    <row r="92" spans="1:23" s="38" customFormat="1">
      <c r="A92" s="34" t="s">
        <v>148</v>
      </c>
      <c r="B92" s="34" t="s">
        <v>149</v>
      </c>
      <c r="C92" s="34" t="s">
        <v>150</v>
      </c>
      <c r="D92" s="19">
        <v>591.21</v>
      </c>
      <c r="E92" s="19">
        <f t="shared" si="28"/>
        <v>620.77050000000008</v>
      </c>
      <c r="F92" s="20">
        <f t="shared" si="30"/>
        <v>670.43214000000012</v>
      </c>
      <c r="G92" s="20">
        <f t="shared" si="23"/>
        <v>690.54510420000008</v>
      </c>
      <c r="H92" s="19">
        <f t="shared" si="24"/>
        <v>745.78871253600016</v>
      </c>
      <c r="I92" s="24">
        <f t="shared" si="29"/>
        <v>1080.8532065739134</v>
      </c>
      <c r="M92" s="138" t="s">
        <v>1122</v>
      </c>
      <c r="N92" s="67">
        <v>3862</v>
      </c>
      <c r="O92" s="30">
        <f t="shared" si="31"/>
        <v>85</v>
      </c>
      <c r="P92" s="30">
        <f t="shared" si="31"/>
        <v>250</v>
      </c>
      <c r="Q92" s="30">
        <f t="shared" si="27"/>
        <v>15</v>
      </c>
      <c r="R92" s="221">
        <f t="shared" si="22"/>
        <v>4212</v>
      </c>
      <c r="S92" s="202">
        <f t="shared" si="25"/>
        <v>6020</v>
      </c>
      <c r="T92" s="322"/>
      <c r="U92" s="153" t="s">
        <v>1129</v>
      </c>
    </row>
    <row r="93" spans="1:23">
      <c r="A93" s="34" t="s">
        <v>152</v>
      </c>
      <c r="B93" s="34" t="s">
        <v>153</v>
      </c>
      <c r="C93" s="34" t="s">
        <v>154</v>
      </c>
      <c r="D93" s="19">
        <v>402.14</v>
      </c>
      <c r="E93" s="19">
        <f t="shared" si="28"/>
        <v>422.24700000000001</v>
      </c>
      <c r="F93" s="20">
        <f t="shared" si="30"/>
        <v>456.02676000000002</v>
      </c>
      <c r="G93" s="20">
        <f t="shared" si="23"/>
        <v>469.70756280000006</v>
      </c>
      <c r="H93" s="19">
        <f t="shared" si="24"/>
        <v>507.28416782400012</v>
      </c>
      <c r="I93" s="24">
        <f t="shared" si="29"/>
        <v>735.19444612173936</v>
      </c>
      <c r="M93" s="138"/>
      <c r="N93" s="67">
        <v>0</v>
      </c>
      <c r="O93" s="30">
        <f t="shared" si="31"/>
        <v>85</v>
      </c>
      <c r="P93" s="30">
        <f t="shared" si="31"/>
        <v>250</v>
      </c>
      <c r="Q93" s="30">
        <f t="shared" si="27"/>
        <v>15</v>
      </c>
      <c r="R93" s="221">
        <f t="shared" si="22"/>
        <v>350</v>
      </c>
      <c r="S93" s="202">
        <f t="shared" si="25"/>
        <v>500</v>
      </c>
      <c r="T93" s="322"/>
      <c r="U93" s="153" t="s">
        <v>1129</v>
      </c>
      <c r="V93" s="38"/>
      <c r="W93" s="38"/>
    </row>
    <row r="94" spans="1:23">
      <c r="A94" s="56" t="s">
        <v>156</v>
      </c>
      <c r="B94" s="56" t="s">
        <v>157</v>
      </c>
      <c r="C94" s="56" t="s">
        <v>158</v>
      </c>
      <c r="D94" s="57">
        <v>521.25</v>
      </c>
      <c r="E94" s="57">
        <f t="shared" si="28"/>
        <v>547.3125</v>
      </c>
      <c r="F94" s="57">
        <f t="shared" si="30"/>
        <v>591.09750000000008</v>
      </c>
      <c r="G94" s="57">
        <f t="shared" si="23"/>
        <v>608.8304250000001</v>
      </c>
      <c r="H94" s="57">
        <v>410</v>
      </c>
      <c r="I94" s="58">
        <f t="shared" si="29"/>
        <v>594.20289855072474</v>
      </c>
      <c r="M94" s="138" t="s">
        <v>1123</v>
      </c>
      <c r="N94" s="67">
        <v>875</v>
      </c>
      <c r="O94" s="30">
        <f t="shared" si="31"/>
        <v>85</v>
      </c>
      <c r="P94" s="30">
        <f t="shared" si="31"/>
        <v>250</v>
      </c>
      <c r="Q94" s="30">
        <f t="shared" si="27"/>
        <v>15</v>
      </c>
      <c r="R94" s="221">
        <f t="shared" si="22"/>
        <v>1225</v>
      </c>
      <c r="S94" s="202">
        <f t="shared" si="25"/>
        <v>1760</v>
      </c>
      <c r="T94" s="322"/>
      <c r="U94" s="153" t="s">
        <v>1129</v>
      </c>
    </row>
    <row r="95" spans="1:23">
      <c r="A95" s="34" t="s">
        <v>160</v>
      </c>
      <c r="B95" s="34" t="s">
        <v>161</v>
      </c>
      <c r="C95" s="34" t="s">
        <v>162</v>
      </c>
      <c r="D95" s="19">
        <v>549.08000000000004</v>
      </c>
      <c r="E95" s="19">
        <f t="shared" si="28"/>
        <v>576.53400000000011</v>
      </c>
      <c r="F95" s="20">
        <f t="shared" si="30"/>
        <v>622.65672000000018</v>
      </c>
      <c r="G95" s="20">
        <f t="shared" si="23"/>
        <v>641.33642160000022</v>
      </c>
      <c r="H95" s="19">
        <f t="shared" si="24"/>
        <v>692.64333532800026</v>
      </c>
      <c r="I95" s="24">
        <f t="shared" si="29"/>
        <v>1003.8309207652178</v>
      </c>
      <c r="M95" s="138" t="s">
        <v>1124</v>
      </c>
      <c r="N95" s="67">
        <v>1110</v>
      </c>
      <c r="O95" s="30">
        <f t="shared" si="31"/>
        <v>85</v>
      </c>
      <c r="P95" s="30">
        <f t="shared" si="31"/>
        <v>250</v>
      </c>
      <c r="Q95" s="30">
        <f t="shared" si="27"/>
        <v>15</v>
      </c>
      <c r="R95" s="221">
        <f t="shared" si="22"/>
        <v>1460</v>
      </c>
      <c r="S95" s="202">
        <f t="shared" si="25"/>
        <v>2100</v>
      </c>
      <c r="T95" s="322"/>
      <c r="U95" s="153" t="s">
        <v>1129</v>
      </c>
    </row>
    <row r="96" spans="1:23">
      <c r="D96" s="2"/>
      <c r="E96" s="19"/>
      <c r="F96" s="20"/>
      <c r="G96" s="20">
        <f t="shared" si="23"/>
        <v>0</v>
      </c>
      <c r="H96" s="19">
        <f t="shared" si="24"/>
        <v>0</v>
      </c>
      <c r="I96" s="24"/>
      <c r="M96" s="138"/>
      <c r="N96" s="67">
        <v>0</v>
      </c>
      <c r="O96" s="30">
        <f t="shared" si="31"/>
        <v>85</v>
      </c>
      <c r="P96" s="30">
        <f t="shared" si="31"/>
        <v>250</v>
      </c>
      <c r="Q96" s="30">
        <f t="shared" si="27"/>
        <v>15</v>
      </c>
      <c r="R96" s="221">
        <f t="shared" si="22"/>
        <v>350</v>
      </c>
      <c r="S96" s="202">
        <f t="shared" si="25"/>
        <v>500</v>
      </c>
      <c r="T96" s="322"/>
      <c r="U96" s="153" t="s">
        <v>1129</v>
      </c>
    </row>
    <row r="97" spans="1:20">
      <c r="D97" s="2"/>
      <c r="E97" s="19"/>
      <c r="F97" s="20"/>
      <c r="G97" s="20"/>
      <c r="H97" s="19"/>
      <c r="I97" s="24"/>
      <c r="M97" s="138" t="s">
        <v>830</v>
      </c>
      <c r="N97" s="136"/>
      <c r="O97" s="30"/>
      <c r="P97" s="30"/>
      <c r="Q97" s="30"/>
      <c r="R97" s="221"/>
      <c r="S97" s="202"/>
      <c r="T97" s="322"/>
    </row>
    <row r="98" spans="1:20">
      <c r="D98" s="2"/>
      <c r="E98" s="19"/>
      <c r="F98" s="20"/>
      <c r="G98" s="20"/>
      <c r="H98" s="19"/>
      <c r="I98" s="24"/>
      <c r="M98" s="138" t="s">
        <v>1094</v>
      </c>
      <c r="N98" s="67">
        <v>780</v>
      </c>
      <c r="O98" s="30">
        <f>O96</f>
        <v>85</v>
      </c>
      <c r="P98" s="30">
        <v>75</v>
      </c>
      <c r="Q98" s="30">
        <f>$N$102</f>
        <v>15</v>
      </c>
      <c r="R98" s="221">
        <f>SUM(N98:Q98)</f>
        <v>955</v>
      </c>
      <c r="S98" s="202">
        <f>CEILING(R98/$S$75,20)</f>
        <v>1380</v>
      </c>
      <c r="T98" s="322"/>
    </row>
    <row r="99" spans="1:20">
      <c r="A99" s="16" t="s">
        <v>163</v>
      </c>
      <c r="D99" s="2"/>
      <c r="E99" s="19"/>
      <c r="F99" s="20"/>
      <c r="G99" s="20">
        <f t="shared" si="23"/>
        <v>0</v>
      </c>
      <c r="H99" s="19">
        <f t="shared" si="24"/>
        <v>0</v>
      </c>
      <c r="I99" s="24"/>
      <c r="M99" s="28"/>
      <c r="N99" s="136"/>
      <c r="O99" s="28"/>
      <c r="P99" s="136"/>
      <c r="Q99" s="28"/>
      <c r="R99" s="28"/>
      <c r="S99" s="28"/>
    </row>
    <row r="100" spans="1:20">
      <c r="A100" s="16"/>
      <c r="D100" s="2"/>
      <c r="E100" s="19"/>
      <c r="F100" s="20"/>
      <c r="G100" s="20">
        <f t="shared" si="23"/>
        <v>0</v>
      </c>
      <c r="H100" s="19">
        <f t="shared" si="24"/>
        <v>0</v>
      </c>
      <c r="I100" s="24"/>
      <c r="M100" s="417" t="s">
        <v>350</v>
      </c>
      <c r="N100" s="67">
        <v>240</v>
      </c>
      <c r="O100" s="28"/>
      <c r="P100" s="136"/>
      <c r="Q100" s="28"/>
      <c r="R100" s="28"/>
      <c r="S100" s="28"/>
    </row>
    <row r="101" spans="1:20">
      <c r="A101" s="34" t="s">
        <v>164</v>
      </c>
      <c r="B101" s="34" t="s">
        <v>165</v>
      </c>
      <c r="C101" s="34" t="s">
        <v>166</v>
      </c>
      <c r="D101" s="19">
        <v>479.03</v>
      </c>
      <c r="E101" s="19">
        <f>D101*1.082</f>
        <v>518.31046000000003</v>
      </c>
      <c r="F101" s="20">
        <v>581</v>
      </c>
      <c r="G101" s="20">
        <f t="shared" si="23"/>
        <v>598.43000000000006</v>
      </c>
      <c r="H101" s="19">
        <f t="shared" si="24"/>
        <v>646.3044000000001</v>
      </c>
      <c r="I101" s="24">
        <f>H101/$I$2</f>
        <v>936.67304347826109</v>
      </c>
      <c r="M101" s="417" t="s">
        <v>351</v>
      </c>
      <c r="N101" s="67">
        <v>100</v>
      </c>
      <c r="O101" s="28"/>
      <c r="P101" s="136"/>
      <c r="Q101" s="28"/>
      <c r="R101" s="28"/>
      <c r="S101" s="28"/>
    </row>
    <row r="102" spans="1:20">
      <c r="A102" s="34" t="s">
        <v>167</v>
      </c>
      <c r="B102" s="34" t="s">
        <v>168</v>
      </c>
      <c r="C102" s="34" t="s">
        <v>169</v>
      </c>
      <c r="D102" s="19">
        <v>912.79</v>
      </c>
      <c r="E102" s="19">
        <f>D102*1.082</f>
        <v>987.63878</v>
      </c>
      <c r="F102" s="20">
        <v>1019.71</v>
      </c>
      <c r="G102" s="20">
        <f t="shared" si="23"/>
        <v>1050.3013000000001</v>
      </c>
      <c r="H102" s="19">
        <f t="shared" si="24"/>
        <v>1134.3254040000002</v>
      </c>
      <c r="I102" s="24">
        <f>H102/$I$2</f>
        <v>1643.9498608695656</v>
      </c>
      <c r="M102" s="417" t="s">
        <v>352</v>
      </c>
      <c r="N102" s="67">
        <v>15</v>
      </c>
      <c r="O102" s="28"/>
      <c r="P102" s="136"/>
      <c r="Q102" s="28"/>
      <c r="R102" s="28"/>
      <c r="S102" s="28"/>
    </row>
    <row r="103" spans="1:20" ht="15" thickBot="1">
      <c r="A103" s="34"/>
      <c r="B103" s="34"/>
      <c r="C103" s="34"/>
      <c r="D103" s="19"/>
      <c r="E103" s="19"/>
      <c r="F103" s="20"/>
      <c r="G103" s="20"/>
      <c r="H103" s="19"/>
      <c r="I103" s="24"/>
      <c r="M103" s="227"/>
      <c r="N103" s="129"/>
      <c r="P103" s="129"/>
    </row>
    <row r="104" spans="1:20" ht="15" thickBot="1">
      <c r="A104" s="34"/>
      <c r="B104" s="34"/>
      <c r="C104" s="34"/>
      <c r="D104" s="19"/>
      <c r="E104" s="19"/>
      <c r="F104" s="20"/>
      <c r="G104" s="20"/>
      <c r="H104" s="19"/>
      <c r="I104" s="24"/>
      <c r="M104" s="201" t="s">
        <v>866</v>
      </c>
      <c r="N104" s="1"/>
      <c r="O104" s="1"/>
      <c r="P104" s="24" t="s">
        <v>342</v>
      </c>
      <c r="Q104" s="24"/>
      <c r="R104" s="24"/>
      <c r="S104" s="193">
        <v>0.75</v>
      </c>
      <c r="T104" s="418"/>
    </row>
    <row r="105" spans="1:20">
      <c r="A105" s="34"/>
      <c r="B105" s="34"/>
      <c r="C105" s="34"/>
      <c r="D105" s="19"/>
      <c r="E105" s="19"/>
      <c r="F105" s="20"/>
      <c r="G105" s="20"/>
      <c r="H105" s="19"/>
      <c r="I105" s="24"/>
      <c r="M105" s="138" t="s">
        <v>885</v>
      </c>
      <c r="N105" s="1"/>
      <c r="O105" s="1"/>
      <c r="P105" s="24"/>
      <c r="Q105" s="24"/>
      <c r="R105" s="24"/>
      <c r="S105" s="418"/>
      <c r="T105" s="418"/>
    </row>
    <row r="106" spans="1:20">
      <c r="A106" s="34"/>
      <c r="B106" s="34"/>
      <c r="C106" s="34"/>
      <c r="D106" s="19"/>
      <c r="E106" s="19"/>
      <c r="F106" s="20"/>
      <c r="G106" s="20"/>
      <c r="H106" s="19"/>
      <c r="I106" s="24"/>
      <c r="M106" s="138" t="s">
        <v>886</v>
      </c>
      <c r="N106" s="419">
        <v>105</v>
      </c>
      <c r="O106" s="28"/>
      <c r="P106" s="67">
        <v>200</v>
      </c>
      <c r="Q106" s="136"/>
      <c r="R106" s="221">
        <f>SUM(N106:Q106)/S104</f>
        <v>406.66666666666669</v>
      </c>
      <c r="S106" s="202">
        <f>CEILING((R106),5)</f>
        <v>410</v>
      </c>
      <c r="T106" s="202"/>
    </row>
    <row r="107" spans="1:20">
      <c r="A107" s="34"/>
      <c r="B107" s="34"/>
      <c r="C107" s="34"/>
      <c r="D107" s="19"/>
      <c r="E107" s="19"/>
      <c r="F107" s="20"/>
      <c r="G107" s="20"/>
      <c r="H107" s="19"/>
      <c r="I107" s="24"/>
      <c r="M107" s="28" t="s">
        <v>887</v>
      </c>
      <c r="N107" s="196">
        <v>405</v>
      </c>
      <c r="O107" s="28"/>
      <c r="P107" s="67">
        <v>200</v>
      </c>
      <c r="Q107" s="136"/>
      <c r="R107" s="221">
        <f>SUM(N107:Q107)/S104</f>
        <v>806.66666666666663</v>
      </c>
      <c r="S107" s="202">
        <f>CEILING((R107),5)</f>
        <v>810</v>
      </c>
      <c r="T107" s="202"/>
    </row>
    <row r="108" spans="1:20">
      <c r="A108" s="34"/>
      <c r="B108" s="34"/>
      <c r="C108" s="34"/>
      <c r="D108" s="19"/>
      <c r="E108" s="19"/>
      <c r="F108" s="20"/>
      <c r="G108" s="20"/>
      <c r="H108" s="19"/>
      <c r="I108" s="24"/>
      <c r="M108" s="227"/>
      <c r="N108" s="129"/>
      <c r="P108" s="129"/>
    </row>
    <row r="109" spans="1:20">
      <c r="A109" s="34"/>
      <c r="B109" s="34"/>
      <c r="C109" s="34"/>
      <c r="D109" s="19"/>
      <c r="E109" s="19"/>
      <c r="F109" s="20"/>
      <c r="G109" s="20"/>
      <c r="H109" s="19"/>
      <c r="I109" s="24"/>
      <c r="M109" s="227"/>
      <c r="N109" s="129"/>
      <c r="P109" s="129"/>
    </row>
    <row r="110" spans="1:20" ht="15" thickBot="1">
      <c r="A110" s="34"/>
      <c r="B110" s="34"/>
      <c r="C110" s="34"/>
      <c r="D110" s="19"/>
      <c r="E110" s="19"/>
      <c r="F110" s="20"/>
      <c r="G110" s="20"/>
      <c r="H110" s="19"/>
      <c r="I110" s="24"/>
      <c r="M110" s="227"/>
      <c r="N110" s="129"/>
      <c r="P110" s="129"/>
    </row>
    <row r="111" spans="1:20" ht="15" thickBot="1">
      <c r="A111" s="45" t="s">
        <v>170</v>
      </c>
      <c r="B111" s="45" t="s">
        <v>171</v>
      </c>
      <c r="C111" s="45" t="s">
        <v>172</v>
      </c>
      <c r="D111" s="46">
        <v>871.32</v>
      </c>
      <c r="E111" s="46">
        <v>865.03</v>
      </c>
      <c r="F111" s="46">
        <v>870</v>
      </c>
      <c r="G111" s="20">
        <f t="shared" si="23"/>
        <v>896.1</v>
      </c>
      <c r="H111" s="19">
        <f>G111*(1+$H$2)</f>
        <v>967.78800000000012</v>
      </c>
      <c r="I111" s="24">
        <f>H111/$I$2</f>
        <v>1402.5913043478263</v>
      </c>
      <c r="P111" s="231">
        <f>CEILING(P138,25)</f>
        <v>14375</v>
      </c>
      <c r="S111" s="231">
        <f>CEILING(S138,10)</f>
        <v>20800</v>
      </c>
      <c r="T111" s="335"/>
    </row>
    <row r="112" spans="1:20" ht="15" thickBot="1">
      <c r="A112" s="34" t="s">
        <v>173</v>
      </c>
      <c r="B112" s="34" t="s">
        <v>174</v>
      </c>
      <c r="C112" s="34" t="s">
        <v>175</v>
      </c>
      <c r="D112" s="19">
        <v>1335.95</v>
      </c>
      <c r="E112" s="19">
        <v>1367.85</v>
      </c>
      <c r="F112" s="20">
        <v>1485.21</v>
      </c>
      <c r="G112" s="20">
        <f t="shared" si="23"/>
        <v>1529.7663</v>
      </c>
      <c r="H112" s="19">
        <f>G112*(1+$H$2)</f>
        <v>1652.147604</v>
      </c>
      <c r="I112" s="24">
        <f>H112/$I$2</f>
        <v>2394.4168173913044</v>
      </c>
      <c r="M112" s="336" t="s">
        <v>708</v>
      </c>
      <c r="N112" s="337" t="s">
        <v>337</v>
      </c>
      <c r="O112" s="338" t="s">
        <v>336</v>
      </c>
      <c r="P112" s="338" t="s">
        <v>710</v>
      </c>
      <c r="Q112" s="338" t="s">
        <v>338</v>
      </c>
      <c r="R112" s="338" t="s">
        <v>336</v>
      </c>
      <c r="S112" s="339" t="s">
        <v>710</v>
      </c>
      <c r="T112" s="117"/>
    </row>
    <row r="113" spans="1:20">
      <c r="A113" s="34"/>
      <c r="B113" s="34"/>
      <c r="C113" s="34"/>
      <c r="D113" s="19"/>
      <c r="E113" s="19"/>
      <c r="F113" s="20"/>
      <c r="G113" s="20"/>
      <c r="H113" s="19"/>
      <c r="I113" s="24"/>
      <c r="M113" s="340" t="s">
        <v>709</v>
      </c>
      <c r="N113" s="274">
        <f>N3</f>
        <v>1046.0999999999999</v>
      </c>
      <c r="O113" s="341">
        <v>1</v>
      </c>
      <c r="P113" s="342">
        <f>N113*O113</f>
        <v>1046.0999999999999</v>
      </c>
      <c r="Q113" s="274">
        <f>N113/S13</f>
        <v>1494.4285714285713</v>
      </c>
      <c r="R113" s="341">
        <f>O113</f>
        <v>1</v>
      </c>
      <c r="S113" s="262">
        <f>Q113*R113</f>
        <v>1494.4285714285713</v>
      </c>
      <c r="T113" s="276"/>
    </row>
    <row r="114" spans="1:20">
      <c r="A114" s="34" t="s">
        <v>176</v>
      </c>
      <c r="B114" s="34" t="s">
        <v>177</v>
      </c>
      <c r="C114" s="34" t="s">
        <v>178</v>
      </c>
      <c r="D114" s="19">
        <v>390</v>
      </c>
      <c r="E114" s="19">
        <f>D114*1.082</f>
        <v>421.98</v>
      </c>
      <c r="F114" s="20">
        <v>425</v>
      </c>
      <c r="G114" s="20">
        <f t="shared" si="23"/>
        <v>437.75</v>
      </c>
      <c r="H114" s="19">
        <f t="shared" ref="H114:H122" si="32">G114*(1+$H$2)</f>
        <v>472.77000000000004</v>
      </c>
      <c r="I114" s="24">
        <f>H114/$I$2</f>
        <v>685.17391304347836</v>
      </c>
      <c r="M114" s="235" t="str">
        <f>'NEW POOL'!A113</f>
        <v>Jandy 2.7HP Variable Pump</v>
      </c>
      <c r="N114" s="232">
        <f>VLOOKUP(M114,M14:S19,5,FALSE)</f>
        <v>2174.15</v>
      </c>
      <c r="O114" s="233">
        <f>'NEW POOL'!B113</f>
        <v>1</v>
      </c>
      <c r="P114" s="111">
        <f t="shared" ref="P114:P130" si="33">N114*O114</f>
        <v>2174.15</v>
      </c>
      <c r="Q114" s="232">
        <f>VLOOKUP(M114,M14:S19,7,FALSE)</f>
        <v>3110</v>
      </c>
      <c r="R114" s="35">
        <f t="shared" ref="R114:R131" si="34">O114</f>
        <v>1</v>
      </c>
      <c r="S114" s="239">
        <f t="shared" ref="S114:S133" si="35">Q114*R114</f>
        <v>3110</v>
      </c>
      <c r="T114" s="276"/>
    </row>
    <row r="115" spans="1:20">
      <c r="A115" s="34" t="s">
        <v>181</v>
      </c>
      <c r="B115" s="34" t="s">
        <v>182</v>
      </c>
      <c r="C115" s="34" t="s">
        <v>183</v>
      </c>
      <c r="D115" s="19">
        <v>1293</v>
      </c>
      <c r="E115" s="19">
        <f>D115*1.082</f>
        <v>1399.0260000000001</v>
      </c>
      <c r="F115" s="20">
        <v>1410</v>
      </c>
      <c r="G115" s="20">
        <f t="shared" si="23"/>
        <v>1452.3</v>
      </c>
      <c r="H115" s="19">
        <f t="shared" si="32"/>
        <v>1568.4840000000002</v>
      </c>
      <c r="I115" s="24">
        <f>H115/$I$2</f>
        <v>2273.1652173913049</v>
      </c>
      <c r="M115" s="237" t="str">
        <f>'NEW POOL'!A114</f>
        <v>No Auxiliary Pump</v>
      </c>
      <c r="N115" s="236">
        <f>VLOOKUP(M115,M14:S19,5,FALSE)</f>
        <v>0</v>
      </c>
      <c r="O115" s="238">
        <f>'NEW POOL'!B114</f>
        <v>0</v>
      </c>
      <c r="P115" s="240">
        <f t="shared" si="33"/>
        <v>0</v>
      </c>
      <c r="Q115" s="236">
        <f>VLOOKUP(M115,M14:S19,7,FALSE)</f>
        <v>0</v>
      </c>
      <c r="R115" s="241">
        <f t="shared" si="34"/>
        <v>0</v>
      </c>
      <c r="S115" s="242">
        <f t="shared" si="35"/>
        <v>0</v>
      </c>
      <c r="T115" s="276"/>
    </row>
    <row r="116" spans="1:20">
      <c r="A116" s="34"/>
      <c r="B116" s="34"/>
      <c r="C116" s="34"/>
      <c r="D116" s="19"/>
      <c r="E116" s="19"/>
      <c r="F116" s="20"/>
      <c r="G116" s="20">
        <f t="shared" si="23"/>
        <v>0</v>
      </c>
      <c r="H116" s="19">
        <f t="shared" si="32"/>
        <v>0</v>
      </c>
      <c r="I116" s="24"/>
      <c r="M116" s="235" t="str">
        <f>'NEW POOL'!A115</f>
        <v>No Auxiliary Pump</v>
      </c>
      <c r="N116" s="232">
        <f>VLOOKUP(M116,M14:S19,5,FALSE)</f>
        <v>0</v>
      </c>
      <c r="O116" s="234">
        <f>'NEW POOL'!B115</f>
        <v>0</v>
      </c>
      <c r="P116" s="111">
        <f t="shared" si="33"/>
        <v>0</v>
      </c>
      <c r="Q116" s="232">
        <f>VLOOKUP(M116,M14:S19,7,FALSE)</f>
        <v>0</v>
      </c>
      <c r="R116" s="35">
        <f t="shared" si="34"/>
        <v>0</v>
      </c>
      <c r="S116" s="239">
        <f t="shared" si="35"/>
        <v>0</v>
      </c>
      <c r="T116" s="276"/>
    </row>
    <row r="117" spans="1:20">
      <c r="A117" s="45" t="s">
        <v>187</v>
      </c>
      <c r="B117" s="45" t="s">
        <v>188</v>
      </c>
      <c r="C117" s="45" t="s">
        <v>189</v>
      </c>
      <c r="D117" s="46">
        <v>613</v>
      </c>
      <c r="E117" s="46">
        <f>D117*1.082</f>
        <v>663.26600000000008</v>
      </c>
      <c r="F117" s="46">
        <v>680</v>
      </c>
      <c r="G117" s="20">
        <f t="shared" si="23"/>
        <v>700.4</v>
      </c>
      <c r="H117" s="19">
        <f t="shared" si="32"/>
        <v>756.43200000000002</v>
      </c>
      <c r="I117" s="24">
        <f>H117/$I$2</f>
        <v>1096.2782608695654</v>
      </c>
      <c r="M117" s="237" t="str">
        <f>'NEW POOL'!A117</f>
        <v>460 SQFT Cartridge Filter</v>
      </c>
      <c r="N117" s="236">
        <f>VLOOKUP(M117,M23:S28,2,FALSE)</f>
        <v>1174.2</v>
      </c>
      <c r="O117" s="238">
        <f>'NEW POOL'!B117</f>
        <v>1</v>
      </c>
      <c r="P117" s="240">
        <f t="shared" si="33"/>
        <v>1174.2</v>
      </c>
      <c r="Q117" s="236">
        <f>VLOOKUP(M117,M23:S28,7,FALSE)</f>
        <v>1677.4285714285716</v>
      </c>
      <c r="R117" s="241">
        <f t="shared" si="34"/>
        <v>1</v>
      </c>
      <c r="S117" s="242">
        <f t="shared" si="35"/>
        <v>1677.4285714285716</v>
      </c>
      <c r="T117" s="276"/>
    </row>
    <row r="118" spans="1:20">
      <c r="A118" s="34" t="s">
        <v>192</v>
      </c>
      <c r="B118" s="34" t="s">
        <v>193</v>
      </c>
      <c r="C118" s="34" t="s">
        <v>194</v>
      </c>
      <c r="D118" s="19">
        <v>1078</v>
      </c>
      <c r="E118" s="19">
        <f>D118*1.082</f>
        <v>1166.3960000000002</v>
      </c>
      <c r="F118" s="20">
        <v>1135.22</v>
      </c>
      <c r="G118" s="20">
        <f t="shared" si="23"/>
        <v>1169.2766000000001</v>
      </c>
      <c r="H118" s="19">
        <f t="shared" si="32"/>
        <v>1262.8187280000002</v>
      </c>
      <c r="I118" s="24">
        <f>H118/$I$2</f>
        <v>1830.1720695652177</v>
      </c>
      <c r="M118" s="235" t="str">
        <f>'NEW POOL'!A119</f>
        <v>Polaris Alpha IQ</v>
      </c>
      <c r="N118" s="112">
        <f>VLOOKUP(M118,M30:S33,2,FALSE)</f>
        <v>1397.13</v>
      </c>
      <c r="O118" s="234">
        <f>'NEW POOL'!B119</f>
        <v>0</v>
      </c>
      <c r="P118" s="111">
        <f t="shared" si="33"/>
        <v>0</v>
      </c>
      <c r="Q118" s="232">
        <f>VLOOKUP(M118,M31:S33,7,FALSE)</f>
        <v>2000</v>
      </c>
      <c r="R118" s="35">
        <f t="shared" si="34"/>
        <v>0</v>
      </c>
      <c r="S118" s="239">
        <f t="shared" si="35"/>
        <v>0</v>
      </c>
      <c r="T118" s="276"/>
    </row>
    <row r="119" spans="1:20">
      <c r="A119" s="34" t="s">
        <v>195</v>
      </c>
      <c r="B119" s="34" t="s">
        <v>196</v>
      </c>
      <c r="C119" s="34" t="s">
        <v>197</v>
      </c>
      <c r="D119" s="19">
        <v>1522</v>
      </c>
      <c r="E119" s="19">
        <f>D119*1.082</f>
        <v>1646.8040000000001</v>
      </c>
      <c r="F119" s="20">
        <v>1630</v>
      </c>
      <c r="G119" s="20">
        <f t="shared" si="23"/>
        <v>1678.9</v>
      </c>
      <c r="H119" s="19">
        <f t="shared" si="32"/>
        <v>1813.2120000000002</v>
      </c>
      <c r="I119" s="24">
        <f>H119/$I$2</f>
        <v>2627.8434782608701</v>
      </c>
      <c r="M119" s="237" t="str">
        <f>'NEW POOL'!A121</f>
        <v>Jandy 400K BTU - VersaFlo</v>
      </c>
      <c r="N119" s="236">
        <f>VLOOKUP(M119,M36:S39,2,FALSE)</f>
        <v>3297</v>
      </c>
      <c r="O119" s="238">
        <f>R119</f>
        <v>1</v>
      </c>
      <c r="P119" s="240">
        <f t="shared" si="33"/>
        <v>3297</v>
      </c>
      <c r="Q119" s="236">
        <f>VLOOKUP(M119,M36:S39,7,FALSE)</f>
        <v>4710</v>
      </c>
      <c r="R119" s="241">
        <f>IF(Q119&gt;0,1,0)</f>
        <v>1</v>
      </c>
      <c r="S119" s="242">
        <f t="shared" si="35"/>
        <v>4710</v>
      </c>
      <c r="T119" s="276"/>
    </row>
    <row r="120" spans="1:20">
      <c r="A120" s="34"/>
      <c r="B120" s="34"/>
      <c r="C120" s="34"/>
      <c r="D120" s="19"/>
      <c r="E120" s="19"/>
      <c r="F120" s="20"/>
      <c r="G120" s="20"/>
      <c r="H120" s="19"/>
      <c r="I120" s="24"/>
      <c r="M120" s="237" t="str">
        <f>'NEW POOL'!A122</f>
        <v>Upgrade Heater to VersaFlo</v>
      </c>
      <c r="N120" s="236">
        <f>N39</f>
        <v>0</v>
      </c>
      <c r="O120" s="238">
        <f>'NEW POOL'!B122</f>
        <v>0</v>
      </c>
      <c r="P120" s="240">
        <f t="shared" si="33"/>
        <v>0</v>
      </c>
      <c r="Q120" s="236">
        <f>O120*S39</f>
        <v>0</v>
      </c>
      <c r="R120" s="295">
        <f>O120</f>
        <v>0</v>
      </c>
      <c r="S120" s="242">
        <f t="shared" si="35"/>
        <v>0</v>
      </c>
      <c r="T120" s="276"/>
    </row>
    <row r="121" spans="1:20">
      <c r="A121" s="34" t="s">
        <v>198</v>
      </c>
      <c r="B121" s="34" t="s">
        <v>199</v>
      </c>
      <c r="C121" s="34" t="s">
        <v>200</v>
      </c>
      <c r="D121" s="19">
        <v>313</v>
      </c>
      <c r="E121" s="19">
        <f>D121*1.082</f>
        <v>338.666</v>
      </c>
      <c r="F121" s="20">
        <v>345</v>
      </c>
      <c r="G121" s="20">
        <f t="shared" si="23"/>
        <v>355.35</v>
      </c>
      <c r="H121" s="19">
        <f t="shared" si="32"/>
        <v>383.77800000000008</v>
      </c>
      <c r="I121" s="24">
        <f>H121/$I$2</f>
        <v>556.20000000000016</v>
      </c>
      <c r="M121" s="235" t="str">
        <f>'NEW POOL'!A124</f>
        <v>24 Watt - Jandy Nicheless LED</v>
      </c>
      <c r="N121" s="112">
        <f>VLOOKUP(M121,M44:S45,2,FALSE)</f>
        <v>601</v>
      </c>
      <c r="O121" s="234">
        <f>'NEW POOL'!B124</f>
        <v>3</v>
      </c>
      <c r="P121" s="111">
        <f t="shared" si="33"/>
        <v>1803</v>
      </c>
      <c r="Q121" s="232">
        <f>VLOOKUP(M121,M44:S45,7,FALSE)</f>
        <v>860</v>
      </c>
      <c r="R121" s="35">
        <f t="shared" si="34"/>
        <v>3</v>
      </c>
      <c r="S121" s="239">
        <f t="shared" si="35"/>
        <v>2580</v>
      </c>
      <c r="T121" s="276"/>
    </row>
    <row r="122" spans="1:20">
      <c r="A122" s="34" t="s">
        <v>201</v>
      </c>
      <c r="B122" s="34" t="s">
        <v>202</v>
      </c>
      <c r="C122" s="34" t="s">
        <v>203</v>
      </c>
      <c r="D122" s="19">
        <v>530.14</v>
      </c>
      <c r="E122" s="19">
        <f>D122*1.082</f>
        <v>573.61148000000003</v>
      </c>
      <c r="F122" s="20">
        <v>583</v>
      </c>
      <c r="G122" s="20">
        <f t="shared" si="23"/>
        <v>600.49</v>
      </c>
      <c r="H122" s="19">
        <f t="shared" si="32"/>
        <v>648.52920000000006</v>
      </c>
      <c r="I122" s="24">
        <f>H122/$I$2</f>
        <v>939.89739130434793</v>
      </c>
      <c r="M122" s="237" t="str">
        <f>'NEW POOL'!A125</f>
        <v>6 Watt - Jandy Nicheless LED Spa light</v>
      </c>
      <c r="N122" s="236">
        <f>VLOOKUP(M122,M42:S43,2,FALSE)</f>
        <v>528</v>
      </c>
      <c r="O122" s="238">
        <f>'NEW POOL'!B125</f>
        <v>1</v>
      </c>
      <c r="P122" s="240">
        <f t="shared" si="33"/>
        <v>528</v>
      </c>
      <c r="Q122" s="236">
        <f>VLOOKUP(M122,M42:S43,7,FALSE)</f>
        <v>755</v>
      </c>
      <c r="R122" s="241">
        <f t="shared" si="34"/>
        <v>1</v>
      </c>
      <c r="S122" s="242">
        <f t="shared" si="35"/>
        <v>755</v>
      </c>
      <c r="T122" s="276"/>
    </row>
    <row r="123" spans="1:20">
      <c r="A123" s="34"/>
      <c r="B123" s="34"/>
      <c r="C123" s="34"/>
      <c r="D123" s="19"/>
      <c r="E123" s="19"/>
      <c r="F123" s="20"/>
      <c r="G123" s="20"/>
      <c r="H123" s="19"/>
      <c r="I123" s="24"/>
      <c r="M123" s="235" t="s">
        <v>774</v>
      </c>
      <c r="N123" s="232">
        <f>N46</f>
        <v>116.60000000000001</v>
      </c>
      <c r="O123" s="233">
        <v>1</v>
      </c>
      <c r="P123" s="111">
        <f>N123*O123</f>
        <v>116.60000000000001</v>
      </c>
      <c r="Q123" s="232">
        <f>S46</f>
        <v>166.57142857142858</v>
      </c>
      <c r="R123" s="35">
        <v>1</v>
      </c>
      <c r="S123" s="239">
        <f>Q123</f>
        <v>166.57142857142858</v>
      </c>
      <c r="T123" s="276"/>
    </row>
    <row r="124" spans="1:20">
      <c r="A124" s="34" t="s">
        <v>204</v>
      </c>
      <c r="B124" s="34" t="s">
        <v>205</v>
      </c>
      <c r="C124" s="34" t="s">
        <v>206</v>
      </c>
      <c r="D124" s="19">
        <v>0</v>
      </c>
      <c r="E124" s="19">
        <f>D124*1.082</f>
        <v>0</v>
      </c>
      <c r="F124" s="20"/>
      <c r="G124" s="20">
        <f t="shared" si="23"/>
        <v>0</v>
      </c>
      <c r="H124" s="19">
        <f t="shared" ref="H124:H131" si="36">G124*(1+$H$2)</f>
        <v>0</v>
      </c>
      <c r="I124" s="24">
        <f t="shared" ref="I124:I131" si="37">H124/$I$2</f>
        <v>0</v>
      </c>
      <c r="M124" s="237" t="str">
        <f>'NEW POOL'!A127</f>
        <v>Salt/mineral System - Fusion Soft</v>
      </c>
      <c r="N124" s="236">
        <f>VLOOKUP(M124,M49:S57,2,FALSE)</f>
        <v>1000</v>
      </c>
      <c r="O124" s="238">
        <f>'NEW POOL'!B127</f>
        <v>1</v>
      </c>
      <c r="P124" s="240">
        <f t="shared" si="33"/>
        <v>1000</v>
      </c>
      <c r="Q124" s="236">
        <f>VLOOKUP(M124,M49:S57,7,FALSE)</f>
        <v>1430</v>
      </c>
      <c r="R124" s="241">
        <f t="shared" si="34"/>
        <v>1</v>
      </c>
      <c r="S124" s="242">
        <f t="shared" si="35"/>
        <v>1430</v>
      </c>
      <c r="T124" s="276"/>
    </row>
    <row r="125" spans="1:20">
      <c r="A125" s="34" t="s">
        <v>207</v>
      </c>
      <c r="B125" s="34" t="s">
        <v>208</v>
      </c>
      <c r="C125" s="34" t="s">
        <v>209</v>
      </c>
      <c r="D125" s="19">
        <v>738</v>
      </c>
      <c r="E125" s="19">
        <f>D125*1.082</f>
        <v>798.51600000000008</v>
      </c>
      <c r="F125" s="20">
        <v>865</v>
      </c>
      <c r="G125" s="20">
        <f t="shared" si="23"/>
        <v>890.95</v>
      </c>
      <c r="H125" s="19">
        <f t="shared" si="36"/>
        <v>962.22600000000011</v>
      </c>
      <c r="I125" s="24">
        <f t="shared" si="37"/>
        <v>1394.5304347826091</v>
      </c>
      <c r="M125" s="235" t="str">
        <f>'NEW POOL'!A128</f>
        <v>No Sanitation</v>
      </c>
      <c r="N125" s="232">
        <f>VLOOKUP(M125,M49:S57,2,FALSE)</f>
        <v>0</v>
      </c>
      <c r="O125" s="233">
        <f>'NEW POOL'!B128</f>
        <v>0</v>
      </c>
      <c r="P125" s="111">
        <f t="shared" si="33"/>
        <v>0</v>
      </c>
      <c r="Q125" s="232">
        <f>VLOOKUP(M125,M49:S57,7,FALSE)</f>
        <v>0</v>
      </c>
      <c r="R125" s="35">
        <f t="shared" si="34"/>
        <v>0</v>
      </c>
      <c r="S125" s="239">
        <f t="shared" si="35"/>
        <v>0</v>
      </c>
      <c r="T125" s="276"/>
    </row>
    <row r="126" spans="1:20">
      <c r="A126" s="34" t="s">
        <v>210</v>
      </c>
      <c r="B126" s="34" t="s">
        <v>211</v>
      </c>
      <c r="C126" s="34" t="s">
        <v>212</v>
      </c>
      <c r="D126" s="19">
        <v>840</v>
      </c>
      <c r="E126" s="19">
        <f>D126*1.082</f>
        <v>908.88000000000011</v>
      </c>
      <c r="F126" s="20">
        <v>915</v>
      </c>
      <c r="G126" s="20">
        <f t="shared" si="23"/>
        <v>942.45</v>
      </c>
      <c r="H126" s="19">
        <f t="shared" si="36"/>
        <v>1017.8460000000001</v>
      </c>
      <c r="I126" s="24">
        <f t="shared" si="37"/>
        <v>1475.1391304347828</v>
      </c>
      <c r="M126" s="237" t="str">
        <f>'NEW POOL'!A129</f>
        <v>No Sanitation</v>
      </c>
      <c r="N126" s="236">
        <f>VLOOKUP(M126,M49:S57,2,FALSE)</f>
        <v>0</v>
      </c>
      <c r="O126" s="238">
        <f>'NEW POOL'!B129</f>
        <v>0</v>
      </c>
      <c r="P126" s="240">
        <f t="shared" si="33"/>
        <v>0</v>
      </c>
      <c r="Q126" s="236">
        <f>VLOOKUP(M126,M49:S57,7,FALSE)</f>
        <v>0</v>
      </c>
      <c r="R126" s="241">
        <f t="shared" si="34"/>
        <v>0</v>
      </c>
      <c r="S126" s="242">
        <f t="shared" si="35"/>
        <v>0</v>
      </c>
      <c r="T126" s="276"/>
    </row>
    <row r="127" spans="1:20">
      <c r="A127" s="34" t="s">
        <v>213</v>
      </c>
      <c r="B127" s="34" t="s">
        <v>214</v>
      </c>
      <c r="C127" s="34" t="s">
        <v>215</v>
      </c>
      <c r="D127" s="19">
        <v>497.22</v>
      </c>
      <c r="E127" s="19">
        <v>542</v>
      </c>
      <c r="F127" s="20">
        <v>555</v>
      </c>
      <c r="G127" s="20">
        <f t="shared" si="23"/>
        <v>571.65</v>
      </c>
      <c r="H127" s="19">
        <f t="shared" si="36"/>
        <v>617.38200000000006</v>
      </c>
      <c r="I127" s="24">
        <f t="shared" si="37"/>
        <v>894.75652173913056</v>
      </c>
      <c r="M127" s="235" t="str">
        <f>'NEW POOL'!A131</f>
        <v>iAqualink Only PS-4 (H.O. To Provide WiFi) Only use with Infinite Light System</v>
      </c>
      <c r="N127" s="232">
        <f>VLOOKUP(M127,M63:S72,6,FALSE)</f>
        <v>3025</v>
      </c>
      <c r="O127" s="233">
        <f>'NEW POOL'!B131</f>
        <v>1</v>
      </c>
      <c r="P127" s="111">
        <f t="shared" si="33"/>
        <v>3025</v>
      </c>
      <c r="Q127" s="232">
        <f>VLOOKUP(M127,M63:S72,7,FALSE)</f>
        <v>4033.3333333333335</v>
      </c>
      <c r="R127" s="35">
        <f t="shared" si="34"/>
        <v>1</v>
      </c>
      <c r="S127" s="239">
        <f t="shared" si="35"/>
        <v>4033.3333333333335</v>
      </c>
      <c r="T127" s="276"/>
    </row>
    <row r="128" spans="1:20">
      <c r="A128" s="34" t="s">
        <v>217</v>
      </c>
      <c r="B128" s="34" t="s">
        <v>218</v>
      </c>
      <c r="C128" s="34" t="s">
        <v>219</v>
      </c>
      <c r="D128" s="19">
        <v>672.91</v>
      </c>
      <c r="E128" s="19">
        <v>736</v>
      </c>
      <c r="F128" s="20">
        <v>745</v>
      </c>
      <c r="G128" s="20">
        <f t="shared" si="23"/>
        <v>767.35</v>
      </c>
      <c r="H128" s="19">
        <f t="shared" si="36"/>
        <v>828.73800000000006</v>
      </c>
      <c r="I128" s="24">
        <f t="shared" si="37"/>
        <v>1201.0695652173915</v>
      </c>
      <c r="M128" s="237" t="str">
        <f>'NEW POOL'!A138</f>
        <v>No Sheer Descent</v>
      </c>
      <c r="N128" s="236">
        <f>VLOOKUP(M128,M76:S83,6,FALSE)</f>
        <v>0</v>
      </c>
      <c r="O128" s="238">
        <f>'NEW POOL'!B138</f>
        <v>0</v>
      </c>
      <c r="P128" s="240">
        <f t="shared" si="33"/>
        <v>0</v>
      </c>
      <c r="Q128" s="236">
        <f>VLOOKUP(M128,M76:S83,7,FALSE)</f>
        <v>0</v>
      </c>
      <c r="R128" s="241">
        <f t="shared" si="34"/>
        <v>0</v>
      </c>
      <c r="S128" s="242">
        <f t="shared" si="35"/>
        <v>0</v>
      </c>
      <c r="T128" s="276"/>
    </row>
    <row r="129" spans="1:23">
      <c r="A129" s="34" t="s">
        <v>220</v>
      </c>
      <c r="B129" s="34" t="s">
        <v>221</v>
      </c>
      <c r="C129" s="34" t="s">
        <v>222</v>
      </c>
      <c r="D129" s="19">
        <v>36.67</v>
      </c>
      <c r="E129" s="19">
        <f>D129*1.082</f>
        <v>39.676940000000002</v>
      </c>
      <c r="F129" s="20">
        <v>41</v>
      </c>
      <c r="G129" s="20">
        <f t="shared" si="23"/>
        <v>42.230000000000004</v>
      </c>
      <c r="H129" s="19">
        <f t="shared" si="36"/>
        <v>45.60840000000001</v>
      </c>
      <c r="I129" s="24">
        <f t="shared" si="37"/>
        <v>66.099130434782623</v>
      </c>
      <c r="M129" s="235" t="str">
        <f>'NEW POOL'!A139</f>
        <v>No Sheer Descent</v>
      </c>
      <c r="N129" s="232">
        <f>VLOOKUP(M129,M76:S83,6,FALSE)</f>
        <v>0</v>
      </c>
      <c r="O129" s="233">
        <f>'NEW POOL'!B139</f>
        <v>0</v>
      </c>
      <c r="P129" s="111">
        <f t="shared" si="33"/>
        <v>0</v>
      </c>
      <c r="Q129" s="232">
        <f>VLOOKUP(M129,M76:S83,7,FALSE)</f>
        <v>0</v>
      </c>
      <c r="R129" s="35">
        <f t="shared" si="34"/>
        <v>0</v>
      </c>
      <c r="S129" s="239">
        <f t="shared" si="35"/>
        <v>0</v>
      </c>
      <c r="T129" s="276"/>
      <c r="U129" s="14"/>
    </row>
    <row r="130" spans="1:23" s="38" customFormat="1">
      <c r="A130" s="34" t="s">
        <v>223</v>
      </c>
      <c r="B130" s="34" t="s">
        <v>224</v>
      </c>
      <c r="C130" s="34" t="s">
        <v>225</v>
      </c>
      <c r="D130" s="19">
        <v>486</v>
      </c>
      <c r="E130" s="19">
        <f>D130*1.082</f>
        <v>525.85200000000009</v>
      </c>
      <c r="F130" s="20">
        <v>581.45000000000005</v>
      </c>
      <c r="G130" s="20">
        <f t="shared" si="23"/>
        <v>598.89350000000002</v>
      </c>
      <c r="H130" s="19">
        <f t="shared" si="36"/>
        <v>646.80498000000011</v>
      </c>
      <c r="I130" s="24">
        <f t="shared" si="37"/>
        <v>937.39852173913073</v>
      </c>
      <c r="M130" s="237" t="str">
        <f>'NEW POOL'!A141</f>
        <v>No Wok Pot</v>
      </c>
      <c r="N130" s="236">
        <f>VLOOKUP(M130,M87:S96,6,FALSE)</f>
        <v>0</v>
      </c>
      <c r="O130" s="238">
        <f>'NEW POOL'!B141</f>
        <v>0</v>
      </c>
      <c r="P130" s="240">
        <f t="shared" si="33"/>
        <v>0</v>
      </c>
      <c r="Q130" s="236">
        <f>VLOOKUP(M130,M87:S96,7,FALSE)</f>
        <v>0</v>
      </c>
      <c r="R130" s="241">
        <f t="shared" si="34"/>
        <v>0</v>
      </c>
      <c r="S130" s="242">
        <f t="shared" si="35"/>
        <v>0</v>
      </c>
      <c r="T130" s="276"/>
      <c r="V130"/>
      <c r="W130"/>
    </row>
    <row r="131" spans="1:23">
      <c r="A131" s="34" t="s">
        <v>226</v>
      </c>
      <c r="B131" s="34" t="s">
        <v>227</v>
      </c>
      <c r="C131" s="34" t="s">
        <v>228</v>
      </c>
      <c r="D131" s="19">
        <v>117.73</v>
      </c>
      <c r="E131" s="19">
        <f>D131*1.082</f>
        <v>127.38386000000001</v>
      </c>
      <c r="F131" s="20">
        <v>130</v>
      </c>
      <c r="G131" s="20">
        <f t="shared" si="23"/>
        <v>133.9</v>
      </c>
      <c r="H131" s="19">
        <f t="shared" si="36"/>
        <v>144.61200000000002</v>
      </c>
      <c r="I131" s="24">
        <f t="shared" si="37"/>
        <v>209.58260869565223</v>
      </c>
      <c r="M131" s="235" t="str">
        <f>'NEW POOL'!A143</f>
        <v>No Deck Jet or Laminar Jet</v>
      </c>
      <c r="N131" s="232">
        <f>VLOOKUP(M131,M84:S86,6,FALSE)</f>
        <v>0</v>
      </c>
      <c r="O131" s="233">
        <f>'NEW POOL'!B143</f>
        <v>0</v>
      </c>
      <c r="P131" s="111">
        <f>N131*O131</f>
        <v>0</v>
      </c>
      <c r="Q131" s="232">
        <f>VLOOKUP(M131,M84:S86,7,FALSE)</f>
        <v>0</v>
      </c>
      <c r="R131" s="35">
        <f t="shared" si="34"/>
        <v>0</v>
      </c>
      <c r="S131" s="239">
        <f t="shared" si="35"/>
        <v>0</v>
      </c>
      <c r="T131" s="276"/>
      <c r="W131" s="38"/>
    </row>
    <row r="132" spans="1:23">
      <c r="A132" s="34"/>
      <c r="B132" s="34"/>
      <c r="C132" s="34"/>
      <c r="D132" s="19"/>
      <c r="E132" s="19"/>
      <c r="F132" s="20"/>
      <c r="G132" s="20"/>
      <c r="H132" s="19"/>
      <c r="I132" s="24"/>
      <c r="M132" s="237" t="str">
        <f>'NEW POOL'!A145</f>
        <v>No LED Bubbler</v>
      </c>
      <c r="N132" s="236">
        <f>VLOOKUP(M132,M97:S98,6,FALSE)</f>
        <v>0</v>
      </c>
      <c r="O132" s="238">
        <f>'NEW POOL'!B145</f>
        <v>0</v>
      </c>
      <c r="P132" s="240">
        <f>N132*O132</f>
        <v>0</v>
      </c>
      <c r="Q132" s="236">
        <f>VLOOKUP(M132,M97:S98,7,FALSE)</f>
        <v>0</v>
      </c>
      <c r="R132" s="295">
        <f>O132</f>
        <v>0</v>
      </c>
      <c r="S132" s="242">
        <f t="shared" si="35"/>
        <v>0</v>
      </c>
      <c r="T132" s="276"/>
      <c r="W132" s="38"/>
    </row>
    <row r="133" spans="1:23">
      <c r="A133" s="34"/>
      <c r="B133" s="34"/>
      <c r="C133" s="34"/>
      <c r="D133" s="19"/>
      <c r="E133" s="19"/>
      <c r="F133" s="20"/>
      <c r="G133" s="20"/>
      <c r="H133" s="19"/>
      <c r="I133" s="24"/>
      <c r="M133" s="235" t="s">
        <v>780</v>
      </c>
      <c r="N133" s="232">
        <f>IF('NEW POOL'!B57&gt;0,N4,0)</f>
        <v>0</v>
      </c>
      <c r="O133" s="233">
        <f>'NEW POOL'!B57</f>
        <v>0</v>
      </c>
      <c r="P133" s="111">
        <f>N133*O133</f>
        <v>0</v>
      </c>
      <c r="Q133" s="232">
        <f>P133/0.7</f>
        <v>0</v>
      </c>
      <c r="R133" s="119">
        <f>O133</f>
        <v>0</v>
      </c>
      <c r="S133" s="239">
        <f t="shared" si="35"/>
        <v>0</v>
      </c>
      <c r="T133" s="276"/>
      <c r="W133" s="38"/>
    </row>
    <row r="134" spans="1:23">
      <c r="A134" s="34"/>
      <c r="B134" s="34"/>
      <c r="C134" s="34"/>
      <c r="D134" s="19"/>
      <c r="E134" s="19"/>
      <c r="F134" s="20"/>
      <c r="G134" s="20"/>
      <c r="H134" s="19"/>
      <c r="I134" s="24"/>
      <c r="M134" s="407" t="str">
        <f>'NEW POOL'!A133</f>
        <v>No Auto-Fill</v>
      </c>
      <c r="N134" s="408">
        <f>IF(O134&gt;0,N107,0)</f>
        <v>0</v>
      </c>
      <c r="O134" s="409">
        <f>'NEW POOL'!B133</f>
        <v>0</v>
      </c>
      <c r="P134" s="410">
        <f>N134*O134</f>
        <v>0</v>
      </c>
      <c r="Q134" s="411">
        <f>R107</f>
        <v>806.66666666666663</v>
      </c>
      <c r="R134" s="412">
        <f>O134</f>
        <v>0</v>
      </c>
      <c r="S134" s="413">
        <f>Q134*R134</f>
        <v>0</v>
      </c>
      <c r="T134" s="276"/>
      <c r="W134" s="38"/>
    </row>
    <row r="135" spans="1:23" ht="15" thickBot="1">
      <c r="A135" s="34"/>
      <c r="B135" s="34"/>
      <c r="C135" s="34"/>
      <c r="D135" s="19"/>
      <c r="E135" s="19"/>
      <c r="F135" s="20"/>
      <c r="G135" s="20"/>
      <c r="H135" s="19"/>
      <c r="I135" s="24"/>
      <c r="M135" s="266" t="s">
        <v>781</v>
      </c>
      <c r="N135" s="414">
        <f>IF(O135&gt;0,Q7,0)</f>
        <v>65</v>
      </c>
      <c r="O135" s="415">
        <f>IF('NEW POOL'!B18=1,3,0)</f>
        <v>3</v>
      </c>
      <c r="P135" s="111">
        <f>N135*O135</f>
        <v>195</v>
      </c>
      <c r="Q135" s="232">
        <f>P135/0.7</f>
        <v>278.57142857142861</v>
      </c>
      <c r="R135" s="119">
        <f>O135</f>
        <v>3</v>
      </c>
      <c r="S135" s="239">
        <f>Q135*R135</f>
        <v>835.71428571428578</v>
      </c>
      <c r="T135" s="276"/>
      <c r="W135" s="38"/>
    </row>
    <row r="136" spans="1:23" ht="15" thickBot="1">
      <c r="C136" s="34" t="s">
        <v>229</v>
      </c>
      <c r="D136" s="48">
        <v>220</v>
      </c>
      <c r="E136" s="19">
        <f>D136*1.082</f>
        <v>238.04000000000002</v>
      </c>
      <c r="F136" s="20">
        <v>341.76</v>
      </c>
      <c r="G136" s="20">
        <f t="shared" si="23"/>
        <v>352.01280000000003</v>
      </c>
      <c r="H136" s="19">
        <f>G136*(1+$H$2)</f>
        <v>380.17382400000008</v>
      </c>
      <c r="I136" s="24">
        <f>H136/$I$2</f>
        <v>550.97655652173933</v>
      </c>
      <c r="P136" s="334">
        <f>P111</f>
        <v>14375</v>
      </c>
      <c r="S136" s="334">
        <f>S111</f>
        <v>20800</v>
      </c>
      <c r="T136" s="335"/>
    </row>
    <row r="137" spans="1:23">
      <c r="A137" s="16" t="s">
        <v>230</v>
      </c>
      <c r="D137" s="2"/>
      <c r="E137" s="19"/>
      <c r="F137" s="20"/>
      <c r="G137" s="20">
        <f t="shared" si="23"/>
        <v>0</v>
      </c>
      <c r="H137" s="19">
        <f>G137*(1+$H$2)</f>
        <v>0</v>
      </c>
      <c r="I137" s="24"/>
    </row>
    <row r="138" spans="1:23">
      <c r="D138" s="2"/>
      <c r="E138" s="19"/>
      <c r="F138" s="20"/>
      <c r="G138" s="20">
        <f t="shared" si="23"/>
        <v>0</v>
      </c>
      <c r="H138" s="19">
        <f>G138*(1+$H$2)</f>
        <v>0</v>
      </c>
      <c r="I138" s="24"/>
      <c r="P138" s="60">
        <f>SUM(P113:P135)</f>
        <v>14359.050000000001</v>
      </c>
      <c r="S138" s="60">
        <f>SUM(S113:S135)</f>
        <v>20792.476190476191</v>
      </c>
      <c r="T138" s="60"/>
    </row>
    <row r="139" spans="1:23">
      <c r="D139" s="2"/>
      <c r="E139" s="19"/>
      <c r="F139" s="20"/>
      <c r="G139" s="20"/>
      <c r="H139" s="19"/>
      <c r="I139" s="24"/>
      <c r="P139" s="60"/>
      <c r="S139" s="60"/>
      <c r="T139" s="60"/>
    </row>
    <row r="140" spans="1:23">
      <c r="A140" s="34" t="s">
        <v>231</v>
      </c>
      <c r="B140" s="34" t="s">
        <v>232</v>
      </c>
      <c r="C140" s="34" t="s">
        <v>233</v>
      </c>
      <c r="D140" s="49">
        <v>642</v>
      </c>
      <c r="E140" s="19">
        <v>708</v>
      </c>
      <c r="F140" s="20">
        <f>E140*1.05</f>
        <v>743.4</v>
      </c>
      <c r="G140" s="20">
        <f t="shared" si="23"/>
        <v>765.702</v>
      </c>
      <c r="H140" s="19">
        <f t="shared" ref="H140:H171" si="38">G140*(1+$H$2)</f>
        <v>826.95816000000002</v>
      </c>
      <c r="I140" s="24">
        <f>H140/$I$2</f>
        <v>1198.490086956522</v>
      </c>
      <c r="N140" t="s">
        <v>717</v>
      </c>
      <c r="O140" t="s">
        <v>3</v>
      </c>
      <c r="P140" t="s">
        <v>718</v>
      </c>
    </row>
    <row r="141" spans="1:23">
      <c r="A141" s="34" t="s">
        <v>234</v>
      </c>
      <c r="B141" s="34" t="s">
        <v>235</v>
      </c>
      <c r="C141" s="34" t="s">
        <v>236</v>
      </c>
      <c r="D141" s="49">
        <v>642</v>
      </c>
      <c r="E141" s="19">
        <v>708</v>
      </c>
      <c r="F141" s="20">
        <f t="shared" ref="F141:F148" si="39">E141*1.05</f>
        <v>743.4</v>
      </c>
      <c r="G141" s="20">
        <f t="shared" si="23"/>
        <v>765.702</v>
      </c>
      <c r="H141" s="19">
        <f t="shared" si="38"/>
        <v>826.95816000000002</v>
      </c>
      <c r="I141" s="24">
        <f>H141/$I$2</f>
        <v>1198.490086956522</v>
      </c>
      <c r="M141" t="s">
        <v>716</v>
      </c>
      <c r="N141" s="60">
        <f>S113+S114+S115+S116+S117+S118+S119+S121+S122+S124+S125+S126+S133+S135</f>
        <v>16592.571428571428</v>
      </c>
      <c r="O141" s="60">
        <f>N11+S17+S24+S45+S45</f>
        <v>7943</v>
      </c>
      <c r="P141" s="59">
        <f>IF(N141&gt;O141,N141-O141,0)</f>
        <v>8649.5714285714275</v>
      </c>
    </row>
    <row r="142" spans="1:23">
      <c r="A142" s="34" t="s">
        <v>237</v>
      </c>
      <c r="B142" s="34" t="s">
        <v>238</v>
      </c>
      <c r="C142" s="34" t="s">
        <v>239</v>
      </c>
      <c r="D142" s="49">
        <v>491</v>
      </c>
      <c r="E142" s="19">
        <v>560</v>
      </c>
      <c r="F142" s="20">
        <f t="shared" si="39"/>
        <v>588</v>
      </c>
      <c r="G142" s="20">
        <f t="shared" si="23"/>
        <v>605.64</v>
      </c>
      <c r="H142" s="19">
        <f t="shared" si="38"/>
        <v>654.09120000000007</v>
      </c>
      <c r="I142" s="24">
        <f>H142/$I$2</f>
        <v>947.95826086956538</v>
      </c>
    </row>
    <row r="143" spans="1:23">
      <c r="A143" s="34" t="s">
        <v>240</v>
      </c>
      <c r="B143" s="34" t="s">
        <v>241</v>
      </c>
      <c r="C143" s="34" t="s">
        <v>242</v>
      </c>
      <c r="D143" s="49">
        <v>491</v>
      </c>
      <c r="E143" s="19">
        <v>560</v>
      </c>
      <c r="F143" s="20">
        <f t="shared" si="39"/>
        <v>588</v>
      </c>
      <c r="G143" s="20">
        <f t="shared" si="23"/>
        <v>605.64</v>
      </c>
      <c r="H143" s="19">
        <f t="shared" si="38"/>
        <v>654.09120000000007</v>
      </c>
      <c r="I143" s="24">
        <f>H143/$I$2</f>
        <v>947.95826086956538</v>
      </c>
    </row>
    <row r="144" spans="1:23">
      <c r="A144" s="50"/>
      <c r="B144" s="14" t="s">
        <v>243</v>
      </c>
      <c r="C144" s="34"/>
      <c r="D144" s="49">
        <v>212</v>
      </c>
      <c r="E144" s="19">
        <v>239</v>
      </c>
      <c r="F144" s="20">
        <v>380</v>
      </c>
      <c r="G144" s="20">
        <f t="shared" si="23"/>
        <v>391.40000000000003</v>
      </c>
      <c r="H144" s="19">
        <f t="shared" si="38"/>
        <v>422.71200000000005</v>
      </c>
      <c r="I144" s="24">
        <f>H144/0.725</f>
        <v>583.05103448275872</v>
      </c>
    </row>
    <row r="145" spans="1:21">
      <c r="A145" s="50" t="s">
        <v>244</v>
      </c>
      <c r="B145" s="14" t="s">
        <v>245</v>
      </c>
      <c r="C145" s="34"/>
      <c r="D145" s="49">
        <v>290</v>
      </c>
      <c r="E145" s="19">
        <v>285</v>
      </c>
      <c r="F145" s="20">
        <f t="shared" si="39"/>
        <v>299.25</v>
      </c>
      <c r="G145" s="20">
        <f t="shared" si="23"/>
        <v>308.22750000000002</v>
      </c>
      <c r="H145" s="19">
        <f t="shared" si="38"/>
        <v>332.88570000000004</v>
      </c>
      <c r="I145" s="24">
        <f>H145/0.725</f>
        <v>459.15268965517248</v>
      </c>
    </row>
    <row r="146" spans="1:21">
      <c r="A146" s="50" t="s">
        <v>246</v>
      </c>
      <c r="B146" s="14" t="s">
        <v>247</v>
      </c>
      <c r="C146" s="34"/>
      <c r="D146" s="49">
        <v>234</v>
      </c>
      <c r="E146" s="19">
        <v>325</v>
      </c>
      <c r="F146" s="20">
        <f t="shared" si="39"/>
        <v>341.25</v>
      </c>
      <c r="G146" s="20">
        <f t="shared" si="23"/>
        <v>351.48750000000001</v>
      </c>
      <c r="H146" s="19">
        <f t="shared" si="38"/>
        <v>379.60650000000004</v>
      </c>
      <c r="I146" s="24">
        <f>H146/0.725</f>
        <v>523.59517241379319</v>
      </c>
    </row>
    <row r="147" spans="1:21">
      <c r="A147" s="34" t="s">
        <v>248</v>
      </c>
      <c r="B147" s="34" t="s">
        <v>249</v>
      </c>
      <c r="C147" s="34"/>
      <c r="D147" s="49">
        <v>89</v>
      </c>
      <c r="E147" s="19">
        <v>110</v>
      </c>
      <c r="F147" s="20">
        <f t="shared" si="39"/>
        <v>115.5</v>
      </c>
      <c r="G147" s="20">
        <f t="shared" si="23"/>
        <v>118.965</v>
      </c>
      <c r="H147" s="19">
        <f t="shared" si="38"/>
        <v>128.48220000000001</v>
      </c>
      <c r="I147" s="24">
        <f>H147/$I$2</f>
        <v>186.20608695652177</v>
      </c>
    </row>
    <row r="148" spans="1:21">
      <c r="A148" s="34" t="s">
        <v>250</v>
      </c>
      <c r="B148" s="34" t="s">
        <v>251</v>
      </c>
      <c r="C148" s="34"/>
      <c r="D148" s="49">
        <v>89</v>
      </c>
      <c r="E148" s="19">
        <v>130</v>
      </c>
      <c r="F148" s="20">
        <f t="shared" si="39"/>
        <v>136.5</v>
      </c>
      <c r="G148" s="20">
        <f t="shared" si="23"/>
        <v>140.595</v>
      </c>
      <c r="H148" s="19">
        <f t="shared" si="38"/>
        <v>151.8426</v>
      </c>
      <c r="I148" s="24">
        <f>H148/$I$2</f>
        <v>220.0617391304348</v>
      </c>
    </row>
    <row r="149" spans="1:21">
      <c r="D149" s="2"/>
      <c r="E149" s="19"/>
      <c r="F149" s="20"/>
      <c r="G149" s="20">
        <f t="shared" si="23"/>
        <v>0</v>
      </c>
      <c r="H149" s="19">
        <f t="shared" si="38"/>
        <v>0</v>
      </c>
      <c r="I149" s="24"/>
    </row>
    <row r="150" spans="1:21">
      <c r="A150" s="16" t="s">
        <v>252</v>
      </c>
      <c r="D150" s="2"/>
      <c r="E150" s="19"/>
      <c r="F150" s="20"/>
      <c r="G150" s="20">
        <f t="shared" si="23"/>
        <v>0</v>
      </c>
      <c r="H150" s="19">
        <f t="shared" si="38"/>
        <v>0</v>
      </c>
      <c r="I150" s="24"/>
    </row>
    <row r="151" spans="1:21">
      <c r="D151" s="2"/>
      <c r="E151" s="19"/>
      <c r="F151" s="20"/>
      <c r="G151" s="20">
        <f t="shared" si="23"/>
        <v>0</v>
      </c>
      <c r="H151" s="19">
        <f t="shared" si="38"/>
        <v>0</v>
      </c>
      <c r="I151" s="24"/>
    </row>
    <row r="152" spans="1:21">
      <c r="A152" s="34" t="s">
        <v>253</v>
      </c>
      <c r="B152" s="34" t="s">
        <v>254</v>
      </c>
      <c r="D152" s="49">
        <v>162</v>
      </c>
      <c r="E152" s="19">
        <f>D152*1.082</f>
        <v>175.28400000000002</v>
      </c>
      <c r="F152" s="20">
        <f t="shared" ref="F152:F158" si="40">E152*1.05</f>
        <v>184.04820000000004</v>
      </c>
      <c r="G152" s="20">
        <f t="shared" si="23"/>
        <v>189.56964600000003</v>
      </c>
      <c r="H152" s="19">
        <f t="shared" si="38"/>
        <v>204.73521768000006</v>
      </c>
      <c r="I152" s="24">
        <f>H152/0.5</f>
        <v>409.47043536000012</v>
      </c>
      <c r="M152" s="14"/>
      <c r="Q152" s="222"/>
      <c r="R152" s="222"/>
      <c r="S152" s="223"/>
      <c r="T152" s="223"/>
    </row>
    <row r="153" spans="1:21">
      <c r="A153" s="34" t="s">
        <v>255</v>
      </c>
      <c r="B153" s="34" t="s">
        <v>256</v>
      </c>
      <c r="D153" s="49">
        <v>222</v>
      </c>
      <c r="E153" s="19">
        <f t="shared" ref="E153:E158" si="41">D153*1.082</f>
        <v>240.20400000000001</v>
      </c>
      <c r="F153" s="20">
        <f t="shared" si="40"/>
        <v>252.21420000000001</v>
      </c>
      <c r="G153" s="20">
        <f t="shared" si="23"/>
        <v>259.78062599999998</v>
      </c>
      <c r="H153" s="19">
        <f t="shared" si="38"/>
        <v>280.56307607999997</v>
      </c>
      <c r="I153" s="24">
        <f t="shared" ref="I153:I158" si="42">H153/0.5</f>
        <v>561.12615215999995</v>
      </c>
      <c r="M153" s="14"/>
      <c r="N153" s="1"/>
      <c r="O153" s="1"/>
      <c r="P153" s="1"/>
      <c r="Q153" s="1"/>
      <c r="R153" s="1"/>
      <c r="S153" s="1"/>
      <c r="T153" s="1"/>
      <c r="U153" s="1"/>
    </row>
    <row r="154" spans="1:21">
      <c r="A154" s="34" t="s">
        <v>257</v>
      </c>
      <c r="B154" s="34" t="s">
        <v>258</v>
      </c>
      <c r="D154" s="49">
        <v>179.47</v>
      </c>
      <c r="E154" s="19">
        <f t="shared" si="41"/>
        <v>194.18654000000001</v>
      </c>
      <c r="F154" s="20">
        <f t="shared" si="40"/>
        <v>203.89586700000001</v>
      </c>
      <c r="G154" s="20">
        <f t="shared" si="23"/>
        <v>210.01274301000001</v>
      </c>
      <c r="H154" s="19">
        <f t="shared" si="38"/>
        <v>226.81376245080003</v>
      </c>
      <c r="I154" s="24">
        <f t="shared" si="42"/>
        <v>453.62752490160005</v>
      </c>
      <c r="M154" s="14"/>
      <c r="N154" s="1"/>
      <c r="O154" s="1"/>
      <c r="P154" s="1"/>
      <c r="Q154" s="1"/>
      <c r="R154" s="1"/>
      <c r="S154" s="1"/>
      <c r="T154" s="1"/>
      <c r="U154" s="1"/>
    </row>
    <row r="155" spans="1:21">
      <c r="A155" s="34" t="s">
        <v>259</v>
      </c>
      <c r="B155" s="34" t="s">
        <v>260</v>
      </c>
      <c r="D155" s="49">
        <v>241</v>
      </c>
      <c r="E155" s="19">
        <f t="shared" si="41"/>
        <v>260.762</v>
      </c>
      <c r="F155" s="20">
        <f t="shared" si="40"/>
        <v>273.80009999999999</v>
      </c>
      <c r="G155" s="20">
        <f t="shared" si="23"/>
        <v>282.01410299999998</v>
      </c>
      <c r="H155" s="19">
        <f t="shared" si="38"/>
        <v>304.57523123999999</v>
      </c>
      <c r="I155" s="24">
        <f>H155/$I$2</f>
        <v>441.41337860869567</v>
      </c>
      <c r="M155" s="14"/>
      <c r="N155" s="1"/>
      <c r="O155" s="1"/>
      <c r="P155" s="1"/>
      <c r="Q155" s="1"/>
      <c r="R155" s="1"/>
      <c r="S155" s="1"/>
      <c r="T155" s="1"/>
      <c r="U155" s="1"/>
    </row>
    <row r="156" spans="1:21">
      <c r="A156" s="51" t="s">
        <v>261</v>
      </c>
      <c r="B156" s="34" t="s">
        <v>262</v>
      </c>
      <c r="C156" t="s">
        <v>263</v>
      </c>
      <c r="D156" s="49">
        <v>157.69</v>
      </c>
      <c r="E156" s="19">
        <f t="shared" si="41"/>
        <v>170.62058000000002</v>
      </c>
      <c r="F156" s="20">
        <f t="shared" si="40"/>
        <v>179.15160900000004</v>
      </c>
      <c r="G156" s="20">
        <f t="shared" si="23"/>
        <v>184.52615727000006</v>
      </c>
      <c r="H156" s="19">
        <f t="shared" si="38"/>
        <v>199.28824985160009</v>
      </c>
      <c r="I156" s="24">
        <f t="shared" si="42"/>
        <v>398.57649970320017</v>
      </c>
      <c r="M156" s="14"/>
      <c r="O156" s="26"/>
      <c r="S156" s="1"/>
      <c r="T156" s="1"/>
      <c r="U156" s="1"/>
    </row>
    <row r="157" spans="1:21">
      <c r="A157" s="51" t="s">
        <v>264</v>
      </c>
      <c r="B157" s="34" t="s">
        <v>265</v>
      </c>
      <c r="C157" t="s">
        <v>266</v>
      </c>
      <c r="D157" s="49">
        <v>213</v>
      </c>
      <c r="E157" s="19">
        <f t="shared" si="41"/>
        <v>230.46600000000001</v>
      </c>
      <c r="F157" s="20">
        <f t="shared" si="40"/>
        <v>241.98930000000001</v>
      </c>
      <c r="G157" s="20">
        <f t="shared" si="23"/>
        <v>249.24897900000002</v>
      </c>
      <c r="H157" s="19">
        <f t="shared" si="38"/>
        <v>269.18889732000002</v>
      </c>
      <c r="I157" s="24">
        <f t="shared" si="42"/>
        <v>538.37779464000005</v>
      </c>
      <c r="M157" s="14"/>
      <c r="N157" s="1"/>
      <c r="O157" s="1"/>
      <c r="P157" s="1"/>
      <c r="Q157" s="1"/>
      <c r="R157" s="1"/>
      <c r="S157" s="1"/>
      <c r="T157" s="1"/>
      <c r="U157" s="1"/>
    </row>
    <row r="158" spans="1:21">
      <c r="A158" s="17" t="s">
        <v>267</v>
      </c>
      <c r="B158" s="17"/>
      <c r="C158" s="17"/>
      <c r="D158" s="49">
        <v>47</v>
      </c>
      <c r="E158" s="19">
        <f t="shared" si="41"/>
        <v>50.854000000000006</v>
      </c>
      <c r="F158" s="20">
        <f t="shared" si="40"/>
        <v>53.39670000000001</v>
      </c>
      <c r="G158" s="20">
        <f t="shared" si="23"/>
        <v>54.998601000000015</v>
      </c>
      <c r="H158" s="19">
        <f t="shared" si="38"/>
        <v>59.398489080000019</v>
      </c>
      <c r="I158" s="24">
        <f t="shared" si="42"/>
        <v>118.79697816000004</v>
      </c>
      <c r="M158" s="14"/>
      <c r="N158" s="1"/>
      <c r="O158" s="1"/>
      <c r="P158" s="1"/>
      <c r="Q158" s="1"/>
      <c r="R158" s="1"/>
      <c r="S158" s="1"/>
      <c r="T158" s="1"/>
      <c r="U158" s="1"/>
    </row>
    <row r="159" spans="1:21">
      <c r="A159" s="17"/>
      <c r="B159" s="17"/>
      <c r="C159" s="17"/>
      <c r="D159" s="19"/>
      <c r="E159" s="19"/>
      <c r="F159" s="20"/>
      <c r="G159" s="20">
        <f t="shared" si="23"/>
        <v>0</v>
      </c>
      <c r="H159" s="19">
        <f t="shared" si="38"/>
        <v>0</v>
      </c>
      <c r="I159" s="24"/>
      <c r="M159" s="14"/>
      <c r="N159" s="1"/>
      <c r="O159" s="1"/>
      <c r="P159" s="1"/>
      <c r="Q159" s="1"/>
      <c r="R159" s="1"/>
      <c r="S159" s="1"/>
      <c r="T159" s="1"/>
      <c r="U159" s="1"/>
    </row>
    <row r="160" spans="1:21">
      <c r="A160" s="17"/>
      <c r="B160" s="17"/>
      <c r="C160" s="17"/>
      <c r="D160" s="19"/>
      <c r="E160" s="19"/>
      <c r="F160" s="20"/>
      <c r="G160" s="20">
        <f t="shared" si="23"/>
        <v>0</v>
      </c>
      <c r="H160" s="19">
        <f t="shared" si="38"/>
        <v>0</v>
      </c>
      <c r="I160" s="24"/>
      <c r="M160" s="14"/>
    </row>
    <row r="161" spans="1:9">
      <c r="E161" s="19"/>
      <c r="F161" s="20"/>
      <c r="G161" s="20">
        <f t="shared" si="23"/>
        <v>0</v>
      </c>
      <c r="H161" s="19">
        <f t="shared" si="38"/>
        <v>0</v>
      </c>
      <c r="I161" s="24"/>
    </row>
    <row r="162" spans="1:9">
      <c r="A162" s="34" t="s">
        <v>268</v>
      </c>
      <c r="B162" s="34" t="s">
        <v>269</v>
      </c>
      <c r="C162" s="34"/>
      <c r="D162" s="19"/>
      <c r="E162" s="19"/>
      <c r="F162" s="20"/>
      <c r="G162" s="20">
        <f t="shared" ref="G162:G225" si="43">+F162*1.03</f>
        <v>0</v>
      </c>
      <c r="H162" s="19">
        <f t="shared" si="38"/>
        <v>0</v>
      </c>
      <c r="I162" s="24"/>
    </row>
    <row r="163" spans="1:9">
      <c r="A163" s="34"/>
      <c r="B163" s="34" t="s">
        <v>270</v>
      </c>
      <c r="C163" s="34" t="s">
        <v>271</v>
      </c>
      <c r="D163" s="19">
        <v>366.71</v>
      </c>
      <c r="E163" s="19">
        <v>440</v>
      </c>
      <c r="F163" s="20">
        <f>E163*1.08</f>
        <v>475.20000000000005</v>
      </c>
      <c r="G163" s="20">
        <f t="shared" si="43"/>
        <v>489.45600000000007</v>
      </c>
      <c r="H163" s="19">
        <f t="shared" si="38"/>
        <v>528.61248000000012</v>
      </c>
      <c r="I163" s="24">
        <f>H163/$I$2</f>
        <v>766.10504347826111</v>
      </c>
    </row>
    <row r="164" spans="1:9">
      <c r="A164" s="34"/>
      <c r="B164" s="34" t="s">
        <v>272</v>
      </c>
      <c r="C164" s="34" t="s">
        <v>273</v>
      </c>
      <c r="D164" s="19">
        <v>547.89</v>
      </c>
      <c r="E164" s="19">
        <v>630</v>
      </c>
      <c r="F164" s="20">
        <f t="shared" ref="F164:F205" si="44">E164*1.08</f>
        <v>680.40000000000009</v>
      </c>
      <c r="G164" s="20">
        <f t="shared" si="43"/>
        <v>700.81200000000013</v>
      </c>
      <c r="H164" s="19">
        <f t="shared" si="38"/>
        <v>756.87696000000017</v>
      </c>
      <c r="I164" s="24">
        <f t="shared" ref="I164:I203" si="45">H164/$I$2</f>
        <v>1096.9231304347829</v>
      </c>
    </row>
    <row r="165" spans="1:9">
      <c r="A165" s="34" t="s">
        <v>274</v>
      </c>
      <c r="B165" s="34" t="s">
        <v>269</v>
      </c>
      <c r="C165" s="34"/>
      <c r="D165" s="19"/>
      <c r="E165" s="19"/>
      <c r="F165" s="20"/>
      <c r="G165" s="20">
        <f t="shared" si="43"/>
        <v>0</v>
      </c>
      <c r="H165" s="19">
        <f t="shared" si="38"/>
        <v>0</v>
      </c>
      <c r="I165" s="24"/>
    </row>
    <row r="166" spans="1:9">
      <c r="A166" s="34"/>
      <c r="B166" s="34" t="s">
        <v>270</v>
      </c>
      <c r="C166" s="34" t="s">
        <v>275</v>
      </c>
      <c r="D166" s="19">
        <v>453.04</v>
      </c>
      <c r="E166" s="19">
        <v>520</v>
      </c>
      <c r="F166" s="20">
        <f t="shared" si="44"/>
        <v>561.6</v>
      </c>
      <c r="G166" s="20">
        <f t="shared" si="43"/>
        <v>578.44800000000009</v>
      </c>
      <c r="H166" s="19">
        <f t="shared" si="38"/>
        <v>624.72384000000011</v>
      </c>
      <c r="I166" s="24">
        <f t="shared" si="45"/>
        <v>905.39686956521757</v>
      </c>
    </row>
    <row r="167" spans="1:9">
      <c r="A167" s="34"/>
      <c r="B167" s="34" t="s">
        <v>272</v>
      </c>
      <c r="C167" s="34" t="s">
        <v>276</v>
      </c>
      <c r="D167" s="19">
        <v>652.5</v>
      </c>
      <c r="E167" s="19">
        <v>745</v>
      </c>
      <c r="F167" s="20">
        <f t="shared" si="44"/>
        <v>804.6</v>
      </c>
      <c r="G167" s="20">
        <f t="shared" si="43"/>
        <v>828.73800000000006</v>
      </c>
      <c r="H167" s="19">
        <f t="shared" si="38"/>
        <v>895.03704000000016</v>
      </c>
      <c r="I167" s="24">
        <f t="shared" si="45"/>
        <v>1297.1551304347829</v>
      </c>
    </row>
    <row r="168" spans="1:9">
      <c r="A168" s="34"/>
      <c r="B168" s="34"/>
      <c r="C168" s="34"/>
      <c r="D168" s="52"/>
      <c r="E168" s="19"/>
      <c r="F168" s="20"/>
      <c r="G168" s="20">
        <f t="shared" si="43"/>
        <v>0</v>
      </c>
      <c r="H168" s="19">
        <f t="shared" si="38"/>
        <v>0</v>
      </c>
      <c r="I168" s="24"/>
    </row>
    <row r="169" spans="1:9">
      <c r="A169" s="34" t="s">
        <v>277</v>
      </c>
      <c r="B169" s="34" t="s">
        <v>269</v>
      </c>
      <c r="C169" s="34"/>
      <c r="D169" s="19"/>
      <c r="E169" s="19"/>
      <c r="F169" s="20"/>
      <c r="G169" s="20">
        <f t="shared" si="43"/>
        <v>0</v>
      </c>
      <c r="H169" s="19">
        <f t="shared" si="38"/>
        <v>0</v>
      </c>
      <c r="I169" s="24"/>
    </row>
    <row r="170" spans="1:9">
      <c r="A170" s="34"/>
      <c r="B170" s="34" t="s">
        <v>270</v>
      </c>
      <c r="C170" s="34" t="s">
        <v>278</v>
      </c>
      <c r="D170" s="19">
        <v>313.25</v>
      </c>
      <c r="E170" s="19">
        <v>350</v>
      </c>
      <c r="F170" s="20">
        <f t="shared" si="44"/>
        <v>378</v>
      </c>
      <c r="G170" s="20">
        <f t="shared" si="43"/>
        <v>389.34000000000003</v>
      </c>
      <c r="H170" s="19">
        <f t="shared" si="38"/>
        <v>420.48720000000009</v>
      </c>
      <c r="I170" s="24">
        <f t="shared" si="45"/>
        <v>609.40173913043498</v>
      </c>
    </row>
    <row r="171" spans="1:9">
      <c r="A171" s="34"/>
      <c r="B171" s="34" t="s">
        <v>3</v>
      </c>
      <c r="C171" s="34" t="s">
        <v>279</v>
      </c>
      <c r="D171" s="19">
        <v>264.89</v>
      </c>
      <c r="E171" s="19">
        <v>235</v>
      </c>
      <c r="F171" s="20">
        <f t="shared" si="44"/>
        <v>253.8</v>
      </c>
      <c r="G171" s="20">
        <f t="shared" si="43"/>
        <v>261.41400000000004</v>
      </c>
      <c r="H171" s="19">
        <f t="shared" si="38"/>
        <v>282.32712000000009</v>
      </c>
      <c r="I171" s="24">
        <f t="shared" si="45"/>
        <v>409.16973913043495</v>
      </c>
    </row>
    <row r="172" spans="1:9">
      <c r="A172" s="34" t="s">
        <v>280</v>
      </c>
      <c r="B172" s="34" t="s">
        <v>269</v>
      </c>
      <c r="C172" s="34"/>
      <c r="D172" s="19"/>
      <c r="E172" s="19"/>
      <c r="F172" s="20"/>
      <c r="G172" s="20">
        <f t="shared" si="43"/>
        <v>0</v>
      </c>
      <c r="H172" s="19">
        <f t="shared" ref="H172:H203" si="46">G172*(1+$H$2)</f>
        <v>0</v>
      </c>
      <c r="I172" s="24"/>
    </row>
    <row r="173" spans="1:9">
      <c r="A173" s="34"/>
      <c r="B173" s="34" t="s">
        <v>270</v>
      </c>
      <c r="C173" s="34" t="s">
        <v>281</v>
      </c>
      <c r="D173" s="19">
        <v>366.89</v>
      </c>
      <c r="E173" s="19">
        <v>395</v>
      </c>
      <c r="F173" s="20">
        <f t="shared" si="44"/>
        <v>426.6</v>
      </c>
      <c r="G173" s="20">
        <f t="shared" si="43"/>
        <v>439.39800000000002</v>
      </c>
      <c r="H173" s="19">
        <f t="shared" si="46"/>
        <v>474.54984000000007</v>
      </c>
      <c r="I173" s="24">
        <f t="shared" si="45"/>
        <v>687.75339130434804</v>
      </c>
    </row>
    <row r="174" spans="1:9">
      <c r="A174" s="34"/>
      <c r="B174" s="34" t="s">
        <v>3</v>
      </c>
      <c r="C174" s="34" t="s">
        <v>282</v>
      </c>
      <c r="D174" s="19">
        <v>290.7</v>
      </c>
      <c r="E174" s="19">
        <v>315</v>
      </c>
      <c r="F174" s="20">
        <f t="shared" si="44"/>
        <v>340.20000000000005</v>
      </c>
      <c r="G174" s="20">
        <f t="shared" si="43"/>
        <v>350.40600000000006</v>
      </c>
      <c r="H174" s="19">
        <f t="shared" si="46"/>
        <v>378.43848000000008</v>
      </c>
      <c r="I174" s="24">
        <f t="shared" si="45"/>
        <v>548.46156521739147</v>
      </c>
    </row>
    <row r="175" spans="1:9">
      <c r="A175" s="34" t="s">
        <v>283</v>
      </c>
      <c r="B175" s="34" t="s">
        <v>269</v>
      </c>
      <c r="C175" s="34"/>
      <c r="D175" s="19"/>
      <c r="E175" s="19"/>
      <c r="F175" s="20"/>
      <c r="G175" s="20">
        <f t="shared" si="43"/>
        <v>0</v>
      </c>
      <c r="H175" s="19">
        <f t="shared" si="46"/>
        <v>0</v>
      </c>
      <c r="I175" s="24"/>
    </row>
    <row r="176" spans="1:9">
      <c r="A176" s="34"/>
      <c r="B176" s="34" t="s">
        <v>270</v>
      </c>
      <c r="C176" s="34"/>
      <c r="D176" s="19">
        <v>427.4</v>
      </c>
      <c r="E176" s="19">
        <v>460</v>
      </c>
      <c r="F176" s="20">
        <f t="shared" si="44"/>
        <v>496.8</v>
      </c>
      <c r="G176" s="20">
        <f t="shared" si="43"/>
        <v>511.70400000000001</v>
      </c>
      <c r="H176" s="19">
        <f t="shared" si="46"/>
        <v>552.64032000000009</v>
      </c>
      <c r="I176" s="24">
        <f t="shared" si="45"/>
        <v>800.92800000000022</v>
      </c>
    </row>
    <row r="177" spans="1:23">
      <c r="A177" s="34"/>
      <c r="B177" s="34" t="s">
        <v>3</v>
      </c>
      <c r="C177" s="34"/>
      <c r="D177" s="19">
        <f>952-D176</f>
        <v>524.6</v>
      </c>
      <c r="E177" s="19">
        <v>740</v>
      </c>
      <c r="F177" s="20">
        <f t="shared" si="44"/>
        <v>799.2</v>
      </c>
      <c r="G177" s="20">
        <f t="shared" si="43"/>
        <v>823.17600000000004</v>
      </c>
      <c r="H177" s="19">
        <f t="shared" si="46"/>
        <v>889.03008000000011</v>
      </c>
      <c r="I177" s="24">
        <f t="shared" si="45"/>
        <v>1288.4493913043482</v>
      </c>
    </row>
    <row r="178" spans="1:23">
      <c r="A178" s="34" t="s">
        <v>284</v>
      </c>
      <c r="B178" s="34" t="s">
        <v>269</v>
      </c>
      <c r="C178" s="34"/>
      <c r="D178" s="19"/>
      <c r="E178" s="19"/>
      <c r="F178" s="20"/>
      <c r="G178" s="20">
        <f t="shared" si="43"/>
        <v>0</v>
      </c>
      <c r="H178" s="19">
        <f t="shared" si="46"/>
        <v>0</v>
      </c>
      <c r="I178" s="24"/>
    </row>
    <row r="179" spans="1:23">
      <c r="A179" s="34"/>
      <c r="B179" s="34" t="s">
        <v>270</v>
      </c>
      <c r="C179" s="34"/>
      <c r="D179" s="19">
        <f>427.4+95</f>
        <v>522.4</v>
      </c>
      <c r="E179" s="19">
        <v>560</v>
      </c>
      <c r="F179" s="20">
        <f t="shared" si="44"/>
        <v>604.80000000000007</v>
      </c>
      <c r="G179" s="20">
        <f t="shared" si="43"/>
        <v>622.94400000000007</v>
      </c>
      <c r="H179" s="19">
        <f t="shared" si="46"/>
        <v>672.77952000000016</v>
      </c>
      <c r="I179" s="24">
        <f>H179/$I$2</f>
        <v>975.04278260869592</v>
      </c>
    </row>
    <row r="180" spans="1:23">
      <c r="A180" s="34"/>
      <c r="B180" s="34" t="s">
        <v>3</v>
      </c>
      <c r="C180" s="34"/>
      <c r="D180" s="19">
        <f>(952-D179)+80</f>
        <v>509.6</v>
      </c>
      <c r="E180" s="19">
        <v>555</v>
      </c>
      <c r="F180" s="20">
        <f t="shared" si="44"/>
        <v>599.40000000000009</v>
      </c>
      <c r="G180" s="20">
        <f t="shared" si="43"/>
        <v>617.38200000000006</v>
      </c>
      <c r="H180" s="19">
        <f t="shared" si="46"/>
        <v>666.77256000000011</v>
      </c>
      <c r="I180" s="24">
        <f>H180/$I$2</f>
        <v>966.33704347826108</v>
      </c>
    </row>
    <row r="181" spans="1:23">
      <c r="A181" s="34"/>
      <c r="B181" s="34"/>
      <c r="C181" s="34"/>
      <c r="D181" s="19"/>
      <c r="E181" s="19"/>
      <c r="F181" s="20"/>
      <c r="G181" s="20">
        <f t="shared" si="43"/>
        <v>0</v>
      </c>
      <c r="H181" s="19">
        <f t="shared" si="46"/>
        <v>0</v>
      </c>
      <c r="I181" s="24"/>
    </row>
    <row r="182" spans="1:23">
      <c r="A182" s="53" t="s">
        <v>285</v>
      </c>
      <c r="B182" s="54"/>
      <c r="C182" s="54"/>
      <c r="D182" s="55">
        <f>2*80</f>
        <v>160</v>
      </c>
      <c r="E182" s="19">
        <v>175</v>
      </c>
      <c r="F182" s="20">
        <f t="shared" si="44"/>
        <v>189</v>
      </c>
      <c r="G182" s="20">
        <f t="shared" si="43"/>
        <v>194.67000000000002</v>
      </c>
      <c r="H182" s="19">
        <f t="shared" si="46"/>
        <v>210.24360000000004</v>
      </c>
      <c r="I182" s="24">
        <f t="shared" si="45"/>
        <v>304.70086956521749</v>
      </c>
    </row>
    <row r="183" spans="1:23">
      <c r="A183" s="34" t="s">
        <v>286</v>
      </c>
      <c r="B183" s="34"/>
      <c r="C183" s="34" t="s">
        <v>287</v>
      </c>
      <c r="D183" s="19">
        <v>1640.23</v>
      </c>
      <c r="E183" s="19">
        <v>1820</v>
      </c>
      <c r="F183" s="20">
        <f t="shared" si="44"/>
        <v>1965.6000000000001</v>
      </c>
      <c r="G183" s="20">
        <f t="shared" si="43"/>
        <v>2024.5680000000002</v>
      </c>
      <c r="H183" s="19">
        <f t="shared" si="46"/>
        <v>2186.5334400000002</v>
      </c>
      <c r="I183" s="24">
        <f t="shared" si="45"/>
        <v>3168.8890434782616</v>
      </c>
    </row>
    <row r="184" spans="1:23">
      <c r="A184" s="14" t="s">
        <v>288</v>
      </c>
      <c r="D184" s="2">
        <f>6*80</f>
        <v>480</v>
      </c>
      <c r="E184" s="19">
        <v>490</v>
      </c>
      <c r="F184" s="20">
        <f t="shared" si="44"/>
        <v>529.20000000000005</v>
      </c>
      <c r="G184" s="20">
        <f t="shared" si="43"/>
        <v>545.07600000000002</v>
      </c>
      <c r="H184" s="19">
        <f t="shared" si="46"/>
        <v>588.68208000000004</v>
      </c>
      <c r="I184" s="24">
        <f t="shared" si="45"/>
        <v>853.16243478260878</v>
      </c>
    </row>
    <row r="185" spans="1:23" s="38" customFormat="1">
      <c r="A185" t="s">
        <v>289</v>
      </c>
      <c r="B185"/>
      <c r="C185"/>
      <c r="D185" s="2" t="s">
        <v>3</v>
      </c>
      <c r="E185" s="19"/>
      <c r="F185" s="20"/>
      <c r="G185" s="20">
        <f t="shared" si="43"/>
        <v>0</v>
      </c>
      <c r="H185" s="19">
        <f t="shared" si="46"/>
        <v>0</v>
      </c>
      <c r="I185" s="24"/>
      <c r="M185"/>
      <c r="N185"/>
      <c r="O185"/>
      <c r="P185"/>
      <c r="Q185"/>
      <c r="R185"/>
      <c r="S185"/>
      <c r="T185"/>
      <c r="U185"/>
      <c r="V185"/>
      <c r="W185"/>
    </row>
    <row r="186" spans="1:23">
      <c r="A186" s="34" t="s">
        <v>290</v>
      </c>
      <c r="B186" s="34" t="s">
        <v>291</v>
      </c>
      <c r="C186" s="34"/>
      <c r="D186" s="19">
        <v>403.97</v>
      </c>
      <c r="E186" s="19">
        <f>D186*1.082</f>
        <v>437.09554000000009</v>
      </c>
      <c r="F186" s="20">
        <f t="shared" si="44"/>
        <v>472.06318320000014</v>
      </c>
      <c r="G186" s="20">
        <f t="shared" si="43"/>
        <v>486.22507869600014</v>
      </c>
      <c r="H186" s="19">
        <f t="shared" si="46"/>
        <v>525.12308499168023</v>
      </c>
      <c r="I186" s="24">
        <f t="shared" si="45"/>
        <v>761.04794926330476</v>
      </c>
      <c r="V186" s="38"/>
      <c r="W186" s="38"/>
    </row>
    <row r="187" spans="1:23">
      <c r="A187" s="34" t="s">
        <v>292</v>
      </c>
      <c r="B187" s="34" t="s">
        <v>293</v>
      </c>
      <c r="C187" s="34"/>
      <c r="D187" s="19">
        <v>566.45000000000005</v>
      </c>
      <c r="E187" s="19">
        <f t="shared" ref="E187:E200" si="47">D187*1.082</f>
        <v>612.89890000000014</v>
      </c>
      <c r="F187" s="20">
        <f t="shared" si="44"/>
        <v>661.93081200000017</v>
      </c>
      <c r="G187" s="20">
        <f t="shared" si="43"/>
        <v>681.78873636000014</v>
      </c>
      <c r="H187" s="19">
        <f t="shared" si="46"/>
        <v>736.33183526880021</v>
      </c>
      <c r="I187" s="24">
        <f t="shared" si="45"/>
        <v>1067.1475873460874</v>
      </c>
    </row>
    <row r="188" spans="1:23">
      <c r="A188" s="34" t="s">
        <v>294</v>
      </c>
      <c r="B188" s="34" t="s">
        <v>295</v>
      </c>
      <c r="C188" s="34"/>
      <c r="D188" s="19">
        <v>829.89</v>
      </c>
      <c r="E188" s="19">
        <f t="shared" si="47"/>
        <v>897.94098000000008</v>
      </c>
      <c r="F188" s="20">
        <f t="shared" si="44"/>
        <v>969.77625840000019</v>
      </c>
      <c r="G188" s="20">
        <f t="shared" si="43"/>
        <v>998.86954615200023</v>
      </c>
      <c r="H188" s="19">
        <f t="shared" si="46"/>
        <v>1078.7791098441603</v>
      </c>
      <c r="I188" s="24">
        <f t="shared" si="45"/>
        <v>1563.4479852813918</v>
      </c>
    </row>
    <row r="189" spans="1:23">
      <c r="A189" s="34" t="s">
        <v>296</v>
      </c>
      <c r="B189" s="34" t="s">
        <v>297</v>
      </c>
      <c r="C189" s="34" t="s">
        <v>298</v>
      </c>
      <c r="D189" s="19">
        <v>64</v>
      </c>
      <c r="E189" s="19">
        <f t="shared" si="47"/>
        <v>69.248000000000005</v>
      </c>
      <c r="F189" s="20">
        <f t="shared" si="44"/>
        <v>74.787840000000017</v>
      </c>
      <c r="G189" s="20">
        <f t="shared" si="43"/>
        <v>77.031475200000017</v>
      </c>
      <c r="H189" s="19">
        <f t="shared" si="46"/>
        <v>83.193993216000024</v>
      </c>
      <c r="I189" s="24">
        <f t="shared" si="45"/>
        <v>120.5710046608696</v>
      </c>
    </row>
    <row r="190" spans="1:23">
      <c r="A190" s="34" t="s">
        <v>299</v>
      </c>
      <c r="B190" s="34" t="s">
        <v>300</v>
      </c>
      <c r="C190" s="34" t="s">
        <v>301</v>
      </c>
      <c r="D190" s="19">
        <v>256.3</v>
      </c>
      <c r="E190" s="19">
        <f t="shared" si="47"/>
        <v>277.31660000000005</v>
      </c>
      <c r="F190" s="20">
        <f t="shared" si="44"/>
        <v>299.50192800000008</v>
      </c>
      <c r="G190" s="20">
        <f t="shared" si="43"/>
        <v>308.4869858400001</v>
      </c>
      <c r="H190" s="19">
        <f t="shared" si="46"/>
        <v>333.16594470720014</v>
      </c>
      <c r="I190" s="24">
        <f t="shared" si="45"/>
        <v>482.84919522782633</v>
      </c>
    </row>
    <row r="191" spans="1:23">
      <c r="A191" s="34" t="s">
        <v>302</v>
      </c>
      <c r="B191" s="34" t="s">
        <v>303</v>
      </c>
      <c r="C191" s="34" t="s">
        <v>304</v>
      </c>
      <c r="D191" s="19">
        <v>266.64</v>
      </c>
      <c r="E191" s="19">
        <f t="shared" si="47"/>
        <v>288.50448</v>
      </c>
      <c r="F191" s="20">
        <f t="shared" si="44"/>
        <v>311.58483840000002</v>
      </c>
      <c r="G191" s="20">
        <f t="shared" si="43"/>
        <v>320.93238355200003</v>
      </c>
      <c r="H191" s="19">
        <f t="shared" si="46"/>
        <v>346.60697423616006</v>
      </c>
      <c r="I191" s="24">
        <f t="shared" si="45"/>
        <v>502.32894816834795</v>
      </c>
    </row>
    <row r="192" spans="1:23">
      <c r="A192" s="34" t="s">
        <v>305</v>
      </c>
      <c r="B192" s="34" t="s">
        <v>306</v>
      </c>
      <c r="C192" s="56" t="s">
        <v>307</v>
      </c>
      <c r="D192" s="57">
        <v>547.13</v>
      </c>
      <c r="E192" s="57">
        <f t="shared" si="47"/>
        <v>591.99466000000007</v>
      </c>
      <c r="F192" s="57">
        <f t="shared" si="44"/>
        <v>639.35423280000009</v>
      </c>
      <c r="G192" s="57">
        <f t="shared" si="43"/>
        <v>658.5348597840001</v>
      </c>
      <c r="H192" s="57">
        <f t="shared" si="46"/>
        <v>711.21764856672019</v>
      </c>
      <c r="I192" s="58">
        <f t="shared" si="45"/>
        <v>1030.7502153140872</v>
      </c>
    </row>
    <row r="193" spans="1:21">
      <c r="A193" s="34" t="s">
        <v>308</v>
      </c>
      <c r="B193" s="34" t="s">
        <v>309</v>
      </c>
      <c r="C193" s="34" t="s">
        <v>310</v>
      </c>
      <c r="D193" s="19">
        <v>102.6</v>
      </c>
      <c r="E193" s="19">
        <f t="shared" si="47"/>
        <v>111.0132</v>
      </c>
      <c r="F193" s="20">
        <f t="shared" si="44"/>
        <v>119.894256</v>
      </c>
      <c r="G193" s="20">
        <f t="shared" si="43"/>
        <v>123.49108368</v>
      </c>
      <c r="H193" s="19">
        <f t="shared" si="46"/>
        <v>133.37037037440001</v>
      </c>
      <c r="I193" s="24">
        <f t="shared" si="45"/>
        <v>193.29039184695654</v>
      </c>
    </row>
    <row r="194" spans="1:21">
      <c r="A194" s="34" t="s">
        <v>311</v>
      </c>
      <c r="B194" s="34" t="s">
        <v>312</v>
      </c>
      <c r="C194" s="34" t="s">
        <v>313</v>
      </c>
      <c r="D194" s="19">
        <v>6.21</v>
      </c>
      <c r="E194" s="19">
        <f t="shared" si="47"/>
        <v>6.71922</v>
      </c>
      <c r="F194" s="20">
        <f t="shared" si="44"/>
        <v>7.2567576000000003</v>
      </c>
      <c r="G194" s="20">
        <f t="shared" si="43"/>
        <v>7.4744603280000002</v>
      </c>
      <c r="H194" s="19">
        <f t="shared" si="46"/>
        <v>8.0724171542400001</v>
      </c>
      <c r="I194" s="24">
        <f t="shared" si="45"/>
        <v>11.699155296000001</v>
      </c>
      <c r="N194" s="38"/>
      <c r="O194" s="38"/>
      <c r="P194" s="38"/>
      <c r="Q194" s="38"/>
      <c r="R194" s="38"/>
      <c r="S194" s="38"/>
      <c r="T194" s="38"/>
      <c r="U194" s="38"/>
    </row>
    <row r="195" spans="1:21">
      <c r="A195" s="34" t="s">
        <v>314</v>
      </c>
      <c r="B195" s="34"/>
      <c r="C195" s="34"/>
      <c r="D195" s="2">
        <v>80</v>
      </c>
      <c r="E195" s="19">
        <f t="shared" si="47"/>
        <v>86.56</v>
      </c>
      <c r="F195" s="20">
        <f t="shared" si="44"/>
        <v>93.484800000000007</v>
      </c>
      <c r="G195" s="20">
        <f t="shared" si="43"/>
        <v>96.289344000000014</v>
      </c>
      <c r="H195" s="19">
        <f t="shared" si="46"/>
        <v>103.99249152000002</v>
      </c>
      <c r="I195" s="24">
        <f t="shared" si="45"/>
        <v>150.71375582608698</v>
      </c>
    </row>
    <row r="196" spans="1:21">
      <c r="A196" s="34" t="s">
        <v>315</v>
      </c>
      <c r="B196" s="34" t="s">
        <v>316</v>
      </c>
      <c r="C196" s="34" t="s">
        <v>317</v>
      </c>
      <c r="D196" s="19">
        <v>551.65</v>
      </c>
      <c r="E196" s="19">
        <f t="shared" si="47"/>
        <v>596.88530000000003</v>
      </c>
      <c r="F196" s="20">
        <f t="shared" si="44"/>
        <v>644.63612400000011</v>
      </c>
      <c r="G196" s="20">
        <f t="shared" si="43"/>
        <v>663.97520772000018</v>
      </c>
      <c r="H196" s="19">
        <f t="shared" si="46"/>
        <v>717.09322433760019</v>
      </c>
      <c r="I196" s="24">
        <f t="shared" si="45"/>
        <v>1039.2655425182613</v>
      </c>
    </row>
    <row r="197" spans="1:21">
      <c r="A197" s="34" t="s">
        <v>318</v>
      </c>
      <c r="B197" s="34" t="s">
        <v>319</v>
      </c>
      <c r="C197" s="56" t="s">
        <v>320</v>
      </c>
      <c r="D197" s="57">
        <v>601.80999999999995</v>
      </c>
      <c r="E197" s="57">
        <f t="shared" si="47"/>
        <v>651.15841999999998</v>
      </c>
      <c r="F197" s="57">
        <f t="shared" si="44"/>
        <v>703.25109359999999</v>
      </c>
      <c r="G197" s="57">
        <f t="shared" si="43"/>
        <v>724.34862640799997</v>
      </c>
      <c r="H197" s="57">
        <f t="shared" si="46"/>
        <v>782.29651652064001</v>
      </c>
      <c r="I197" s="58">
        <f t="shared" si="45"/>
        <v>1133.7630674212176</v>
      </c>
    </row>
    <row r="198" spans="1:21">
      <c r="A198" s="34" t="s">
        <v>321</v>
      </c>
      <c r="B198" s="34" t="s">
        <v>322</v>
      </c>
      <c r="C198" s="34" t="s">
        <v>323</v>
      </c>
      <c r="D198" s="19">
        <v>96.08</v>
      </c>
      <c r="E198" s="19">
        <f t="shared" si="47"/>
        <v>103.95856000000001</v>
      </c>
      <c r="F198" s="20">
        <f t="shared" si="44"/>
        <v>112.27524480000001</v>
      </c>
      <c r="G198" s="20">
        <f t="shared" si="43"/>
        <v>115.64350214400001</v>
      </c>
      <c r="H198" s="19">
        <f t="shared" si="46"/>
        <v>124.89498231552002</v>
      </c>
      <c r="I198" s="24">
        <f t="shared" si="45"/>
        <v>181.00722074713048</v>
      </c>
    </row>
    <row r="199" spans="1:21">
      <c r="A199" s="34" t="s">
        <v>324</v>
      </c>
      <c r="B199" s="34" t="s">
        <v>325</v>
      </c>
      <c r="C199" s="34" t="s">
        <v>326</v>
      </c>
      <c r="D199" s="19">
        <v>4.9000000000000004</v>
      </c>
      <c r="E199" s="19">
        <f t="shared" si="47"/>
        <v>5.301800000000001</v>
      </c>
      <c r="F199" s="20">
        <f t="shared" si="44"/>
        <v>5.725944000000001</v>
      </c>
      <c r="G199" s="20">
        <f t="shared" si="43"/>
        <v>5.8977223200000015</v>
      </c>
      <c r="H199" s="19">
        <f t="shared" si="46"/>
        <v>6.3695401056000023</v>
      </c>
      <c r="I199" s="24">
        <f t="shared" si="45"/>
        <v>9.2312175443478299</v>
      </c>
    </row>
    <row r="200" spans="1:21">
      <c r="A200" s="34" t="s">
        <v>327</v>
      </c>
      <c r="B200" s="34"/>
      <c r="C200" s="34"/>
      <c r="D200" s="2">
        <v>80</v>
      </c>
      <c r="E200" s="19">
        <f t="shared" si="47"/>
        <v>86.56</v>
      </c>
      <c r="F200" s="20">
        <f t="shared" si="44"/>
        <v>93.484800000000007</v>
      </c>
      <c r="G200" s="20">
        <f t="shared" si="43"/>
        <v>96.289344000000014</v>
      </c>
      <c r="H200" s="19">
        <f t="shared" si="46"/>
        <v>103.99249152000002</v>
      </c>
      <c r="I200" s="24">
        <f t="shared" si="45"/>
        <v>150.71375582608698</v>
      </c>
    </row>
    <row r="201" spans="1:21">
      <c r="E201" s="19"/>
      <c r="F201" s="20"/>
      <c r="G201" s="20">
        <f t="shared" si="43"/>
        <v>0</v>
      </c>
      <c r="H201" s="19">
        <f t="shared" si="46"/>
        <v>0</v>
      </c>
      <c r="I201" s="24"/>
    </row>
    <row r="202" spans="1:21">
      <c r="A202" s="34" t="s">
        <v>328</v>
      </c>
      <c r="B202" s="34"/>
      <c r="C202" s="34" t="s">
        <v>329</v>
      </c>
      <c r="D202" s="19">
        <v>431.38</v>
      </c>
      <c r="E202" s="19">
        <f>D202*1.05</f>
        <v>452.94900000000001</v>
      </c>
      <c r="F202" s="20">
        <f t="shared" si="44"/>
        <v>489.18492000000003</v>
      </c>
      <c r="G202" s="20">
        <f t="shared" si="43"/>
        <v>503.86046760000005</v>
      </c>
      <c r="H202" s="19">
        <f t="shared" si="46"/>
        <v>544.16930500800004</v>
      </c>
      <c r="I202" s="24">
        <f t="shared" si="45"/>
        <v>788.65116667826101</v>
      </c>
    </row>
    <row r="203" spans="1:21">
      <c r="A203" s="34" t="s">
        <v>330</v>
      </c>
      <c r="B203" s="34"/>
      <c r="C203" s="34" t="s">
        <v>331</v>
      </c>
      <c r="D203" s="19">
        <v>447.12</v>
      </c>
      <c r="E203" s="19">
        <f>D203*1.05</f>
        <v>469.476</v>
      </c>
      <c r="F203" s="20">
        <f t="shared" si="44"/>
        <v>507.03408000000002</v>
      </c>
      <c r="G203" s="20">
        <f t="shared" si="43"/>
        <v>522.24510240000006</v>
      </c>
      <c r="H203" s="19">
        <f t="shared" si="46"/>
        <v>564.02471059200013</v>
      </c>
      <c r="I203" s="24">
        <f t="shared" si="45"/>
        <v>817.42711680000025</v>
      </c>
    </row>
    <row r="204" spans="1:21">
      <c r="E204" s="19"/>
      <c r="F204" s="20"/>
      <c r="G204" s="20">
        <f t="shared" si="43"/>
        <v>0</v>
      </c>
      <c r="H204" s="19">
        <f t="shared" ref="H204:H225" si="48">G204*(1+$H$2)</f>
        <v>0</v>
      </c>
      <c r="I204" s="24"/>
    </row>
    <row r="205" spans="1:21">
      <c r="A205" s="14" t="s">
        <v>332</v>
      </c>
      <c r="B205" s="14" t="s">
        <v>333</v>
      </c>
      <c r="C205" s="14" t="s">
        <v>334</v>
      </c>
      <c r="D205" s="2">
        <v>684.15</v>
      </c>
      <c r="E205" s="19">
        <f>D205*1.09</f>
        <v>745.72350000000006</v>
      </c>
      <c r="F205" s="20">
        <f t="shared" si="44"/>
        <v>805.38138000000015</v>
      </c>
      <c r="G205" s="20">
        <f t="shared" si="43"/>
        <v>829.54282140000021</v>
      </c>
      <c r="H205" s="19">
        <f t="shared" si="48"/>
        <v>895.9062471120003</v>
      </c>
      <c r="I205" s="24">
        <f>H205/$I$2</f>
        <v>1298.4148508869571</v>
      </c>
    </row>
    <row r="206" spans="1:21">
      <c r="G206" s="20">
        <f t="shared" si="43"/>
        <v>0</v>
      </c>
      <c r="H206" s="19">
        <f t="shared" si="48"/>
        <v>0</v>
      </c>
    </row>
    <row r="207" spans="1:21">
      <c r="G207" s="20">
        <f t="shared" si="43"/>
        <v>0</v>
      </c>
      <c r="H207" s="19">
        <f t="shared" si="48"/>
        <v>0</v>
      </c>
    </row>
    <row r="208" spans="1:21">
      <c r="G208" s="20">
        <f t="shared" si="43"/>
        <v>0</v>
      </c>
      <c r="H208" s="19">
        <f t="shared" si="48"/>
        <v>0</v>
      </c>
    </row>
    <row r="209" spans="7:8">
      <c r="G209" s="20">
        <f t="shared" si="43"/>
        <v>0</v>
      </c>
      <c r="H209" s="19">
        <f t="shared" si="48"/>
        <v>0</v>
      </c>
    </row>
    <row r="210" spans="7:8">
      <c r="G210" s="20">
        <f t="shared" si="43"/>
        <v>0</v>
      </c>
      <c r="H210" s="19">
        <f t="shared" si="48"/>
        <v>0</v>
      </c>
    </row>
    <row r="211" spans="7:8">
      <c r="G211" s="20">
        <f t="shared" si="43"/>
        <v>0</v>
      </c>
      <c r="H211" s="19">
        <f t="shared" si="48"/>
        <v>0</v>
      </c>
    </row>
    <row r="212" spans="7:8">
      <c r="G212" s="20">
        <f t="shared" si="43"/>
        <v>0</v>
      </c>
      <c r="H212" s="19">
        <f t="shared" si="48"/>
        <v>0</v>
      </c>
    </row>
    <row r="213" spans="7:8">
      <c r="G213" s="20">
        <f t="shared" si="43"/>
        <v>0</v>
      </c>
      <c r="H213" s="19">
        <f t="shared" si="48"/>
        <v>0</v>
      </c>
    </row>
    <row r="214" spans="7:8">
      <c r="G214" s="20">
        <f t="shared" si="43"/>
        <v>0</v>
      </c>
      <c r="H214" s="19">
        <f t="shared" si="48"/>
        <v>0</v>
      </c>
    </row>
    <row r="215" spans="7:8">
      <c r="G215" s="20">
        <f t="shared" si="43"/>
        <v>0</v>
      </c>
      <c r="H215" s="19">
        <f t="shared" si="48"/>
        <v>0</v>
      </c>
    </row>
    <row r="216" spans="7:8">
      <c r="G216" s="20">
        <f t="shared" si="43"/>
        <v>0</v>
      </c>
      <c r="H216" s="19">
        <f t="shared" si="48"/>
        <v>0</v>
      </c>
    </row>
    <row r="217" spans="7:8">
      <c r="G217" s="20">
        <f t="shared" si="43"/>
        <v>0</v>
      </c>
      <c r="H217" s="19">
        <f t="shared" si="48"/>
        <v>0</v>
      </c>
    </row>
    <row r="218" spans="7:8">
      <c r="G218" s="20">
        <f t="shared" si="43"/>
        <v>0</v>
      </c>
      <c r="H218" s="19">
        <f t="shared" si="48"/>
        <v>0</v>
      </c>
    </row>
    <row r="219" spans="7:8">
      <c r="G219" s="20">
        <f t="shared" si="43"/>
        <v>0</v>
      </c>
      <c r="H219" s="19">
        <f t="shared" si="48"/>
        <v>0</v>
      </c>
    </row>
    <row r="220" spans="7:8">
      <c r="G220" s="20">
        <f t="shared" si="43"/>
        <v>0</v>
      </c>
      <c r="H220" s="19">
        <f t="shared" si="48"/>
        <v>0</v>
      </c>
    </row>
    <row r="221" spans="7:8">
      <c r="G221" s="20">
        <f t="shared" si="43"/>
        <v>0</v>
      </c>
      <c r="H221" s="19">
        <f t="shared" si="48"/>
        <v>0</v>
      </c>
    </row>
    <row r="222" spans="7:8">
      <c r="G222" s="20">
        <f t="shared" si="43"/>
        <v>0</v>
      </c>
      <c r="H222" s="19">
        <f t="shared" si="48"/>
        <v>0</v>
      </c>
    </row>
    <row r="223" spans="7:8">
      <c r="G223" s="20">
        <f t="shared" si="43"/>
        <v>0</v>
      </c>
      <c r="H223" s="19">
        <f t="shared" si="48"/>
        <v>0</v>
      </c>
    </row>
    <row r="224" spans="7:8">
      <c r="G224" s="20">
        <f t="shared" si="43"/>
        <v>0</v>
      </c>
      <c r="H224" s="19">
        <f t="shared" si="48"/>
        <v>0</v>
      </c>
    </row>
    <row r="225" spans="7:8">
      <c r="G225" s="20">
        <f t="shared" si="43"/>
        <v>0</v>
      </c>
      <c r="H225" s="19">
        <f t="shared" si="48"/>
        <v>0</v>
      </c>
    </row>
    <row r="226" spans="7:8">
      <c r="G226" s="20">
        <f t="shared" ref="G226:G249" si="49">+F226*1.03</f>
        <v>0</v>
      </c>
      <c r="H226" s="19">
        <f t="shared" ref="H226:H249" si="50">G226*(1+$H$2)</f>
        <v>0</v>
      </c>
    </row>
    <row r="227" spans="7:8">
      <c r="G227" s="20">
        <f t="shared" si="49"/>
        <v>0</v>
      </c>
      <c r="H227" s="19">
        <f t="shared" si="50"/>
        <v>0</v>
      </c>
    </row>
    <row r="228" spans="7:8">
      <c r="G228" s="20">
        <f t="shared" si="49"/>
        <v>0</v>
      </c>
      <c r="H228" s="19">
        <f t="shared" si="50"/>
        <v>0</v>
      </c>
    </row>
    <row r="229" spans="7:8">
      <c r="G229" s="20">
        <f t="shared" si="49"/>
        <v>0</v>
      </c>
      <c r="H229" s="19">
        <f t="shared" si="50"/>
        <v>0</v>
      </c>
    </row>
    <row r="230" spans="7:8">
      <c r="G230" s="20">
        <f t="shared" si="49"/>
        <v>0</v>
      </c>
      <c r="H230" s="19">
        <f t="shared" si="50"/>
        <v>0</v>
      </c>
    </row>
    <row r="231" spans="7:8">
      <c r="G231" s="20">
        <f t="shared" si="49"/>
        <v>0</v>
      </c>
      <c r="H231" s="19">
        <f t="shared" si="50"/>
        <v>0</v>
      </c>
    </row>
    <row r="232" spans="7:8">
      <c r="G232" s="20">
        <f t="shared" si="49"/>
        <v>0</v>
      </c>
      <c r="H232" s="19">
        <f t="shared" si="50"/>
        <v>0</v>
      </c>
    </row>
    <row r="233" spans="7:8">
      <c r="G233" s="20">
        <f t="shared" si="49"/>
        <v>0</v>
      </c>
      <c r="H233" s="19">
        <f t="shared" si="50"/>
        <v>0</v>
      </c>
    </row>
    <row r="234" spans="7:8">
      <c r="G234" s="20">
        <f t="shared" si="49"/>
        <v>0</v>
      </c>
      <c r="H234" s="19">
        <f t="shared" si="50"/>
        <v>0</v>
      </c>
    </row>
    <row r="235" spans="7:8">
      <c r="G235" s="20">
        <f t="shared" si="49"/>
        <v>0</v>
      </c>
      <c r="H235" s="19">
        <f t="shared" si="50"/>
        <v>0</v>
      </c>
    </row>
    <row r="236" spans="7:8">
      <c r="G236" s="20">
        <f t="shared" si="49"/>
        <v>0</v>
      </c>
      <c r="H236" s="19">
        <f t="shared" si="50"/>
        <v>0</v>
      </c>
    </row>
    <row r="237" spans="7:8">
      <c r="G237" s="20">
        <f t="shared" si="49"/>
        <v>0</v>
      </c>
      <c r="H237" s="19">
        <f t="shared" si="50"/>
        <v>0</v>
      </c>
    </row>
    <row r="238" spans="7:8">
      <c r="G238" s="20">
        <f t="shared" si="49"/>
        <v>0</v>
      </c>
      <c r="H238" s="19">
        <f t="shared" si="50"/>
        <v>0</v>
      </c>
    </row>
    <row r="239" spans="7:8">
      <c r="G239" s="20">
        <f t="shared" si="49"/>
        <v>0</v>
      </c>
      <c r="H239" s="19">
        <f t="shared" si="50"/>
        <v>0</v>
      </c>
    </row>
    <row r="240" spans="7:8">
      <c r="G240" s="20">
        <f t="shared" si="49"/>
        <v>0</v>
      </c>
      <c r="H240" s="19">
        <f t="shared" si="50"/>
        <v>0</v>
      </c>
    </row>
    <row r="241" spans="7:8">
      <c r="G241" s="20">
        <f t="shared" si="49"/>
        <v>0</v>
      </c>
      <c r="H241" s="19">
        <f t="shared" si="50"/>
        <v>0</v>
      </c>
    </row>
    <row r="242" spans="7:8">
      <c r="G242" s="20">
        <f t="shared" si="49"/>
        <v>0</v>
      </c>
      <c r="H242" s="19">
        <f t="shared" si="50"/>
        <v>0</v>
      </c>
    </row>
    <row r="243" spans="7:8">
      <c r="G243" s="20">
        <f t="shared" si="49"/>
        <v>0</v>
      </c>
      <c r="H243" s="19">
        <f t="shared" si="50"/>
        <v>0</v>
      </c>
    </row>
    <row r="244" spans="7:8">
      <c r="G244" s="20">
        <f t="shared" si="49"/>
        <v>0</v>
      </c>
      <c r="H244" s="19">
        <f t="shared" si="50"/>
        <v>0</v>
      </c>
    </row>
    <row r="245" spans="7:8">
      <c r="G245" s="20">
        <f t="shared" si="49"/>
        <v>0</v>
      </c>
      <c r="H245" s="19">
        <f t="shared" si="50"/>
        <v>0</v>
      </c>
    </row>
    <row r="246" spans="7:8">
      <c r="G246" s="20">
        <f t="shared" si="49"/>
        <v>0</v>
      </c>
      <c r="H246" s="19">
        <f t="shared" si="50"/>
        <v>0</v>
      </c>
    </row>
    <row r="247" spans="7:8">
      <c r="G247" s="20">
        <f t="shared" si="49"/>
        <v>0</v>
      </c>
      <c r="H247" s="19">
        <f t="shared" si="50"/>
        <v>0</v>
      </c>
    </row>
    <row r="248" spans="7:8">
      <c r="G248" s="20">
        <f t="shared" si="49"/>
        <v>0</v>
      </c>
      <c r="H248" s="19">
        <f t="shared" si="50"/>
        <v>0</v>
      </c>
    </row>
    <row r="249" spans="7:8">
      <c r="G249" s="20">
        <f t="shared" si="49"/>
        <v>0</v>
      </c>
      <c r="H249" s="19">
        <f t="shared" si="50"/>
        <v>0</v>
      </c>
    </row>
  </sheetData>
  <mergeCells count="1">
    <mergeCell ref="P3:Q3"/>
  </mergeCells>
  <phoneticPr fontId="47" type="noConversion"/>
  <hyperlinks>
    <hyperlink ref="U24" r:id="rId1" xr:uid="{DF697DEC-AB10-494A-9A48-1FC308A2EC88}"/>
    <hyperlink ref="U25" r:id="rId2" xr:uid="{A782296F-D516-46B9-92B7-0CB652496B7B}"/>
    <hyperlink ref="U26" r:id="rId3" xr:uid="{8987230A-3A9A-4049-B095-41C807A92BAC}"/>
    <hyperlink ref="U27" r:id="rId4" xr:uid="{4A6922E8-1063-45F0-B82F-0D22EF67C1D1}"/>
    <hyperlink ref="U28" r:id="rId5" xr:uid="{161EDA6C-0CAF-4F9B-A2BB-247D91CD9472}"/>
  </hyperlinks>
  <pageMargins left="0.7" right="0.7" top="0.75" bottom="0.75" header="0.3" footer="0.3"/>
  <pageSetup orientation="portrait" r:id="rId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E7E6-C510-4738-8F17-F172ABE70240}">
  <sheetPr codeName="Sheet16"/>
  <dimension ref="A1:J13"/>
  <sheetViews>
    <sheetView workbookViewId="0">
      <selection activeCell="H19" sqref="H19"/>
    </sheetView>
  </sheetViews>
  <sheetFormatPr defaultRowHeight="14.4"/>
  <cols>
    <col min="1" max="1" width="18.1093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</cols>
  <sheetData>
    <row r="1" spans="1:10" ht="18">
      <c r="A1" s="626">
        <v>44562</v>
      </c>
      <c r="B1" s="626"/>
      <c r="C1" s="626"/>
      <c r="D1" s="626"/>
    </row>
    <row r="2" spans="1:10">
      <c r="J2" s="4"/>
    </row>
    <row r="3" spans="1:10">
      <c r="A3" s="627" t="s">
        <v>575</v>
      </c>
      <c r="B3" s="628"/>
      <c r="C3" s="628"/>
      <c r="D3" s="629"/>
      <c r="J3" s="4"/>
    </row>
    <row r="4" spans="1:10">
      <c r="A4" s="110" t="s">
        <v>525</v>
      </c>
      <c r="B4" s="142">
        <v>700</v>
      </c>
      <c r="C4" s="35">
        <v>1</v>
      </c>
      <c r="D4" s="30">
        <f>B4*C4</f>
        <v>700</v>
      </c>
    </row>
    <row r="5" spans="1:10">
      <c r="A5" s="110" t="s">
        <v>576</v>
      </c>
      <c r="B5" s="67">
        <v>0.5</v>
      </c>
      <c r="C5" s="35">
        <f>IF('NEW POOL'!B8&gt;500,'NEW POOL'!B8-500,0)</f>
        <v>60</v>
      </c>
      <c r="D5" s="30">
        <f>B5*C5</f>
        <v>30</v>
      </c>
    </row>
    <row r="6" spans="1:10">
      <c r="A6" s="110" t="s">
        <v>476</v>
      </c>
      <c r="B6" s="67">
        <v>100</v>
      </c>
      <c r="C6" s="35">
        <f>EXC!C27</f>
        <v>1</v>
      </c>
      <c r="D6" s="137">
        <f>B6*C6</f>
        <v>100</v>
      </c>
    </row>
    <row r="7" spans="1:10">
      <c r="A7" s="110" t="s">
        <v>489</v>
      </c>
      <c r="B7" s="67">
        <v>2.5</v>
      </c>
      <c r="C7" s="119">
        <f>'NEW POOL'!B38</f>
        <v>121</v>
      </c>
      <c r="D7" s="30">
        <f>B7*C7</f>
        <v>302.5</v>
      </c>
    </row>
    <row r="8" spans="1:10">
      <c r="A8" s="110" t="s">
        <v>486</v>
      </c>
      <c r="B8" s="67">
        <v>7</v>
      </c>
      <c r="C8" s="35">
        <f>'NEW POOL'!E10</f>
        <v>0</v>
      </c>
      <c r="D8" s="30">
        <f>B8*C8</f>
        <v>0</v>
      </c>
    </row>
    <row r="9" spans="1:10" s="4" customFormat="1" ht="15" thickBot="1">
      <c r="A9"/>
      <c r="B9"/>
      <c r="D9"/>
      <c r="I9"/>
      <c r="J9"/>
    </row>
    <row r="10" spans="1:10" s="4" customFormat="1" ht="15" thickBot="1">
      <c r="A10" s="106"/>
      <c r="B10" s="3"/>
      <c r="D10" s="107">
        <f>SUM(D4:D9)</f>
        <v>1132.5</v>
      </c>
      <c r="I10"/>
      <c r="J10"/>
    </row>
    <row r="12" spans="1:10">
      <c r="A12" t="s">
        <v>1034</v>
      </c>
      <c r="B12" s="475">
        <v>350</v>
      </c>
    </row>
    <row r="13" spans="1:10">
      <c r="A13" t="s">
        <v>1035</v>
      </c>
      <c r="B13" s="475">
        <v>600</v>
      </c>
    </row>
  </sheetData>
  <mergeCells count="2">
    <mergeCell ref="A1:D1"/>
    <mergeCell ref="A3:D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5336D-4E84-4685-AF3F-C8FFB4C3B477}">
  <sheetPr codeName="Sheet7"/>
  <dimension ref="A1:Z86"/>
  <sheetViews>
    <sheetView zoomScaleNormal="100" workbookViewId="0">
      <pane ySplit="3" topLeftCell="A4" activePane="bottomLeft" state="frozen"/>
      <selection activeCell="N97" sqref="N97"/>
      <selection pane="bottomLeft" sqref="A1:XFD1048576"/>
    </sheetView>
  </sheetViews>
  <sheetFormatPr defaultRowHeight="14.4"/>
  <cols>
    <col min="1" max="1" width="4.88671875" customWidth="1"/>
    <col min="2" max="2" width="19" style="4" customWidth="1"/>
    <col min="3" max="12" width="11.44140625" customWidth="1"/>
    <col min="13" max="13" width="13.44140625" bestFit="1" customWidth="1"/>
    <col min="14" max="15" width="11.44140625" customWidth="1"/>
    <col min="16" max="16" width="19" style="4" customWidth="1"/>
    <col min="17" max="17" width="13.88671875" customWidth="1"/>
    <col min="18" max="27" width="10.109375" customWidth="1"/>
  </cols>
  <sheetData>
    <row r="1" spans="1:26" ht="7.5" customHeight="1" thickBot="1">
      <c r="A1" s="631" t="s">
        <v>936</v>
      </c>
      <c r="B1" s="632"/>
      <c r="C1" s="632"/>
      <c r="D1" s="632"/>
      <c r="E1" s="632"/>
      <c r="F1" s="632"/>
      <c r="G1" s="632"/>
      <c r="H1" s="632"/>
      <c r="I1" s="632"/>
      <c r="J1" s="632"/>
      <c r="K1" s="632"/>
      <c r="L1" s="632"/>
      <c r="M1" s="632"/>
      <c r="N1" s="632"/>
      <c r="O1" s="633"/>
    </row>
    <row r="2" spans="1:26" ht="12" hidden="1" customHeight="1" thickBot="1">
      <c r="B2" s="249"/>
      <c r="C2" s="249"/>
      <c r="D2" s="249"/>
      <c r="E2" s="249"/>
      <c r="F2" s="249"/>
      <c r="G2" s="249"/>
      <c r="H2" s="249" t="s">
        <v>957</v>
      </c>
      <c r="I2" s="249" t="s">
        <v>958</v>
      </c>
      <c r="J2" s="249" t="s">
        <v>959</v>
      </c>
      <c r="K2" s="249" t="s">
        <v>960</v>
      </c>
      <c r="L2" s="249" t="s">
        <v>961</v>
      </c>
      <c r="M2" s="249" t="s">
        <v>962</v>
      </c>
      <c r="N2" s="249" t="s">
        <v>963</v>
      </c>
      <c r="O2" s="249"/>
      <c r="P2" s="4">
        <v>1</v>
      </c>
      <c r="Q2">
        <v>2</v>
      </c>
      <c r="R2">
        <v>3</v>
      </c>
      <c r="T2">
        <v>4</v>
      </c>
      <c r="U2">
        <v>5</v>
      </c>
      <c r="V2">
        <v>6</v>
      </c>
      <c r="W2">
        <v>7</v>
      </c>
      <c r="X2">
        <v>8</v>
      </c>
    </row>
    <row r="3" spans="1:26" ht="17.100000000000001" customHeight="1" thickBot="1">
      <c r="B3" s="249"/>
      <c r="C3" s="308" t="s">
        <v>817</v>
      </c>
      <c r="D3" s="357" t="s">
        <v>818</v>
      </c>
      <c r="E3" s="357" t="s">
        <v>1095</v>
      </c>
      <c r="F3" s="309" t="s">
        <v>336</v>
      </c>
      <c r="G3" s="310" t="s">
        <v>571</v>
      </c>
      <c r="H3" s="311" t="s">
        <v>12</v>
      </c>
      <c r="I3" s="311" t="s">
        <v>13</v>
      </c>
      <c r="J3" s="311" t="s">
        <v>364</v>
      </c>
      <c r="K3" s="311" t="s">
        <v>363</v>
      </c>
      <c r="L3" s="311" t="s">
        <v>14</v>
      </c>
      <c r="M3" s="311" t="s">
        <v>15</v>
      </c>
      <c r="N3" s="311" t="s">
        <v>838</v>
      </c>
      <c r="O3" s="311"/>
      <c r="P3" s="312" t="s">
        <v>751</v>
      </c>
      <c r="Q3" s="313" t="s">
        <v>734</v>
      </c>
      <c r="R3" s="313" t="s">
        <v>735</v>
      </c>
      <c r="S3" s="313" t="s">
        <v>935</v>
      </c>
      <c r="T3" s="313" t="s">
        <v>736</v>
      </c>
      <c r="U3" s="313" t="s">
        <v>737</v>
      </c>
      <c r="V3" s="313" t="s">
        <v>342</v>
      </c>
      <c r="W3" s="313" t="s">
        <v>738</v>
      </c>
      <c r="X3" s="314" t="s">
        <v>571</v>
      </c>
    </row>
    <row r="4" spans="1:26" ht="14.4" customHeight="1">
      <c r="A4" s="655" t="s">
        <v>732</v>
      </c>
      <c r="B4" s="260" t="s">
        <v>753</v>
      </c>
      <c r="C4" s="303">
        <v>0</v>
      </c>
      <c r="D4" s="303">
        <f>C4</f>
        <v>0</v>
      </c>
      <c r="E4" s="303">
        <v>0</v>
      </c>
      <c r="F4" s="304">
        <f>IF('NEW POOL'!$A$21=B4,1,0)</f>
        <v>1</v>
      </c>
      <c r="G4" s="305">
        <f t="shared" ref="G4:G9" si="0">E4*F4</f>
        <v>0</v>
      </c>
      <c r="H4" s="315">
        <v>0</v>
      </c>
      <c r="I4" s="315">
        <v>0</v>
      </c>
      <c r="J4" s="315">
        <v>0</v>
      </c>
      <c r="K4" s="315">
        <v>0</v>
      </c>
      <c r="L4" s="315">
        <v>0</v>
      </c>
      <c r="M4" s="315">
        <v>0</v>
      </c>
      <c r="N4" s="388"/>
      <c r="O4" s="315"/>
      <c r="P4" s="304" t="str">
        <f t="shared" ref="P4:P9" si="1">B4</f>
        <v>Fiberglass - Small</v>
      </c>
      <c r="Q4" s="306">
        <f>C4</f>
        <v>0</v>
      </c>
      <c r="R4" s="306">
        <v>0</v>
      </c>
      <c r="S4" s="306"/>
      <c r="T4" s="306">
        <f t="shared" ref="T4:T9" si="2">SUM(Q4:S4)</f>
        <v>0</v>
      </c>
      <c r="U4" s="306">
        <v>0</v>
      </c>
      <c r="V4" s="306">
        <v>0</v>
      </c>
      <c r="W4" s="306" t="s">
        <v>752</v>
      </c>
      <c r="X4" s="307">
        <f>SUM(T4:W4)</f>
        <v>0</v>
      </c>
      <c r="Z4" s="317">
        <f>VLOOKUP('NEW POOL'!A$21,FIBER!B$4:M$9,5,FALSE)</f>
        <v>1</v>
      </c>
    </row>
    <row r="5" spans="1:26" ht="14.4" customHeight="1">
      <c r="A5" s="656"/>
      <c r="B5" s="237" t="s">
        <v>945</v>
      </c>
      <c r="C5" s="250">
        <v>10242</v>
      </c>
      <c r="D5" s="250">
        <f>13603+1225</f>
        <v>14828</v>
      </c>
      <c r="E5" s="250">
        <v>11325</v>
      </c>
      <c r="F5" s="241">
        <f>IF('NEW POOL'!$A$21=B5,1,0)</f>
        <v>0</v>
      </c>
      <c r="G5" s="302">
        <f t="shared" si="0"/>
        <v>0</v>
      </c>
      <c r="H5" s="295">
        <v>48</v>
      </c>
      <c r="I5" s="295">
        <v>135</v>
      </c>
      <c r="J5" s="328">
        <v>10</v>
      </c>
      <c r="K5" s="328">
        <v>16</v>
      </c>
      <c r="L5" s="328">
        <v>4</v>
      </c>
      <c r="M5" s="387">
        <v>4</v>
      </c>
      <c r="N5" s="389">
        <v>2450</v>
      </c>
      <c r="O5" s="389">
        <f>F5*N5</f>
        <v>0</v>
      </c>
      <c r="P5" s="259" t="str">
        <f t="shared" si="1"/>
        <v>Caeser</v>
      </c>
      <c r="Q5" s="254">
        <f>E5</f>
        <v>11325</v>
      </c>
      <c r="R5" s="254">
        <f>$C$62</f>
        <v>950</v>
      </c>
      <c r="S5" s="254">
        <f>C65</f>
        <v>0</v>
      </c>
      <c r="T5" s="306">
        <f t="shared" si="2"/>
        <v>12275</v>
      </c>
      <c r="U5" s="254">
        <f>$C$67</f>
        <v>550</v>
      </c>
      <c r="V5" s="254">
        <f>$C$71</f>
        <v>9000</v>
      </c>
      <c r="W5" s="254">
        <f>$C$75</f>
        <v>1900</v>
      </c>
      <c r="X5" s="242">
        <f>SUM(T5:W5)</f>
        <v>23725</v>
      </c>
      <c r="Z5" s="317">
        <f>VLOOKUP('NEW POOL'!A$21,FIBER!B$4:M$9,6,FALSE)</f>
        <v>0</v>
      </c>
    </row>
    <row r="6" spans="1:26" ht="14.4" customHeight="1">
      <c r="A6" s="656"/>
      <c r="B6" s="237" t="s">
        <v>1082</v>
      </c>
      <c r="C6" s="250">
        <v>13857</v>
      </c>
      <c r="D6" s="250">
        <f>16168+1456</f>
        <v>17624</v>
      </c>
      <c r="E6" s="250">
        <v>14825</v>
      </c>
      <c r="F6" s="241">
        <f>IF('NEW POOL'!$A$21=B6,1,0)</f>
        <v>0</v>
      </c>
      <c r="G6" s="302">
        <f t="shared" si="0"/>
        <v>0</v>
      </c>
      <c r="H6" s="295">
        <v>70</v>
      </c>
      <c r="I6" s="295">
        <v>264</v>
      </c>
      <c r="J6" s="328">
        <v>11.833</v>
      </c>
      <c r="K6" s="328">
        <v>25.417000000000002</v>
      </c>
      <c r="L6" s="328">
        <v>4.5</v>
      </c>
      <c r="M6" s="387">
        <v>4.5</v>
      </c>
      <c r="N6" s="389">
        <v>8100</v>
      </c>
      <c r="O6" s="389">
        <f t="shared" ref="O6:O15" si="3">F6*N6</f>
        <v>0</v>
      </c>
      <c r="P6" s="259" t="str">
        <f t="shared" si="1"/>
        <v>Chateau &amp; Gayla 12</v>
      </c>
      <c r="Q6" s="254">
        <f>E6</f>
        <v>14825</v>
      </c>
      <c r="R6" s="254">
        <f>$C$62</f>
        <v>950</v>
      </c>
      <c r="S6" s="254">
        <f>S5</f>
        <v>0</v>
      </c>
      <c r="T6" s="306">
        <f t="shared" si="2"/>
        <v>15775</v>
      </c>
      <c r="U6" s="254">
        <f>$C$67</f>
        <v>550</v>
      </c>
      <c r="V6" s="254">
        <f>$C$71</f>
        <v>9000</v>
      </c>
      <c r="W6" s="254">
        <f>$C$75</f>
        <v>1900</v>
      </c>
      <c r="X6" s="242">
        <f t="shared" ref="X6:X30" si="4">SUM(T6:W6)</f>
        <v>27225</v>
      </c>
      <c r="Z6" s="317">
        <f>VLOOKUP('NEW POOL'!A$21,FIBER!B$4:M$9,7,FALSE)</f>
        <v>0</v>
      </c>
    </row>
    <row r="7" spans="1:26" ht="14.4" customHeight="1">
      <c r="A7" s="656"/>
      <c r="B7" s="237" t="s">
        <v>1081</v>
      </c>
      <c r="C7" s="250">
        <v>8727</v>
      </c>
      <c r="D7" s="250">
        <f>16168+1456</f>
        <v>17624</v>
      </c>
      <c r="E7" s="250">
        <v>14375</v>
      </c>
      <c r="F7" s="241">
        <f>IF('NEW POOL'!$A$21=B7,1,0)</f>
        <v>0</v>
      </c>
      <c r="G7" s="302">
        <f t="shared" si="0"/>
        <v>0</v>
      </c>
      <c r="H7" s="295">
        <v>64</v>
      </c>
      <c r="I7" s="295">
        <v>214</v>
      </c>
      <c r="J7" s="328">
        <v>12</v>
      </c>
      <c r="K7" s="328">
        <v>26</v>
      </c>
      <c r="L7" s="328">
        <v>4</v>
      </c>
      <c r="M7" s="387">
        <v>5</v>
      </c>
      <c r="N7" s="389">
        <v>5300</v>
      </c>
      <c r="O7" s="389">
        <f t="shared" si="3"/>
        <v>0</v>
      </c>
      <c r="P7" s="259" t="str">
        <f t="shared" si="1"/>
        <v>Gayla 12/Freeport</v>
      </c>
      <c r="Q7" s="254">
        <f>E7</f>
        <v>14375</v>
      </c>
      <c r="R7" s="254">
        <f>$C$62</f>
        <v>950</v>
      </c>
      <c r="S7" s="254">
        <f>S5</f>
        <v>0</v>
      </c>
      <c r="T7" s="306">
        <f t="shared" si="2"/>
        <v>15325</v>
      </c>
      <c r="U7" s="254">
        <f>$C$67</f>
        <v>550</v>
      </c>
      <c r="V7" s="254">
        <f>$C$71</f>
        <v>9000</v>
      </c>
      <c r="W7" s="254">
        <f>$C$75</f>
        <v>1900</v>
      </c>
      <c r="X7" s="242">
        <f t="shared" si="4"/>
        <v>26775</v>
      </c>
      <c r="Z7" s="317">
        <f>VLOOKUP('NEW POOL'!A$21,FIBER!B$4:M$9,8,FALSE)</f>
        <v>0</v>
      </c>
    </row>
    <row r="8" spans="1:26" ht="14.4" customHeight="1">
      <c r="A8" s="656"/>
      <c r="B8" s="237" t="s">
        <v>1080</v>
      </c>
      <c r="C8" s="250">
        <v>11631</v>
      </c>
      <c r="D8" s="250">
        <f>9490+854</f>
        <v>10344</v>
      </c>
      <c r="E8" s="250">
        <v>15375</v>
      </c>
      <c r="F8" s="241">
        <f>IF('NEW POOL'!$A$21=B8,1,0)</f>
        <v>0</v>
      </c>
      <c r="G8" s="302">
        <f t="shared" si="0"/>
        <v>0</v>
      </c>
      <c r="H8" s="295">
        <v>73</v>
      </c>
      <c r="I8" s="295">
        <v>209</v>
      </c>
      <c r="J8" s="328">
        <v>12</v>
      </c>
      <c r="K8" s="328">
        <v>26</v>
      </c>
      <c r="L8" s="328">
        <v>3</v>
      </c>
      <c r="M8" s="387">
        <v>4.5830000000000002</v>
      </c>
      <c r="N8" s="389">
        <v>4400</v>
      </c>
      <c r="O8" s="389">
        <f t="shared" si="3"/>
        <v>0</v>
      </c>
      <c r="P8" s="259" t="str">
        <f t="shared" si="1"/>
        <v>Lotus 12/Bermuda</v>
      </c>
      <c r="Q8" s="254">
        <f>E8</f>
        <v>15375</v>
      </c>
      <c r="R8" s="254">
        <f>$C$62</f>
        <v>950</v>
      </c>
      <c r="S8" s="254">
        <f>S5</f>
        <v>0</v>
      </c>
      <c r="T8" s="306">
        <f t="shared" si="2"/>
        <v>16325</v>
      </c>
      <c r="U8" s="254">
        <f>$C$67</f>
        <v>550</v>
      </c>
      <c r="V8" s="254">
        <f>$C$71</f>
        <v>9000</v>
      </c>
      <c r="W8" s="254">
        <f>$C$75</f>
        <v>1900</v>
      </c>
      <c r="X8" s="242">
        <f t="shared" si="4"/>
        <v>27775</v>
      </c>
      <c r="Z8" s="317">
        <f>VLOOKUP('NEW POOL'!A$21,FIBER!B$4:M$9,9,FALSE)</f>
        <v>0</v>
      </c>
    </row>
    <row r="9" spans="1:26" ht="14.4" customHeight="1" thickBot="1">
      <c r="A9" s="657"/>
      <c r="B9" s="237" t="s">
        <v>1083</v>
      </c>
      <c r="C9" s="250">
        <v>12409</v>
      </c>
      <c r="D9" s="250">
        <f>11699+1053</f>
        <v>12752</v>
      </c>
      <c r="E9" s="250">
        <v>12825</v>
      </c>
      <c r="F9" s="241">
        <f>IF('NEW POOL'!$A$21=B9,1,0)</f>
        <v>0</v>
      </c>
      <c r="G9" s="302">
        <f t="shared" si="0"/>
        <v>0</v>
      </c>
      <c r="H9" s="295">
        <v>59</v>
      </c>
      <c r="I9" s="295">
        <v>177</v>
      </c>
      <c r="J9" s="328">
        <v>11</v>
      </c>
      <c r="K9" s="328">
        <v>22</v>
      </c>
      <c r="L9" s="328">
        <v>3.5</v>
      </c>
      <c r="M9" s="387">
        <v>5</v>
      </c>
      <c r="N9" s="389">
        <v>5200</v>
      </c>
      <c r="O9" s="389">
        <f t="shared" si="3"/>
        <v>0</v>
      </c>
      <c r="P9" s="259" t="str">
        <f t="shared" si="1"/>
        <v>Santorini &amp; Bliss 12</v>
      </c>
      <c r="Q9" s="254">
        <f>E9</f>
        <v>12825</v>
      </c>
      <c r="R9" s="254">
        <f>$C$62</f>
        <v>950</v>
      </c>
      <c r="S9" s="254">
        <f>S5</f>
        <v>0</v>
      </c>
      <c r="T9" s="306">
        <f t="shared" si="2"/>
        <v>13775</v>
      </c>
      <c r="U9" s="254">
        <f>$C$67</f>
        <v>550</v>
      </c>
      <c r="V9" s="254">
        <f>$C$71</f>
        <v>9000</v>
      </c>
      <c r="W9" s="254">
        <f>$C$75</f>
        <v>1900</v>
      </c>
      <c r="X9" s="242">
        <f>SUM(T9:W9)</f>
        <v>25225</v>
      </c>
      <c r="Z9" s="317">
        <f>VLOOKUP('NEW POOL'!A$21,FIBER!B$4:M$9,10,FALSE)</f>
        <v>0</v>
      </c>
    </row>
    <row r="10" spans="1:26" ht="14.4" customHeight="1" thickBot="1">
      <c r="A10" s="278"/>
      <c r="B10" s="296"/>
      <c r="C10" s="257"/>
      <c r="D10" s="358"/>
      <c r="E10" s="358"/>
      <c r="F10" s="438"/>
      <c r="G10" s="292">
        <f>SUM(G4:G9)</f>
        <v>0</v>
      </c>
      <c r="H10" s="5"/>
      <c r="I10" s="5"/>
      <c r="J10" s="329"/>
      <c r="K10" s="329"/>
      <c r="L10" s="329"/>
      <c r="M10" s="329"/>
      <c r="N10" s="329"/>
      <c r="O10" s="435">
        <f>SUM(O4:O9)</f>
        <v>0</v>
      </c>
      <c r="P10" s="269"/>
      <c r="Q10" s="280"/>
      <c r="R10" s="280"/>
      <c r="S10" s="280"/>
      <c r="T10" s="280"/>
      <c r="U10" s="280"/>
      <c r="V10" s="280"/>
      <c r="W10" s="280"/>
      <c r="X10" s="272"/>
    </row>
    <row r="11" spans="1:26" ht="14.4" customHeight="1">
      <c r="A11" s="652" t="s">
        <v>731</v>
      </c>
      <c r="B11" s="268" t="s">
        <v>754</v>
      </c>
      <c r="C11" s="252">
        <v>0</v>
      </c>
      <c r="D11" s="252">
        <f>C11</f>
        <v>0</v>
      </c>
      <c r="E11" s="252">
        <v>0</v>
      </c>
      <c r="F11" s="289">
        <f>IF('NEW POOL'!$A$22=FIBER!P11,1,0)</f>
        <v>1</v>
      </c>
      <c r="G11" s="446">
        <f>E11*F11</f>
        <v>0</v>
      </c>
      <c r="H11" s="368">
        <f t="shared" ref="H11:M11" si="5">H4</f>
        <v>0</v>
      </c>
      <c r="I11" s="368">
        <f t="shared" si="5"/>
        <v>0</v>
      </c>
      <c r="J11" s="368">
        <f t="shared" si="5"/>
        <v>0</v>
      </c>
      <c r="K11" s="368">
        <f t="shared" si="5"/>
        <v>0</v>
      </c>
      <c r="L11" s="368">
        <f t="shared" si="5"/>
        <v>0</v>
      </c>
      <c r="M11" s="368">
        <f t="shared" si="5"/>
        <v>0</v>
      </c>
      <c r="N11" s="368"/>
      <c r="O11" s="448">
        <f t="shared" si="3"/>
        <v>0</v>
      </c>
      <c r="P11" s="293" t="str">
        <f>B11</f>
        <v>Fiberglass - Medium</v>
      </c>
      <c r="Q11" s="270">
        <f>C11</f>
        <v>0</v>
      </c>
      <c r="R11" s="270">
        <v>0</v>
      </c>
      <c r="S11" s="270"/>
      <c r="T11" s="433">
        <f t="shared" ref="T11:T18" si="6">SUM(Q11:S11)</f>
        <v>0</v>
      </c>
      <c r="U11" s="270">
        <v>0</v>
      </c>
      <c r="V11" s="270">
        <v>0</v>
      </c>
      <c r="W11" s="270">
        <v>0</v>
      </c>
      <c r="X11" s="316">
        <f t="shared" si="4"/>
        <v>0</v>
      </c>
      <c r="Z11" s="317">
        <f>VLOOKUP('NEW POOL'!A$22,FIBER!B$11:M$18,5,FALSE)</f>
        <v>1</v>
      </c>
    </row>
    <row r="12" spans="1:26" ht="14.4" customHeight="1">
      <c r="A12" s="653"/>
      <c r="B12" s="235" t="s">
        <v>946</v>
      </c>
      <c r="C12" s="250">
        <v>13838</v>
      </c>
      <c r="D12" s="250">
        <f>16945+1526</f>
        <v>18471</v>
      </c>
      <c r="E12" s="250">
        <v>22801</v>
      </c>
      <c r="F12" s="119">
        <f>IF('NEW POOL'!$A$22=FIBER!P12,1,0)</f>
        <v>0</v>
      </c>
      <c r="G12" s="254">
        <f>E12*F12</f>
        <v>0</v>
      </c>
      <c r="H12" s="295">
        <v>84</v>
      </c>
      <c r="I12" s="323">
        <v>377</v>
      </c>
      <c r="J12" s="327">
        <v>14</v>
      </c>
      <c r="K12" s="327">
        <v>30</v>
      </c>
      <c r="L12" s="327">
        <v>3.5</v>
      </c>
      <c r="M12" s="327">
        <v>6</v>
      </c>
      <c r="N12" s="389">
        <v>11200</v>
      </c>
      <c r="O12" s="389">
        <f t="shared" si="3"/>
        <v>0</v>
      </c>
      <c r="P12" s="294" t="str">
        <f t="shared" ref="P12:P18" si="7">B12</f>
        <v>Belvedere</v>
      </c>
      <c r="Q12" s="258">
        <f>E12</f>
        <v>22801</v>
      </c>
      <c r="R12" s="258">
        <f t="shared" ref="R12:R18" si="8">$C$63</f>
        <v>1100</v>
      </c>
      <c r="S12" s="258">
        <f>S5</f>
        <v>0</v>
      </c>
      <c r="T12" s="258">
        <f t="shared" si="6"/>
        <v>23901</v>
      </c>
      <c r="U12" s="258">
        <f t="shared" ref="U12:U18" si="9">$C$68</f>
        <v>1700</v>
      </c>
      <c r="V12" s="258">
        <f t="shared" ref="V12:V18" si="10">$C$72</f>
        <v>9000</v>
      </c>
      <c r="W12" s="258">
        <f t="shared" ref="W12:W18" si="11">$C$76</f>
        <v>2650</v>
      </c>
      <c r="X12" s="239">
        <f t="shared" si="4"/>
        <v>37251</v>
      </c>
      <c r="Z12" s="317">
        <f>VLOOKUP('NEW POOL'!A$22,FIBER!B$11:M$18,6,FALSE)</f>
        <v>0</v>
      </c>
    </row>
    <row r="13" spans="1:26">
      <c r="A13" s="653"/>
      <c r="B13" s="235" t="s">
        <v>947</v>
      </c>
      <c r="C13" s="250">
        <v>14917</v>
      </c>
      <c r="D13" s="250">
        <f>20918+1883</f>
        <v>22801</v>
      </c>
      <c r="E13" s="250">
        <v>23825</v>
      </c>
      <c r="F13" s="119">
        <f>IF('NEW POOL'!$A$22=FIBER!P13,1,0)</f>
        <v>0</v>
      </c>
      <c r="G13" s="254">
        <f t="shared" ref="G13:G18" si="12">E13*F13</f>
        <v>0</v>
      </c>
      <c r="H13" s="295">
        <v>92</v>
      </c>
      <c r="I13" s="323">
        <v>300</v>
      </c>
      <c r="J13" s="327">
        <v>14</v>
      </c>
      <c r="K13" s="327">
        <v>30</v>
      </c>
      <c r="L13" s="327">
        <v>4</v>
      </c>
      <c r="M13" s="327">
        <v>6</v>
      </c>
      <c r="N13" s="389">
        <v>9000</v>
      </c>
      <c r="O13" s="389">
        <f t="shared" si="3"/>
        <v>0</v>
      </c>
      <c r="P13" s="294" t="str">
        <f t="shared" si="7"/>
        <v>Martinique Grand</v>
      </c>
      <c r="Q13" s="258">
        <f t="shared" ref="Q13:Q18" si="13">E13</f>
        <v>23825</v>
      </c>
      <c r="R13" s="258">
        <f t="shared" si="8"/>
        <v>1100</v>
      </c>
      <c r="S13" s="258">
        <f>S12</f>
        <v>0</v>
      </c>
      <c r="T13" s="258">
        <f t="shared" si="6"/>
        <v>24925</v>
      </c>
      <c r="U13" s="258">
        <f t="shared" si="9"/>
        <v>1700</v>
      </c>
      <c r="V13" s="258">
        <f t="shared" si="10"/>
        <v>9000</v>
      </c>
      <c r="W13" s="258">
        <f t="shared" si="11"/>
        <v>2650</v>
      </c>
      <c r="X13" s="239">
        <f t="shared" si="4"/>
        <v>38275</v>
      </c>
      <c r="Z13" s="317">
        <f>VLOOKUP('NEW POOL'!A$22,FIBER!B$11:M$18,7,FALSE)</f>
        <v>0</v>
      </c>
    </row>
    <row r="14" spans="1:26">
      <c r="A14" s="653"/>
      <c r="B14" s="235" t="s">
        <v>948</v>
      </c>
      <c r="C14" s="250">
        <v>14482</v>
      </c>
      <c r="D14" s="250">
        <f>18222+1640</f>
        <v>19862</v>
      </c>
      <c r="E14" s="250">
        <v>23625</v>
      </c>
      <c r="F14" s="119">
        <f>IF('NEW POOL'!$A$22=FIBER!P14,1,0)</f>
        <v>0</v>
      </c>
      <c r="G14" s="254">
        <f t="shared" si="12"/>
        <v>0</v>
      </c>
      <c r="H14" s="295">
        <v>83</v>
      </c>
      <c r="I14" s="323">
        <v>347</v>
      </c>
      <c r="J14" s="327">
        <v>14</v>
      </c>
      <c r="K14" s="327">
        <v>30</v>
      </c>
      <c r="L14" s="327">
        <v>3.5</v>
      </c>
      <c r="M14" s="327">
        <v>6</v>
      </c>
      <c r="N14" s="389">
        <v>8800</v>
      </c>
      <c r="O14" s="389">
        <f t="shared" si="3"/>
        <v>0</v>
      </c>
      <c r="P14" s="294" t="str">
        <f t="shared" si="7"/>
        <v>Noveau 14</v>
      </c>
      <c r="Q14" s="258">
        <f t="shared" si="13"/>
        <v>23625</v>
      </c>
      <c r="R14" s="258">
        <f t="shared" si="8"/>
        <v>1100</v>
      </c>
      <c r="S14" s="258">
        <f>S13</f>
        <v>0</v>
      </c>
      <c r="T14" s="258">
        <f t="shared" si="6"/>
        <v>24725</v>
      </c>
      <c r="U14" s="258">
        <f t="shared" si="9"/>
        <v>1700</v>
      </c>
      <c r="V14" s="258">
        <f t="shared" si="10"/>
        <v>9000</v>
      </c>
      <c r="W14" s="258">
        <f t="shared" si="11"/>
        <v>2650</v>
      </c>
      <c r="X14" s="239">
        <f t="shared" si="4"/>
        <v>38075</v>
      </c>
      <c r="Z14" s="317">
        <f>VLOOKUP('NEW POOL'!A$22,FIBER!B$11:M$18,8,FALSE)</f>
        <v>0</v>
      </c>
    </row>
    <row r="15" spans="1:26">
      <c r="A15" s="653"/>
      <c r="B15" s="235" t="s">
        <v>1084</v>
      </c>
      <c r="C15" s="250">
        <v>15012</v>
      </c>
      <c r="D15" s="250">
        <f>20918+1883</f>
        <v>22801</v>
      </c>
      <c r="E15" s="250">
        <v>20650</v>
      </c>
      <c r="F15" s="119">
        <f>IF('NEW POOL'!$A$22=FIBER!P15,1,0)</f>
        <v>0</v>
      </c>
      <c r="G15" s="254">
        <f t="shared" si="12"/>
        <v>0</v>
      </c>
      <c r="H15" s="295">
        <v>74</v>
      </c>
      <c r="I15" s="323">
        <v>310</v>
      </c>
      <c r="J15" s="327">
        <v>14</v>
      </c>
      <c r="K15" s="327">
        <v>30</v>
      </c>
      <c r="L15" s="327">
        <v>3.5</v>
      </c>
      <c r="M15" s="327">
        <v>6</v>
      </c>
      <c r="N15" s="389">
        <v>10000</v>
      </c>
      <c r="O15" s="389">
        <f t="shared" si="3"/>
        <v>0</v>
      </c>
      <c r="P15" s="294" t="str">
        <f t="shared" si="7"/>
        <v>Lotus 14</v>
      </c>
      <c r="Q15" s="258">
        <f t="shared" si="13"/>
        <v>20650</v>
      </c>
      <c r="R15" s="258">
        <f t="shared" si="8"/>
        <v>1100</v>
      </c>
      <c r="S15" s="258">
        <f>S14</f>
        <v>0</v>
      </c>
      <c r="T15" s="258">
        <f t="shared" si="6"/>
        <v>21750</v>
      </c>
      <c r="U15" s="258">
        <f t="shared" si="9"/>
        <v>1700</v>
      </c>
      <c r="V15" s="258">
        <f t="shared" si="10"/>
        <v>9000</v>
      </c>
      <c r="W15" s="258">
        <f t="shared" si="11"/>
        <v>2650</v>
      </c>
      <c r="X15" s="239">
        <f t="shared" si="4"/>
        <v>35100</v>
      </c>
      <c r="Z15" s="317">
        <f>VLOOKUP('NEW POOL'!A$22,FIBER!B$11:M$18,9,FALSE)</f>
        <v>0</v>
      </c>
    </row>
    <row r="16" spans="1:26">
      <c r="A16" s="653"/>
      <c r="B16" s="235" t="s">
        <v>949</v>
      </c>
      <c r="C16" s="250">
        <v>15347</v>
      </c>
      <c r="D16" s="250">
        <f>14350+1292</f>
        <v>15642</v>
      </c>
      <c r="E16" s="250">
        <v>23625</v>
      </c>
      <c r="F16" s="119">
        <f>IF('NEW POOL'!$A$22=FIBER!P16,1,0)</f>
        <v>0</v>
      </c>
      <c r="G16" s="254">
        <f t="shared" si="12"/>
        <v>0</v>
      </c>
      <c r="H16" s="295">
        <v>81</v>
      </c>
      <c r="I16" s="323">
        <v>678</v>
      </c>
      <c r="J16" s="327">
        <v>14</v>
      </c>
      <c r="K16" s="327">
        <v>30</v>
      </c>
      <c r="L16" s="327">
        <v>3.5</v>
      </c>
      <c r="M16" s="327">
        <v>6</v>
      </c>
      <c r="N16" s="389">
        <v>7600</v>
      </c>
      <c r="O16" s="389">
        <f>F16*N16</f>
        <v>0</v>
      </c>
      <c r="P16" s="294" t="str">
        <f t="shared" si="7"/>
        <v>Renaissance 14</v>
      </c>
      <c r="Q16" s="258">
        <f t="shared" si="13"/>
        <v>23625</v>
      </c>
      <c r="R16" s="258">
        <f t="shared" si="8"/>
        <v>1100</v>
      </c>
      <c r="S16" s="258">
        <f>S13</f>
        <v>0</v>
      </c>
      <c r="T16" s="434">
        <f t="shared" si="6"/>
        <v>24725</v>
      </c>
      <c r="U16" s="258">
        <f t="shared" si="9"/>
        <v>1700</v>
      </c>
      <c r="V16" s="258">
        <f t="shared" si="10"/>
        <v>9000</v>
      </c>
      <c r="W16" s="258">
        <f t="shared" si="11"/>
        <v>2650</v>
      </c>
      <c r="X16" s="239">
        <f>SUM(T16:W16)</f>
        <v>38075</v>
      </c>
      <c r="Z16" s="317"/>
    </row>
    <row r="17" spans="1:26">
      <c r="A17" s="653"/>
      <c r="B17" s="235" t="s">
        <v>1086</v>
      </c>
      <c r="C17" s="250">
        <v>18475</v>
      </c>
      <c r="D17" s="250">
        <v>18475</v>
      </c>
      <c r="E17" s="250">
        <v>21275</v>
      </c>
      <c r="F17" s="119">
        <f>IF('NEW POOL'!$A$22=FIBER!P17,1,0)</f>
        <v>0</v>
      </c>
      <c r="G17" s="254">
        <f t="shared" si="12"/>
        <v>0</v>
      </c>
      <c r="H17" s="295">
        <v>90</v>
      </c>
      <c r="I17" s="323">
        <v>416</v>
      </c>
      <c r="J17" s="327">
        <v>14</v>
      </c>
      <c r="K17" s="327">
        <v>33</v>
      </c>
      <c r="L17" s="327">
        <v>3.5830000000000002</v>
      </c>
      <c r="M17" s="327">
        <v>5.3330000000000002</v>
      </c>
      <c r="N17" s="389">
        <v>11700</v>
      </c>
      <c r="O17" s="389">
        <f>F17*N17</f>
        <v>0</v>
      </c>
      <c r="P17" s="294" t="str">
        <f t="shared" si="7"/>
        <v>Sovereign &amp; Gayla 14</v>
      </c>
      <c r="Q17" s="258">
        <f t="shared" si="13"/>
        <v>21275</v>
      </c>
      <c r="R17" s="258">
        <f t="shared" si="8"/>
        <v>1100</v>
      </c>
      <c r="S17" s="258">
        <f>S14</f>
        <v>0</v>
      </c>
      <c r="T17" s="434">
        <f t="shared" si="6"/>
        <v>22375</v>
      </c>
      <c r="U17" s="258">
        <f t="shared" si="9"/>
        <v>1700</v>
      </c>
      <c r="V17" s="258">
        <f t="shared" si="10"/>
        <v>9000</v>
      </c>
      <c r="W17" s="258">
        <f t="shared" si="11"/>
        <v>2650</v>
      </c>
      <c r="X17" s="239">
        <f>SUM(T17:W17)</f>
        <v>35725</v>
      </c>
      <c r="Z17" s="317"/>
    </row>
    <row r="18" spans="1:26" ht="15" thickBot="1">
      <c r="A18" s="654"/>
      <c r="B18" s="235" t="s">
        <v>1085</v>
      </c>
      <c r="C18" s="250">
        <v>15347</v>
      </c>
      <c r="D18" s="250">
        <f>14350+1292</f>
        <v>15642</v>
      </c>
      <c r="E18" s="250">
        <v>24100</v>
      </c>
      <c r="F18" s="119">
        <f>IF('NEW POOL'!$A$22=FIBER!P18,1,0)</f>
        <v>0</v>
      </c>
      <c r="G18" s="447">
        <f t="shared" si="12"/>
        <v>0</v>
      </c>
      <c r="H18" s="295">
        <v>85</v>
      </c>
      <c r="I18" s="323">
        <v>377</v>
      </c>
      <c r="J18" s="327">
        <v>14</v>
      </c>
      <c r="K18" s="327">
        <v>30</v>
      </c>
      <c r="L18" s="327">
        <v>3.6</v>
      </c>
      <c r="M18" s="327">
        <v>6</v>
      </c>
      <c r="N18" s="389">
        <v>11200</v>
      </c>
      <c r="O18" s="389">
        <f>F18*N18</f>
        <v>0</v>
      </c>
      <c r="P18" s="294" t="str">
        <f t="shared" si="7"/>
        <v>Belvedere/Olympia 14</v>
      </c>
      <c r="Q18" s="258">
        <f t="shared" si="13"/>
        <v>24100</v>
      </c>
      <c r="R18" s="258">
        <f t="shared" si="8"/>
        <v>1100</v>
      </c>
      <c r="S18" s="258">
        <f>S15</f>
        <v>0</v>
      </c>
      <c r="T18" s="434">
        <f t="shared" si="6"/>
        <v>25200</v>
      </c>
      <c r="U18" s="258">
        <f t="shared" si="9"/>
        <v>1700</v>
      </c>
      <c r="V18" s="258">
        <f t="shared" si="10"/>
        <v>9000</v>
      </c>
      <c r="W18" s="258">
        <f t="shared" si="11"/>
        <v>2650</v>
      </c>
      <c r="X18" s="239">
        <f>SUM(T18:W18)</f>
        <v>38550</v>
      </c>
      <c r="Z18" s="317">
        <f>VLOOKUP('NEW POOL'!A$22,FIBER!B$11:M$18,10,FALSE)</f>
        <v>0</v>
      </c>
    </row>
    <row r="19" spans="1:26" ht="15" thickBot="1">
      <c r="A19" s="271"/>
      <c r="B19" s="296"/>
      <c r="C19" s="257"/>
      <c r="D19" s="358"/>
      <c r="E19" s="358"/>
      <c r="F19" s="285"/>
      <c r="G19" s="326">
        <f>SUM(G11:G18)</f>
        <v>0</v>
      </c>
      <c r="H19" s="324"/>
      <c r="I19" s="324"/>
      <c r="J19" s="324"/>
      <c r="K19" s="324"/>
      <c r="L19" s="324"/>
      <c r="M19" s="324"/>
      <c r="N19" s="324"/>
      <c r="O19" s="390">
        <f>SUM(O11:O18)</f>
        <v>0</v>
      </c>
      <c r="P19" s="269"/>
      <c r="Q19" s="280"/>
      <c r="R19" s="280"/>
      <c r="S19" s="280"/>
      <c r="T19" s="281"/>
      <c r="U19" s="280"/>
      <c r="V19" s="280"/>
      <c r="W19" s="280"/>
      <c r="X19" s="282"/>
    </row>
    <row r="20" spans="1:26" ht="14.4" customHeight="1">
      <c r="A20" s="658" t="s">
        <v>730</v>
      </c>
      <c r="B20" s="273" t="s">
        <v>755</v>
      </c>
      <c r="C20" s="274">
        <v>0</v>
      </c>
      <c r="D20" s="274">
        <v>0</v>
      </c>
      <c r="E20" s="274">
        <v>0</v>
      </c>
      <c r="F20" s="297">
        <f>IF('NEW POOL'!$A$23=FIBER!P20,1,0)</f>
        <v>1</v>
      </c>
      <c r="G20" s="301">
        <f>E20*F20</f>
        <v>0</v>
      </c>
      <c r="H20" s="297">
        <f t="shared" ref="H20:M20" si="14">H11</f>
        <v>0</v>
      </c>
      <c r="I20" s="297">
        <f t="shared" si="14"/>
        <v>0</v>
      </c>
      <c r="J20" s="297">
        <f t="shared" si="14"/>
        <v>0</v>
      </c>
      <c r="K20" s="297">
        <f t="shared" si="14"/>
        <v>0</v>
      </c>
      <c r="L20" s="297">
        <f t="shared" si="14"/>
        <v>0</v>
      </c>
      <c r="M20" s="297">
        <f t="shared" si="14"/>
        <v>0</v>
      </c>
      <c r="N20" s="368"/>
      <c r="O20" s="368"/>
      <c r="P20" s="279" t="str">
        <f t="shared" ref="P20:P30" si="15">B20</f>
        <v>Fiberglass - Large</v>
      </c>
      <c r="Q20" s="261">
        <f>C20</f>
        <v>0</v>
      </c>
      <c r="R20" s="261">
        <f>R11</f>
        <v>0</v>
      </c>
      <c r="S20" s="261"/>
      <c r="T20" s="275">
        <f>Q20+R20</f>
        <v>0</v>
      </c>
      <c r="U20" s="261">
        <f>U11</f>
        <v>0</v>
      </c>
      <c r="V20" s="261">
        <f>V11</f>
        <v>0</v>
      </c>
      <c r="W20" s="261">
        <f>W11</f>
        <v>0</v>
      </c>
      <c r="X20" s="262">
        <f>X11</f>
        <v>0</v>
      </c>
      <c r="Z20" s="330">
        <f>VLOOKUP('NEW POOL'!A$23,FIBER!B$20:M$30,5,FALSE)</f>
        <v>1</v>
      </c>
    </row>
    <row r="21" spans="1:26" ht="14.4" customHeight="1">
      <c r="A21" s="659"/>
      <c r="B21" s="237" t="s">
        <v>950</v>
      </c>
      <c r="C21" s="250">
        <v>23488</v>
      </c>
      <c r="D21" s="250">
        <f>26512+2387</f>
        <v>28899</v>
      </c>
      <c r="E21" s="250">
        <v>25075</v>
      </c>
      <c r="F21" s="295">
        <f>IF('NEW POOL'!$A$23=FIBER!P21,1,0)</f>
        <v>0</v>
      </c>
      <c r="G21" s="302">
        <f>E21*F21</f>
        <v>0</v>
      </c>
      <c r="H21" s="295">
        <v>104</v>
      </c>
      <c r="I21" s="323">
        <v>555</v>
      </c>
      <c r="J21" s="327">
        <v>16</v>
      </c>
      <c r="K21" s="327">
        <v>38</v>
      </c>
      <c r="L21" s="327">
        <v>3.5</v>
      </c>
      <c r="M21" s="327">
        <v>5.8330000000000002</v>
      </c>
      <c r="N21" s="389">
        <v>17500</v>
      </c>
      <c r="O21" s="389">
        <f t="shared" ref="O21:O30" si="16">F21*N21</f>
        <v>0</v>
      </c>
      <c r="P21" s="259" t="str">
        <f t="shared" si="15"/>
        <v>Aristocrat</v>
      </c>
      <c r="Q21" s="254">
        <f>E21</f>
        <v>25075</v>
      </c>
      <c r="R21" s="254">
        <f t="shared" ref="R21:R29" si="17">$C$64</f>
        <v>1200</v>
      </c>
      <c r="S21" s="254">
        <f>S18</f>
        <v>0</v>
      </c>
      <c r="T21" s="255">
        <f>SUM(Q21:S21)</f>
        <v>26275</v>
      </c>
      <c r="U21" s="254">
        <f t="shared" ref="U21:U29" si="18">$C$69</f>
        <v>2300</v>
      </c>
      <c r="V21" s="254">
        <f t="shared" ref="V21:V29" si="19">$C$73</f>
        <v>9000</v>
      </c>
      <c r="W21" s="254">
        <f t="shared" ref="W21:W29" si="20">$C$77</f>
        <v>3110</v>
      </c>
      <c r="X21" s="242">
        <f t="shared" si="4"/>
        <v>40685</v>
      </c>
      <c r="Z21" s="330">
        <f>VLOOKUP('NEW POOL'!A$23,FIBER!B$20:M$30,6,FALSE)</f>
        <v>0</v>
      </c>
    </row>
    <row r="22" spans="1:26">
      <c r="A22" s="659"/>
      <c r="B22" s="237" t="s">
        <v>1096</v>
      </c>
      <c r="C22" s="250">
        <v>18983</v>
      </c>
      <c r="D22" s="250">
        <f>23197+2088</f>
        <v>25285</v>
      </c>
      <c r="E22" s="250">
        <v>26100</v>
      </c>
      <c r="F22" s="295">
        <f>IF('NEW POOL'!$A$23=FIBER!P22,1,0)</f>
        <v>0</v>
      </c>
      <c r="G22" s="302">
        <f t="shared" ref="G22:G30" si="21">E22*F22</f>
        <v>0</v>
      </c>
      <c r="H22" s="295">
        <v>101</v>
      </c>
      <c r="I22" s="323">
        <v>518</v>
      </c>
      <c r="J22" s="327">
        <v>16</v>
      </c>
      <c r="K22" s="327">
        <v>37.832999999999998</v>
      </c>
      <c r="L22" s="327">
        <v>3.5</v>
      </c>
      <c r="M22" s="327">
        <v>7</v>
      </c>
      <c r="N22" s="389">
        <v>18500</v>
      </c>
      <c r="O22" s="389">
        <f t="shared" si="16"/>
        <v>0</v>
      </c>
      <c r="P22" s="259" t="str">
        <f t="shared" si="15"/>
        <v>Lotus XL</v>
      </c>
      <c r="Q22" s="254">
        <f t="shared" ref="Q22:Q30" si="22">E22</f>
        <v>26100</v>
      </c>
      <c r="R22" s="254">
        <f t="shared" si="17"/>
        <v>1200</v>
      </c>
      <c r="S22" s="254">
        <f>S21</f>
        <v>0</v>
      </c>
      <c r="T22" s="255">
        <f t="shared" ref="T22:T30" si="23">SUM(Q22:S22)</f>
        <v>27300</v>
      </c>
      <c r="U22" s="254">
        <f t="shared" si="18"/>
        <v>2300</v>
      </c>
      <c r="V22" s="254">
        <f t="shared" si="19"/>
        <v>9000</v>
      </c>
      <c r="W22" s="254">
        <f t="shared" si="20"/>
        <v>3110</v>
      </c>
      <c r="X22" s="242">
        <f t="shared" si="4"/>
        <v>41710</v>
      </c>
      <c r="Z22" s="330">
        <f>VLOOKUP('NEW POOL'!A$23,FIBER!B$20:M$30,7,FALSE)</f>
        <v>0</v>
      </c>
    </row>
    <row r="23" spans="1:26">
      <c r="A23" s="659"/>
      <c r="B23" s="237" t="s">
        <v>951</v>
      </c>
      <c r="C23" s="250">
        <v>20551</v>
      </c>
      <c r="D23" s="250">
        <f>20740+1867</f>
        <v>22607</v>
      </c>
      <c r="E23" s="250">
        <v>25600</v>
      </c>
      <c r="F23" s="295">
        <f>IF('NEW POOL'!$A$23=FIBER!P23,1,0)</f>
        <v>0</v>
      </c>
      <c r="G23" s="302">
        <f t="shared" si="21"/>
        <v>0</v>
      </c>
      <c r="H23" s="295">
        <v>114</v>
      </c>
      <c r="I23" s="323">
        <v>381</v>
      </c>
      <c r="J23" s="327">
        <v>16</v>
      </c>
      <c r="K23" s="327">
        <v>35</v>
      </c>
      <c r="L23" s="327">
        <v>4.25</v>
      </c>
      <c r="M23" s="327">
        <v>6.5</v>
      </c>
      <c r="N23" s="389">
        <v>11500</v>
      </c>
      <c r="O23" s="389">
        <f t="shared" si="16"/>
        <v>0</v>
      </c>
      <c r="P23" s="259" t="str">
        <f t="shared" si="15"/>
        <v>Elysium Grand</v>
      </c>
      <c r="Q23" s="254">
        <f t="shared" si="22"/>
        <v>25600</v>
      </c>
      <c r="R23" s="254">
        <f t="shared" si="17"/>
        <v>1200</v>
      </c>
      <c r="S23" s="254">
        <f t="shared" ref="S23:S29" si="24">S22</f>
        <v>0</v>
      </c>
      <c r="T23" s="255">
        <f t="shared" si="23"/>
        <v>26800</v>
      </c>
      <c r="U23" s="254">
        <f t="shared" si="18"/>
        <v>2300</v>
      </c>
      <c r="V23" s="254">
        <f t="shared" si="19"/>
        <v>9000</v>
      </c>
      <c r="W23" s="254">
        <f t="shared" si="20"/>
        <v>3110</v>
      </c>
      <c r="X23" s="242">
        <f t="shared" si="4"/>
        <v>41210</v>
      </c>
      <c r="Z23" s="330">
        <f>VLOOKUP('NEW POOL'!A$23,FIBER!B$20:M$30,8,FALSE)</f>
        <v>0</v>
      </c>
    </row>
    <row r="24" spans="1:26">
      <c r="A24" s="659"/>
      <c r="B24" s="237" t="s">
        <v>952</v>
      </c>
      <c r="C24" s="250">
        <v>18301</v>
      </c>
      <c r="D24" s="250">
        <f>24700+2223</f>
        <v>26923</v>
      </c>
      <c r="E24" s="250">
        <v>30000</v>
      </c>
      <c r="F24" s="295">
        <f>IF('NEW POOL'!$A$23=FIBER!P24,1,0)</f>
        <v>0</v>
      </c>
      <c r="G24" s="302">
        <f t="shared" si="21"/>
        <v>0</v>
      </c>
      <c r="H24" s="295">
        <v>137</v>
      </c>
      <c r="I24" s="323">
        <v>548</v>
      </c>
      <c r="J24" s="327">
        <v>15.833</v>
      </c>
      <c r="K24" s="327">
        <v>40</v>
      </c>
      <c r="L24" s="327">
        <v>3.5</v>
      </c>
      <c r="M24" s="327">
        <v>7</v>
      </c>
      <c r="N24" s="389">
        <v>15600</v>
      </c>
      <c r="O24" s="389">
        <f t="shared" si="16"/>
        <v>0</v>
      </c>
      <c r="P24" s="259" t="str">
        <f t="shared" si="15"/>
        <v>Grand Palace</v>
      </c>
      <c r="Q24" s="254">
        <f t="shared" si="22"/>
        <v>30000</v>
      </c>
      <c r="R24" s="254">
        <f t="shared" si="17"/>
        <v>1200</v>
      </c>
      <c r="S24" s="254">
        <f t="shared" si="24"/>
        <v>0</v>
      </c>
      <c r="T24" s="255">
        <f t="shared" si="23"/>
        <v>31200</v>
      </c>
      <c r="U24" s="254">
        <f t="shared" si="18"/>
        <v>2300</v>
      </c>
      <c r="V24" s="254">
        <f t="shared" si="19"/>
        <v>9000</v>
      </c>
      <c r="W24" s="254">
        <f t="shared" si="20"/>
        <v>3110</v>
      </c>
      <c r="X24" s="242">
        <f t="shared" si="4"/>
        <v>45610</v>
      </c>
      <c r="Z24" s="330">
        <f>VLOOKUP('NEW POOL'!A$23,FIBER!B$20:M$30,9,FALSE)</f>
        <v>0</v>
      </c>
    </row>
    <row r="25" spans="1:26">
      <c r="A25" s="659"/>
      <c r="B25" s="237" t="s">
        <v>953</v>
      </c>
      <c r="C25" s="250">
        <v>21883</v>
      </c>
      <c r="D25" s="250">
        <f>25271+2275</f>
        <v>27546</v>
      </c>
      <c r="E25" s="250">
        <v>21700</v>
      </c>
      <c r="F25" s="295">
        <f>IF('NEW POOL'!$A$23=FIBER!P25,1,0)</f>
        <v>0</v>
      </c>
      <c r="G25" s="302">
        <f t="shared" si="21"/>
        <v>0</v>
      </c>
      <c r="H25" s="295">
        <v>94</v>
      </c>
      <c r="I25" s="323">
        <v>480</v>
      </c>
      <c r="J25" s="327">
        <v>16</v>
      </c>
      <c r="K25" s="327">
        <v>33</v>
      </c>
      <c r="L25" s="327">
        <v>3.5830000000000002</v>
      </c>
      <c r="M25" s="327">
        <v>5.4169999999999998</v>
      </c>
      <c r="N25" s="389">
        <v>15000</v>
      </c>
      <c r="O25" s="389">
        <f t="shared" si="16"/>
        <v>0</v>
      </c>
      <c r="P25" s="259" t="str">
        <f t="shared" si="15"/>
        <v>Imperial</v>
      </c>
      <c r="Q25" s="254">
        <f t="shared" si="22"/>
        <v>21700</v>
      </c>
      <c r="R25" s="254">
        <f t="shared" si="17"/>
        <v>1200</v>
      </c>
      <c r="S25" s="254">
        <f t="shared" si="24"/>
        <v>0</v>
      </c>
      <c r="T25" s="255">
        <f t="shared" si="23"/>
        <v>22900</v>
      </c>
      <c r="U25" s="254">
        <f t="shared" si="18"/>
        <v>2300</v>
      </c>
      <c r="V25" s="254">
        <f t="shared" si="19"/>
        <v>9000</v>
      </c>
      <c r="W25" s="254">
        <f t="shared" si="20"/>
        <v>3110</v>
      </c>
      <c r="X25" s="242">
        <f t="shared" si="4"/>
        <v>37310</v>
      </c>
      <c r="Z25" s="330">
        <f>VLOOKUP('NEW POOL'!A$23,FIBER!B$20:M$30,10,FALSE)</f>
        <v>0</v>
      </c>
    </row>
    <row r="26" spans="1:26">
      <c r="A26" s="659"/>
      <c r="B26" s="237" t="s">
        <v>1098</v>
      </c>
      <c r="C26" s="250">
        <v>19777</v>
      </c>
      <c r="D26" s="250">
        <f>21032+1893</f>
        <v>22925</v>
      </c>
      <c r="E26" s="250">
        <v>24000</v>
      </c>
      <c r="F26" s="295">
        <f>IF('NEW POOL'!$A$23=FIBER!P26,1,0)</f>
        <v>0</v>
      </c>
      <c r="G26" s="302">
        <f t="shared" si="21"/>
        <v>0</v>
      </c>
      <c r="H26" s="295">
        <v>96</v>
      </c>
      <c r="I26" s="323">
        <v>468</v>
      </c>
      <c r="J26" s="327">
        <v>16</v>
      </c>
      <c r="K26" s="327">
        <v>40</v>
      </c>
      <c r="L26" s="327">
        <v>3.5</v>
      </c>
      <c r="M26" s="327">
        <v>6.5</v>
      </c>
      <c r="N26" s="389">
        <v>17000</v>
      </c>
      <c r="O26" s="389">
        <f t="shared" si="16"/>
        <v>0</v>
      </c>
      <c r="P26" s="259" t="str">
        <f t="shared" si="15"/>
        <v>Gayla 16</v>
      </c>
      <c r="Q26" s="254">
        <f t="shared" si="22"/>
        <v>24000</v>
      </c>
      <c r="R26" s="254">
        <f t="shared" si="17"/>
        <v>1200</v>
      </c>
      <c r="S26" s="254">
        <f t="shared" si="24"/>
        <v>0</v>
      </c>
      <c r="T26" s="255">
        <f t="shared" si="23"/>
        <v>25200</v>
      </c>
      <c r="U26" s="254">
        <f t="shared" si="18"/>
        <v>2300</v>
      </c>
      <c r="V26" s="254">
        <f t="shared" si="19"/>
        <v>9000</v>
      </c>
      <c r="W26" s="254">
        <f t="shared" si="20"/>
        <v>3110</v>
      </c>
      <c r="X26" s="242">
        <f t="shared" si="4"/>
        <v>39610</v>
      </c>
    </row>
    <row r="27" spans="1:26">
      <c r="A27" s="659"/>
      <c r="B27" s="263" t="s">
        <v>954</v>
      </c>
      <c r="C27" s="101">
        <v>15135</v>
      </c>
      <c r="D27" s="250">
        <f>22995+2069</f>
        <v>25064</v>
      </c>
      <c r="E27" s="250">
        <v>23300</v>
      </c>
      <c r="F27" s="295">
        <f>IF('NEW POOL'!$A$23=FIBER!P27,1,0)</f>
        <v>0</v>
      </c>
      <c r="G27" s="302">
        <f t="shared" si="21"/>
        <v>0</v>
      </c>
      <c r="H27" s="295">
        <v>87</v>
      </c>
      <c r="I27" s="323">
        <v>395</v>
      </c>
      <c r="J27" s="327">
        <v>16</v>
      </c>
      <c r="K27" s="327">
        <v>35</v>
      </c>
      <c r="L27" s="327">
        <v>4.5</v>
      </c>
      <c r="M27" s="327">
        <v>6.5</v>
      </c>
      <c r="N27" s="389">
        <v>11600</v>
      </c>
      <c r="O27" s="389">
        <f t="shared" si="16"/>
        <v>0</v>
      </c>
      <c r="P27" s="259" t="str">
        <f t="shared" si="15"/>
        <v>Oasis 16</v>
      </c>
      <c r="Q27" s="254">
        <f t="shared" si="22"/>
        <v>23300</v>
      </c>
      <c r="R27" s="254">
        <f t="shared" si="17"/>
        <v>1200</v>
      </c>
      <c r="S27" s="254">
        <f t="shared" si="24"/>
        <v>0</v>
      </c>
      <c r="T27" s="255">
        <f t="shared" si="23"/>
        <v>24500</v>
      </c>
      <c r="U27" s="254">
        <f t="shared" si="18"/>
        <v>2300</v>
      </c>
      <c r="V27" s="254">
        <f t="shared" si="19"/>
        <v>9000</v>
      </c>
      <c r="W27" s="254">
        <f t="shared" si="20"/>
        <v>3110</v>
      </c>
      <c r="X27" s="242">
        <f t="shared" si="4"/>
        <v>38910</v>
      </c>
    </row>
    <row r="28" spans="1:26">
      <c r="A28" s="659"/>
      <c r="B28" s="263" t="s">
        <v>1097</v>
      </c>
      <c r="C28" s="101"/>
      <c r="D28" s="250"/>
      <c r="E28" s="250">
        <v>27725</v>
      </c>
      <c r="F28" s="295">
        <f>IF('NEW POOL'!$A$23=FIBER!P28,1,0)</f>
        <v>0</v>
      </c>
      <c r="G28" s="302">
        <f t="shared" si="21"/>
        <v>0</v>
      </c>
      <c r="H28" s="295">
        <v>83</v>
      </c>
      <c r="I28" s="323">
        <v>375</v>
      </c>
      <c r="J28" s="327">
        <v>15</v>
      </c>
      <c r="K28" s="327">
        <v>34</v>
      </c>
      <c r="L28" s="327">
        <v>3.5</v>
      </c>
      <c r="M28" s="327">
        <v>6</v>
      </c>
      <c r="N28" s="389">
        <v>12000</v>
      </c>
      <c r="O28" s="389">
        <f t="shared" si="16"/>
        <v>0</v>
      </c>
      <c r="P28" s="259" t="str">
        <f t="shared" si="15"/>
        <v xml:space="preserve">Gayla XDL </v>
      </c>
      <c r="Q28" s="254">
        <f t="shared" si="22"/>
        <v>27725</v>
      </c>
      <c r="R28" s="254">
        <f t="shared" si="17"/>
        <v>1200</v>
      </c>
      <c r="S28" s="254">
        <f t="shared" si="24"/>
        <v>0</v>
      </c>
      <c r="T28" s="255">
        <f>SUM(Q28:S28)</f>
        <v>28925</v>
      </c>
      <c r="U28" s="254">
        <f t="shared" si="18"/>
        <v>2300</v>
      </c>
      <c r="V28" s="254">
        <f t="shared" si="19"/>
        <v>9000</v>
      </c>
      <c r="W28" s="254">
        <f t="shared" si="20"/>
        <v>3110</v>
      </c>
      <c r="X28" s="242">
        <f t="shared" si="4"/>
        <v>43335</v>
      </c>
    </row>
    <row r="29" spans="1:26">
      <c r="A29" s="659"/>
      <c r="B29" s="263" t="s">
        <v>955</v>
      </c>
      <c r="C29" s="101"/>
      <c r="D29" s="250"/>
      <c r="E29" s="250">
        <v>30500</v>
      </c>
      <c r="F29" s="295">
        <f>IF('NEW POOL'!$A$23=FIBER!P29,1,0)</f>
        <v>0</v>
      </c>
      <c r="G29" s="302">
        <f t="shared" si="21"/>
        <v>0</v>
      </c>
      <c r="H29" s="295">
        <v>108</v>
      </c>
      <c r="I29" s="323">
        <v>585</v>
      </c>
      <c r="J29" s="327">
        <v>16</v>
      </c>
      <c r="K29" s="327">
        <v>40</v>
      </c>
      <c r="L29" s="327">
        <v>3.6669999999999998</v>
      </c>
      <c r="M29" s="327">
        <v>8</v>
      </c>
      <c r="N29" s="389">
        <v>21000</v>
      </c>
      <c r="O29" s="389">
        <f t="shared" si="16"/>
        <v>0</v>
      </c>
      <c r="P29" s="259" t="str">
        <f t="shared" si="15"/>
        <v>Versailles</v>
      </c>
      <c r="Q29" s="254">
        <f t="shared" si="22"/>
        <v>30500</v>
      </c>
      <c r="R29" s="254">
        <f t="shared" si="17"/>
        <v>1200</v>
      </c>
      <c r="S29" s="254">
        <f t="shared" si="24"/>
        <v>0</v>
      </c>
      <c r="T29" s="255">
        <f>SUM(Q29:S29)</f>
        <v>31700</v>
      </c>
      <c r="U29" s="254">
        <f t="shared" si="18"/>
        <v>2300</v>
      </c>
      <c r="V29" s="254">
        <f t="shared" si="19"/>
        <v>9000</v>
      </c>
      <c r="W29" s="254">
        <f t="shared" si="20"/>
        <v>3110</v>
      </c>
      <c r="X29" s="242">
        <f t="shared" si="4"/>
        <v>46110</v>
      </c>
    </row>
    <row r="30" spans="1:26" ht="15" thickBot="1">
      <c r="A30" s="660"/>
      <c r="B30" s="263" t="s">
        <v>956</v>
      </c>
      <c r="C30" s="101">
        <v>22008</v>
      </c>
      <c r="D30" s="250">
        <f>23591+2124</f>
        <v>25715</v>
      </c>
      <c r="E30" s="250">
        <v>29600</v>
      </c>
      <c r="F30" s="295">
        <f>IF('NEW POOL'!$A$23=FIBER!P30,1,0)</f>
        <v>0</v>
      </c>
      <c r="G30" s="302">
        <f t="shared" si="21"/>
        <v>0</v>
      </c>
      <c r="H30" s="295">
        <v>107</v>
      </c>
      <c r="I30" s="323">
        <v>563</v>
      </c>
      <c r="J30" s="327">
        <v>15.833</v>
      </c>
      <c r="K30" s="327">
        <v>40</v>
      </c>
      <c r="L30" s="327">
        <v>3.5</v>
      </c>
      <c r="M30" s="327">
        <v>7</v>
      </c>
      <c r="N30" s="389">
        <v>15400</v>
      </c>
      <c r="O30" s="389">
        <f t="shared" si="16"/>
        <v>0</v>
      </c>
      <c r="P30" s="259" t="str">
        <f t="shared" si="15"/>
        <v>Villa Reale</v>
      </c>
      <c r="Q30" s="254">
        <f t="shared" si="22"/>
        <v>29600</v>
      </c>
      <c r="R30" s="254">
        <f>$C$64</f>
        <v>1200</v>
      </c>
      <c r="S30" s="254">
        <f>S27</f>
        <v>0</v>
      </c>
      <c r="T30" s="255">
        <f t="shared" si="23"/>
        <v>30800</v>
      </c>
      <c r="U30" s="254">
        <f>$C$69</f>
        <v>2300</v>
      </c>
      <c r="V30" s="254">
        <f>$C$73</f>
        <v>9000</v>
      </c>
      <c r="W30" s="254">
        <f>$C$77</f>
        <v>3110</v>
      </c>
      <c r="X30" s="242">
        <f t="shared" si="4"/>
        <v>45210</v>
      </c>
    </row>
    <row r="31" spans="1:26" ht="15" thickBot="1">
      <c r="A31" s="278"/>
      <c r="B31" s="291"/>
      <c r="C31" s="257"/>
      <c r="D31" s="358"/>
      <c r="E31" s="358"/>
      <c r="F31" s="285"/>
      <c r="G31" s="326">
        <f>SUM(G20:G30)</f>
        <v>0</v>
      </c>
      <c r="H31" s="276"/>
      <c r="I31" s="276"/>
      <c r="J31" s="276"/>
      <c r="K31" s="276"/>
      <c r="L31" s="276"/>
      <c r="M31" s="276"/>
      <c r="N31" s="276"/>
      <c r="O31" s="435">
        <f>SUM(O20:O30)</f>
        <v>0</v>
      </c>
      <c r="Q31" s="276"/>
      <c r="R31" s="276"/>
      <c r="S31" s="276"/>
      <c r="T31" s="277"/>
      <c r="U31" s="276"/>
      <c r="V31" s="276"/>
      <c r="W31" s="276"/>
      <c r="X31" s="276"/>
    </row>
    <row r="32" spans="1:26">
      <c r="A32" s="278"/>
      <c r="B32" s="268" t="s">
        <v>756</v>
      </c>
      <c r="C32" s="252">
        <v>0</v>
      </c>
      <c r="D32" s="252">
        <f>C32</f>
        <v>0</v>
      </c>
      <c r="E32" s="252">
        <f>D32</f>
        <v>0</v>
      </c>
      <c r="F32" s="289">
        <f>IF('NEW POOL'!A24=FIBER!B32,1,0)</f>
        <v>0</v>
      </c>
      <c r="G32" s="262">
        <f>C32*F32</f>
        <v>0</v>
      </c>
      <c r="H32" s="276"/>
      <c r="I32" s="276"/>
      <c r="J32" s="276"/>
      <c r="K32" s="276"/>
      <c r="L32" s="276"/>
      <c r="M32" s="276"/>
      <c r="N32" s="276"/>
      <c r="O32" s="276"/>
      <c r="Q32" s="276"/>
      <c r="R32" s="276"/>
      <c r="S32" s="276"/>
      <c r="T32" s="277"/>
      <c r="U32" s="276"/>
      <c r="V32" s="276"/>
      <c r="W32" s="276"/>
      <c r="X32" s="276"/>
    </row>
    <row r="33" spans="1:16">
      <c r="B33" s="264" t="s">
        <v>727</v>
      </c>
      <c r="C33" s="101">
        <v>1000</v>
      </c>
      <c r="D33" s="101">
        <v>1000</v>
      </c>
      <c r="E33" s="101">
        <v>1000</v>
      </c>
      <c r="F33" s="119">
        <f>IF('NEW POOL'!A24=FIBER!B33,1,0)</f>
        <v>0</v>
      </c>
      <c r="G33" s="242">
        <f>C33*F33</f>
        <v>0</v>
      </c>
      <c r="H33" s="276"/>
      <c r="I33" s="276"/>
      <c r="J33" s="276"/>
      <c r="K33" s="276"/>
      <c r="L33" s="276"/>
      <c r="M33" s="276"/>
      <c r="N33" s="276" t="s">
        <v>839</v>
      </c>
      <c r="O33" s="391">
        <f>O10+O19+O31</f>
        <v>0</v>
      </c>
    </row>
    <row r="34" spans="1:16" ht="15" thickBot="1">
      <c r="B34" s="288" t="s">
        <v>728</v>
      </c>
      <c r="C34" s="251">
        <v>1500</v>
      </c>
      <c r="D34" s="251">
        <v>1500</v>
      </c>
      <c r="E34" s="251">
        <v>1500</v>
      </c>
      <c r="F34" s="290">
        <f>IF('NEW POOL'!A24=FIBER!B34,1,0)</f>
        <v>1</v>
      </c>
      <c r="G34" s="256">
        <f>C34*F34</f>
        <v>1500</v>
      </c>
      <c r="H34" s="276"/>
      <c r="I34" s="116"/>
      <c r="K34" s="429"/>
      <c r="M34" s="391"/>
      <c r="N34" s="392"/>
      <c r="O34" s="276"/>
    </row>
    <row r="35" spans="1:16" ht="15" thickBot="1">
      <c r="B35" s="267"/>
      <c r="C35" s="253"/>
      <c r="D35" s="253"/>
      <c r="E35" s="253"/>
      <c r="F35" s="5"/>
      <c r="G35" s="276"/>
      <c r="H35" s="276"/>
      <c r="J35" s="129"/>
      <c r="K35" s="429"/>
      <c r="L35" s="129"/>
      <c r="M35" s="51"/>
      <c r="N35" s="276"/>
      <c r="O35" s="276"/>
    </row>
    <row r="36" spans="1:16" ht="14.4" customHeight="1">
      <c r="A36" s="661" t="s">
        <v>726</v>
      </c>
      <c r="B36" s="265" t="s">
        <v>757</v>
      </c>
      <c r="C36" s="252">
        <v>0</v>
      </c>
      <c r="D36" s="252"/>
      <c r="E36" s="252">
        <v>0</v>
      </c>
      <c r="F36" s="289">
        <f>IF('NEW POOL'!A25=FIBER!B36,1,0)</f>
        <v>1</v>
      </c>
      <c r="G36" s="262">
        <f>C36*F36</f>
        <v>0</v>
      </c>
      <c r="H36" s="276"/>
      <c r="I36" s="276"/>
      <c r="J36" s="276"/>
      <c r="K36" s="276"/>
      <c r="L36" s="276"/>
      <c r="M36" s="276"/>
      <c r="N36" s="276"/>
      <c r="O36" s="276"/>
    </row>
    <row r="37" spans="1:16" ht="14.4" customHeight="1">
      <c r="A37" s="662"/>
      <c r="B37" s="439" t="s">
        <v>943</v>
      </c>
      <c r="C37" s="440"/>
      <c r="D37" s="440"/>
      <c r="E37" s="440">
        <v>4794</v>
      </c>
      <c r="F37" s="119">
        <f>IF('NEW POOL'!A$25=FIBER!B37,1,0)</f>
        <v>0</v>
      </c>
      <c r="G37" s="242">
        <f t="shared" ref="G37:G42" si="25">D37*F37</f>
        <v>0</v>
      </c>
      <c r="H37" s="276"/>
      <c r="I37" s="276"/>
      <c r="J37" s="276"/>
      <c r="K37" s="276"/>
      <c r="L37" s="276"/>
      <c r="M37" s="276"/>
      <c r="N37" s="276"/>
      <c r="O37" s="276"/>
    </row>
    <row r="38" spans="1:16">
      <c r="A38" s="662"/>
      <c r="B38" s="235" t="s">
        <v>723</v>
      </c>
      <c r="C38" s="101">
        <v>3379</v>
      </c>
      <c r="D38" s="101">
        <f>3814+350</f>
        <v>4164</v>
      </c>
      <c r="E38" s="101">
        <v>4575</v>
      </c>
      <c r="F38" s="119">
        <f>IF('NEW POOL'!A$25=FIBER!B38,1,0)</f>
        <v>0</v>
      </c>
      <c r="G38" s="242">
        <f t="shared" si="25"/>
        <v>0</v>
      </c>
      <c r="H38" s="276"/>
      <c r="I38" s="276"/>
      <c r="J38" s="276"/>
      <c r="K38" s="276"/>
      <c r="L38" s="276"/>
      <c r="M38" s="276"/>
      <c r="N38" s="276"/>
      <c r="O38" s="276"/>
    </row>
    <row r="39" spans="1:16">
      <c r="A39" s="662"/>
      <c r="B39" s="235" t="s">
        <v>944</v>
      </c>
      <c r="C39" s="101">
        <v>0</v>
      </c>
      <c r="D39" s="101">
        <v>0</v>
      </c>
      <c r="E39" s="101">
        <v>5000</v>
      </c>
      <c r="F39" s="119">
        <f>IF('NEW POOL'!A$25=FIBER!B39,1,0)</f>
        <v>0</v>
      </c>
      <c r="G39" s="242">
        <f t="shared" si="25"/>
        <v>0</v>
      </c>
      <c r="H39" s="276"/>
      <c r="I39" s="276"/>
      <c r="J39" s="276"/>
      <c r="K39" s="276"/>
      <c r="L39" s="276"/>
      <c r="M39" s="276"/>
      <c r="N39" s="276"/>
      <c r="O39" s="276"/>
    </row>
    <row r="40" spans="1:16">
      <c r="A40" s="662"/>
      <c r="B40" s="235" t="s">
        <v>724</v>
      </c>
      <c r="C40" s="101">
        <v>3226</v>
      </c>
      <c r="D40" s="101">
        <f>3641+330</f>
        <v>3971</v>
      </c>
      <c r="E40" s="101">
        <v>5000</v>
      </c>
      <c r="F40" s="119">
        <f>IF('NEW POOL'!A$25=FIBER!B40,1,0)</f>
        <v>0</v>
      </c>
      <c r="G40" s="242">
        <f t="shared" si="25"/>
        <v>0</v>
      </c>
      <c r="H40" s="276"/>
      <c r="I40" s="276"/>
      <c r="J40" s="276"/>
      <c r="K40" s="276"/>
      <c r="L40" s="276"/>
      <c r="M40" s="276"/>
      <c r="N40" s="276"/>
      <c r="O40" s="276"/>
    </row>
    <row r="41" spans="1:16">
      <c r="A41" s="662"/>
      <c r="B41" s="235" t="s">
        <v>725</v>
      </c>
      <c r="C41" s="101">
        <v>2610</v>
      </c>
      <c r="D41" s="101">
        <f>2947+266</f>
        <v>3213</v>
      </c>
      <c r="E41" s="101">
        <v>4150</v>
      </c>
      <c r="F41" s="119">
        <f>IF('NEW POOL'!A$25=FIBER!B41,1,0)</f>
        <v>0</v>
      </c>
      <c r="G41" s="242">
        <f t="shared" si="25"/>
        <v>0</v>
      </c>
      <c r="H41" s="276"/>
      <c r="I41" s="276"/>
      <c r="J41" s="276"/>
      <c r="K41" s="276"/>
      <c r="L41" s="276"/>
      <c r="M41" s="276"/>
      <c r="N41" s="276"/>
      <c r="O41" s="276"/>
    </row>
    <row r="42" spans="1:16" ht="15" thickBot="1">
      <c r="A42" s="663"/>
      <c r="B42" s="266" t="s">
        <v>776</v>
      </c>
      <c r="C42" s="251">
        <v>500</v>
      </c>
      <c r="D42" s="251">
        <f>C42*1.05</f>
        <v>525</v>
      </c>
      <c r="E42" s="251">
        <v>75</v>
      </c>
      <c r="F42" s="290">
        <f>'NEW POOL'!B26</f>
        <v>0</v>
      </c>
      <c r="G42" s="256">
        <f t="shared" si="25"/>
        <v>0</v>
      </c>
      <c r="H42" s="276"/>
      <c r="I42" s="276"/>
      <c r="J42" s="276"/>
      <c r="K42" s="276"/>
      <c r="L42" s="276"/>
      <c r="M42" s="276"/>
      <c r="N42" s="276"/>
      <c r="O42" s="276"/>
      <c r="P42" s="4" t="s">
        <v>777</v>
      </c>
    </row>
    <row r="43" spans="1:16" ht="15" thickBot="1">
      <c r="A43" s="278"/>
      <c r="B43" s="291"/>
      <c r="C43" s="257"/>
      <c r="D43" s="358"/>
      <c r="E43" s="358"/>
      <c r="F43" s="285" t="s">
        <v>760</v>
      </c>
      <c r="G43" s="445">
        <f>SUM(G36:G42)</f>
        <v>0</v>
      </c>
      <c r="H43" s="276"/>
      <c r="I43" s="276"/>
      <c r="J43" s="276"/>
      <c r="K43" s="276"/>
      <c r="L43" s="276"/>
      <c r="M43" s="276"/>
      <c r="N43" s="276"/>
      <c r="O43" s="276"/>
      <c r="P43" s="4" t="s">
        <v>778</v>
      </c>
    </row>
    <row r="44" spans="1:16" ht="15" thickBot="1">
      <c r="A44" s="278"/>
      <c r="B44" s="269"/>
      <c r="C44" s="257"/>
      <c r="D44" s="358"/>
      <c r="E44" s="358"/>
      <c r="F44" s="285"/>
      <c r="G44" s="276"/>
      <c r="H44" s="276"/>
      <c r="I44" s="276"/>
      <c r="J44" s="276"/>
      <c r="K44" s="276"/>
      <c r="L44" s="276"/>
      <c r="M44" s="276"/>
      <c r="N44" s="276"/>
      <c r="O44" s="276"/>
    </row>
    <row r="45" spans="1:16">
      <c r="A45" s="278"/>
      <c r="B45" s="265" t="s">
        <v>756</v>
      </c>
      <c r="C45" s="252">
        <v>0</v>
      </c>
      <c r="D45" s="252">
        <f t="shared" ref="D45:E47" si="26">C45</f>
        <v>0</v>
      </c>
      <c r="E45" s="252">
        <f t="shared" si="26"/>
        <v>0</v>
      </c>
      <c r="F45" s="289">
        <f>F32</f>
        <v>0</v>
      </c>
      <c r="G45" s="262">
        <f>C45*F45</f>
        <v>0</v>
      </c>
      <c r="H45" s="276"/>
      <c r="I45" s="276"/>
      <c r="J45" s="276"/>
      <c r="K45" s="276"/>
      <c r="L45" s="276"/>
      <c r="M45" s="276"/>
      <c r="N45" s="276"/>
      <c r="O45" s="276"/>
    </row>
    <row r="46" spans="1:16">
      <c r="B46" s="264" t="s">
        <v>727</v>
      </c>
      <c r="C46" s="101">
        <v>500</v>
      </c>
      <c r="D46" s="101">
        <f t="shared" si="26"/>
        <v>500</v>
      </c>
      <c r="E46" s="101">
        <f t="shared" si="26"/>
        <v>500</v>
      </c>
      <c r="F46" s="119">
        <f>F33*P46</f>
        <v>0</v>
      </c>
      <c r="G46" s="242">
        <f>C46*F46</f>
        <v>0</v>
      </c>
      <c r="H46" s="276"/>
      <c r="I46" s="276"/>
      <c r="J46" s="276"/>
      <c r="K46" s="276"/>
      <c r="L46" s="276"/>
      <c r="M46" s="276"/>
      <c r="N46" s="276"/>
      <c r="O46" s="276"/>
      <c r="P46" s="287">
        <f>'NEW POOL'!B25</f>
        <v>0</v>
      </c>
    </row>
    <row r="47" spans="1:16" ht="15" thickBot="1">
      <c r="B47" s="288" t="s">
        <v>728</v>
      </c>
      <c r="C47" s="251">
        <v>750</v>
      </c>
      <c r="D47" s="251">
        <f t="shared" si="26"/>
        <v>750</v>
      </c>
      <c r="E47" s="251">
        <f t="shared" si="26"/>
        <v>750</v>
      </c>
      <c r="F47" s="290">
        <f>F34*P47</f>
        <v>0</v>
      </c>
      <c r="G47" s="256">
        <f>C47*F47</f>
        <v>0</v>
      </c>
      <c r="H47" s="276"/>
      <c r="I47" s="276"/>
      <c r="J47" s="276"/>
      <c r="K47" s="276"/>
      <c r="L47" s="276"/>
      <c r="M47" s="276"/>
      <c r="N47" s="276"/>
      <c r="O47" s="276"/>
      <c r="P47" s="287">
        <f>P46</f>
        <v>0</v>
      </c>
    </row>
    <row r="48" spans="1:16" ht="15" thickBot="1">
      <c r="B48" s="267"/>
      <c r="C48" s="253"/>
      <c r="D48" s="253"/>
      <c r="E48" s="253"/>
      <c r="F48" s="5"/>
      <c r="G48" s="276"/>
      <c r="H48" s="276"/>
      <c r="I48" s="276"/>
      <c r="J48" s="276"/>
      <c r="K48" s="276"/>
      <c r="L48" s="276"/>
      <c r="M48" s="276"/>
      <c r="N48" s="276"/>
      <c r="O48" s="276"/>
      <c r="P48" s="287"/>
    </row>
    <row r="49" spans="1:16">
      <c r="A49" s="649" t="s">
        <v>733</v>
      </c>
      <c r="B49" s="265" t="s">
        <v>758</v>
      </c>
      <c r="C49" s="252">
        <v>0</v>
      </c>
      <c r="D49" s="252">
        <f>C49</f>
        <v>0</v>
      </c>
      <c r="E49" s="457">
        <v>0</v>
      </c>
      <c r="F49" s="441">
        <f>IF('NEW POOL'!$A$27=FIBER!B49,1,0)</f>
        <v>1</v>
      </c>
      <c r="G49" s="442">
        <f t="shared" ref="G49:G55" si="27">E49*F49</f>
        <v>0</v>
      </c>
      <c r="H49" s="276"/>
      <c r="I49" s="276"/>
      <c r="J49" s="276"/>
      <c r="K49" s="276"/>
      <c r="L49" s="276"/>
      <c r="M49" s="276"/>
      <c r="N49" s="276"/>
      <c r="O49" s="276"/>
      <c r="P49" s="287"/>
    </row>
    <row r="50" spans="1:16">
      <c r="A50" s="650"/>
      <c r="B50" s="439" t="s">
        <v>941</v>
      </c>
      <c r="C50" s="440"/>
      <c r="D50" s="440"/>
      <c r="E50" s="101">
        <v>2838</v>
      </c>
      <c r="F50" s="119">
        <f>IF('NEW POOL'!$A$27=FIBER!B50,1,0)</f>
        <v>0</v>
      </c>
      <c r="G50" s="242">
        <f t="shared" si="27"/>
        <v>0</v>
      </c>
      <c r="H50" s="276"/>
      <c r="I50" s="276"/>
      <c r="J50" s="276"/>
      <c r="K50" s="276"/>
      <c r="L50" s="276"/>
      <c r="M50" s="276"/>
      <c r="N50" s="276"/>
      <c r="O50" s="276"/>
      <c r="P50" s="287"/>
    </row>
    <row r="51" spans="1:16">
      <c r="A51" s="650"/>
      <c r="B51" s="235" t="s">
        <v>940</v>
      </c>
      <c r="C51" s="101"/>
      <c r="D51" s="101"/>
      <c r="E51" s="101">
        <v>4262</v>
      </c>
      <c r="F51" s="119">
        <f>IF('NEW POOL'!$A$27=FIBER!B51,1,0)</f>
        <v>0</v>
      </c>
      <c r="G51" s="242">
        <f t="shared" si="27"/>
        <v>0</v>
      </c>
      <c r="H51" s="276"/>
      <c r="I51" s="276"/>
      <c r="J51" s="276"/>
      <c r="K51" s="276"/>
      <c r="L51" s="276"/>
      <c r="M51" s="276"/>
      <c r="N51" s="276"/>
      <c r="O51" s="276"/>
      <c r="P51" s="287"/>
    </row>
    <row r="52" spans="1:16">
      <c r="A52" s="650"/>
      <c r="B52" s="439" t="s">
        <v>942</v>
      </c>
      <c r="C52" s="440">
        <v>3396</v>
      </c>
      <c r="D52" s="440">
        <f>3833+350</f>
        <v>4183</v>
      </c>
      <c r="E52" s="101">
        <v>3514</v>
      </c>
      <c r="F52" s="119">
        <f>IF('NEW POOL'!$A$27=FIBER!B52,1,0)</f>
        <v>0</v>
      </c>
      <c r="G52" s="242">
        <f t="shared" si="27"/>
        <v>0</v>
      </c>
      <c r="H52" s="276"/>
      <c r="I52" s="276"/>
      <c r="J52" s="276"/>
      <c r="K52" s="276"/>
      <c r="L52" s="276"/>
      <c r="M52" s="276"/>
      <c r="N52" s="276"/>
      <c r="O52" s="276"/>
      <c r="P52" s="287"/>
    </row>
    <row r="53" spans="1:16">
      <c r="A53" s="650"/>
      <c r="B53" s="439" t="s">
        <v>939</v>
      </c>
      <c r="C53" s="440"/>
      <c r="D53" s="440"/>
      <c r="E53" s="101">
        <v>3264</v>
      </c>
      <c r="F53" s="119">
        <f>IF('NEW POOL'!$A$27=FIBER!B53,1,0)</f>
        <v>0</v>
      </c>
      <c r="G53" s="242">
        <f t="shared" si="27"/>
        <v>0</v>
      </c>
      <c r="H53" s="276"/>
      <c r="I53" s="276"/>
      <c r="J53" s="276"/>
      <c r="K53" s="276"/>
      <c r="L53" s="276"/>
      <c r="M53" s="276"/>
      <c r="N53" s="276"/>
      <c r="O53" s="276"/>
      <c r="P53" s="287"/>
    </row>
    <row r="54" spans="1:16">
      <c r="A54" s="650"/>
      <c r="B54" s="439" t="s">
        <v>938</v>
      </c>
      <c r="C54" s="440"/>
      <c r="D54" s="440"/>
      <c r="E54" s="101">
        <v>5205</v>
      </c>
      <c r="F54" s="119">
        <f>IF('NEW POOL'!$A$27=FIBER!B54,1,0)</f>
        <v>0</v>
      </c>
      <c r="G54" s="242">
        <f t="shared" si="27"/>
        <v>0</v>
      </c>
      <c r="H54" s="276"/>
      <c r="I54" s="276"/>
      <c r="J54" s="276"/>
      <c r="K54" s="276"/>
      <c r="L54" s="276"/>
      <c r="M54" s="276"/>
      <c r="N54" s="276"/>
      <c r="O54" s="276"/>
      <c r="P54" s="287"/>
    </row>
    <row r="55" spans="1:16" ht="15" thickBot="1">
      <c r="A55" s="651"/>
      <c r="B55" s="266" t="s">
        <v>729</v>
      </c>
      <c r="C55" s="251">
        <v>3396</v>
      </c>
      <c r="D55" s="251">
        <f>3833+350</f>
        <v>4183</v>
      </c>
      <c r="E55" s="458">
        <v>4805</v>
      </c>
      <c r="F55" s="459">
        <f>IF('NEW POOL'!$A$27=FIBER!B55,1,0)</f>
        <v>0</v>
      </c>
      <c r="G55" s="443">
        <f t="shared" si="27"/>
        <v>0</v>
      </c>
      <c r="H55" s="276"/>
      <c r="I55" s="276"/>
      <c r="J55" s="276"/>
      <c r="K55" s="276"/>
      <c r="L55" s="276"/>
      <c r="M55" s="276"/>
      <c r="N55" s="276"/>
      <c r="O55" s="276"/>
      <c r="P55" s="287"/>
    </row>
    <row r="56" spans="1:16" ht="15" thickBot="1">
      <c r="A56" s="278"/>
      <c r="B56" s="291"/>
      <c r="C56" s="257"/>
      <c r="D56" s="358"/>
      <c r="E56" s="358"/>
      <c r="F56" s="285" t="s">
        <v>760</v>
      </c>
      <c r="G56" s="444">
        <f>SUM(G49:G55)</f>
        <v>0</v>
      </c>
      <c r="H56" s="276"/>
      <c r="I56" s="276"/>
      <c r="J56" s="276"/>
      <c r="K56" s="276"/>
      <c r="L56" s="276"/>
      <c r="M56" s="276"/>
      <c r="N56" s="276"/>
      <c r="O56" s="276"/>
      <c r="P56" s="287"/>
    </row>
    <row r="57" spans="1:16" ht="15" thickBot="1">
      <c r="A57" s="278"/>
      <c r="B57" s="269"/>
      <c r="C57" s="257"/>
      <c r="D57" s="358"/>
      <c r="E57" s="358"/>
      <c r="F57" s="285"/>
      <c r="G57" s="325"/>
      <c r="H57" s="276"/>
      <c r="I57" s="276"/>
      <c r="J57" s="276"/>
      <c r="K57" s="276"/>
      <c r="L57" s="276"/>
      <c r="M57" s="276"/>
      <c r="N57" s="276"/>
      <c r="O57" s="276"/>
      <c r="P57" s="287"/>
    </row>
    <row r="58" spans="1:16">
      <c r="A58" s="278"/>
      <c r="B58" s="265" t="s">
        <v>756</v>
      </c>
      <c r="C58" s="252">
        <v>0</v>
      </c>
      <c r="D58" s="252">
        <f t="shared" ref="D58:E60" si="28">C58</f>
        <v>0</v>
      </c>
      <c r="E58" s="252">
        <f t="shared" si="28"/>
        <v>0</v>
      </c>
      <c r="F58" s="289">
        <f>F45</f>
        <v>0</v>
      </c>
      <c r="G58" s="262">
        <v>0</v>
      </c>
      <c r="H58" s="276"/>
      <c r="I58" s="276"/>
      <c r="J58" s="276"/>
      <c r="K58" s="276"/>
      <c r="L58" s="276"/>
      <c r="M58" s="276"/>
      <c r="N58" s="276"/>
      <c r="O58" s="276"/>
      <c r="P58" s="287"/>
    </row>
    <row r="59" spans="1:16">
      <c r="B59" s="264" t="s">
        <v>727</v>
      </c>
      <c r="C59" s="101">
        <v>500</v>
      </c>
      <c r="D59" s="101">
        <f t="shared" si="28"/>
        <v>500</v>
      </c>
      <c r="E59" s="101">
        <f t="shared" si="28"/>
        <v>500</v>
      </c>
      <c r="F59" s="119">
        <f>F33*P59</f>
        <v>0</v>
      </c>
      <c r="G59" s="242">
        <f>C59*F59</f>
        <v>0</v>
      </c>
      <c r="H59" s="276"/>
      <c r="I59" s="276"/>
      <c r="J59" s="276"/>
      <c r="K59" s="276"/>
      <c r="L59" s="276"/>
      <c r="M59" s="276"/>
      <c r="N59" s="276"/>
      <c r="O59" s="276"/>
      <c r="P59" s="287">
        <f>'NEW POOL'!B27</f>
        <v>0</v>
      </c>
    </row>
    <row r="60" spans="1:16" ht="15" thickBot="1">
      <c r="B60" s="288" t="s">
        <v>728</v>
      </c>
      <c r="C60" s="251">
        <v>750</v>
      </c>
      <c r="D60" s="251">
        <f t="shared" si="28"/>
        <v>750</v>
      </c>
      <c r="E60" s="251">
        <f t="shared" si="28"/>
        <v>750</v>
      </c>
      <c r="F60" s="290">
        <f>P60*F34</f>
        <v>0</v>
      </c>
      <c r="G60" s="256">
        <f>C60*F60</f>
        <v>0</v>
      </c>
      <c r="H60" s="276"/>
      <c r="I60" s="276"/>
      <c r="J60" s="276"/>
      <c r="K60" s="276"/>
      <c r="L60" s="276"/>
      <c r="M60" s="276"/>
      <c r="N60" s="276"/>
      <c r="O60" s="276"/>
      <c r="P60" s="287">
        <f>P59</f>
        <v>0</v>
      </c>
    </row>
    <row r="61" spans="1:16" ht="15" thickBot="1">
      <c r="B61" s="267"/>
      <c r="C61" s="253"/>
      <c r="D61" s="253"/>
      <c r="E61" s="253"/>
      <c r="F61" s="60"/>
      <c r="G61" s="60"/>
      <c r="H61" s="60"/>
      <c r="I61" s="60"/>
      <c r="J61" s="60"/>
      <c r="K61" s="60"/>
      <c r="L61" s="60"/>
      <c r="M61" s="60"/>
      <c r="N61" s="60"/>
      <c r="O61" s="60"/>
    </row>
    <row r="62" spans="1:16">
      <c r="B62" s="268" t="s">
        <v>748</v>
      </c>
      <c r="C62" s="252">
        <v>950</v>
      </c>
      <c r="D62" s="252">
        <f>C62</f>
        <v>950</v>
      </c>
      <c r="E62" s="252">
        <f>D62</f>
        <v>950</v>
      </c>
      <c r="F62" s="289">
        <f>'NEW POOL'!B21</f>
        <v>0</v>
      </c>
      <c r="G62" s="262">
        <f>E62*F62</f>
        <v>0</v>
      </c>
      <c r="H62" s="276"/>
      <c r="I62" s="276"/>
      <c r="J62" s="276"/>
      <c r="K62" s="276"/>
      <c r="L62" s="276"/>
      <c r="M62" s="276"/>
      <c r="N62" s="276"/>
      <c r="O62" s="276"/>
    </row>
    <row r="63" spans="1:16">
      <c r="B63" s="264" t="s">
        <v>749</v>
      </c>
      <c r="C63" s="101">
        <v>1100</v>
      </c>
      <c r="D63" s="101">
        <f>C63</f>
        <v>1100</v>
      </c>
      <c r="E63" s="101">
        <f>D63</f>
        <v>1100</v>
      </c>
      <c r="F63" s="119">
        <f>'NEW POOL'!B22</f>
        <v>0</v>
      </c>
      <c r="G63" s="242">
        <f>E63*F63</f>
        <v>0</v>
      </c>
      <c r="H63" s="276"/>
      <c r="I63" s="276"/>
      <c r="J63" s="276"/>
      <c r="K63" s="276"/>
      <c r="L63" s="276"/>
      <c r="M63" s="276"/>
      <c r="N63" s="276"/>
      <c r="O63" s="276"/>
    </row>
    <row r="64" spans="1:16">
      <c r="B64" s="264" t="s">
        <v>750</v>
      </c>
      <c r="C64" s="101">
        <v>1200</v>
      </c>
      <c r="D64" s="101">
        <f t="shared" ref="D64:E81" si="29">C64</f>
        <v>1200</v>
      </c>
      <c r="E64" s="101">
        <f t="shared" si="29"/>
        <v>1200</v>
      </c>
      <c r="F64" s="119">
        <f>'NEW POOL'!B23</f>
        <v>0</v>
      </c>
      <c r="G64" s="242">
        <f t="shared" ref="G64:G81" si="30">E64*F64</f>
        <v>0</v>
      </c>
      <c r="H64" s="276"/>
      <c r="I64" s="276"/>
      <c r="J64" s="276"/>
      <c r="K64" s="276"/>
      <c r="L64" s="276"/>
      <c r="M64" s="276"/>
      <c r="N64" s="276"/>
      <c r="O64" s="276"/>
    </row>
    <row r="65" spans="2:23">
      <c r="B65" s="264" t="s">
        <v>1073</v>
      </c>
      <c r="C65" s="101">
        <v>0</v>
      </c>
      <c r="D65" s="101">
        <f t="shared" si="29"/>
        <v>0</v>
      </c>
      <c r="E65" s="101">
        <v>0</v>
      </c>
      <c r="F65" s="119">
        <v>0</v>
      </c>
      <c r="G65" s="242">
        <f t="shared" si="30"/>
        <v>0</v>
      </c>
      <c r="H65" s="276"/>
      <c r="I65" s="276"/>
      <c r="J65" s="276"/>
      <c r="K65" s="276"/>
      <c r="L65" s="276"/>
      <c r="M65" s="276"/>
      <c r="N65" s="276"/>
      <c r="O65" s="276"/>
    </row>
    <row r="66" spans="2:23">
      <c r="B66" s="264" t="s">
        <v>772</v>
      </c>
      <c r="C66" s="101">
        <v>150</v>
      </c>
      <c r="D66" s="101">
        <f t="shared" si="29"/>
        <v>150</v>
      </c>
      <c r="E66" s="101">
        <f t="shared" si="29"/>
        <v>150</v>
      </c>
      <c r="F66" s="119">
        <f>IF('NEW POOL'!B28=0,1,0)</f>
        <v>1</v>
      </c>
      <c r="G66" s="242">
        <f t="shared" si="30"/>
        <v>150</v>
      </c>
      <c r="H66" s="276"/>
      <c r="I66" s="276"/>
      <c r="J66" s="276"/>
      <c r="K66" s="276"/>
      <c r="L66" s="276"/>
      <c r="M66" s="276"/>
      <c r="N66" s="276"/>
      <c r="O66" s="276"/>
      <c r="P66" s="4" t="s">
        <v>772</v>
      </c>
      <c r="Q66" t="s">
        <v>772</v>
      </c>
    </row>
    <row r="67" spans="2:23">
      <c r="B67" s="264" t="s">
        <v>739</v>
      </c>
      <c r="C67" s="101">
        <v>550</v>
      </c>
      <c r="D67" s="101">
        <f t="shared" si="29"/>
        <v>550</v>
      </c>
      <c r="E67" s="101">
        <f t="shared" si="29"/>
        <v>550</v>
      </c>
      <c r="F67" s="119">
        <f>U67</f>
        <v>0</v>
      </c>
      <c r="G67" s="242">
        <f t="shared" si="30"/>
        <v>0</v>
      </c>
      <c r="H67" s="276"/>
      <c r="I67" s="276"/>
      <c r="J67" s="276"/>
      <c r="K67" s="276"/>
      <c r="L67" s="276"/>
      <c r="M67" s="276"/>
      <c r="N67" s="276"/>
      <c r="O67" s="276"/>
      <c r="P67" s="4" t="s">
        <v>773</v>
      </c>
      <c r="Q67" t="str">
        <f>B67</f>
        <v>Crane - Small</v>
      </c>
      <c r="R67" s="4">
        <f>IF('NEW POOL'!A28="Crane - Small",1,0)</f>
        <v>0</v>
      </c>
      <c r="S67" s="4"/>
      <c r="T67" s="4">
        <f>IF(F$66=1,0,1)</f>
        <v>0</v>
      </c>
      <c r="U67" s="4">
        <f>R67*T67</f>
        <v>0</v>
      </c>
    </row>
    <row r="68" spans="2:23">
      <c r="B68" s="264" t="s">
        <v>740</v>
      </c>
      <c r="C68" s="101">
        <v>1700</v>
      </c>
      <c r="D68" s="101">
        <f t="shared" si="29"/>
        <v>1700</v>
      </c>
      <c r="E68" s="101">
        <v>2000</v>
      </c>
      <c r="F68" s="119">
        <f>U68</f>
        <v>0</v>
      </c>
      <c r="G68" s="242">
        <f t="shared" si="30"/>
        <v>0</v>
      </c>
      <c r="H68" s="276"/>
      <c r="I68" s="276"/>
      <c r="J68" s="276"/>
      <c r="K68" s="276"/>
      <c r="L68" s="276"/>
      <c r="M68" s="276"/>
      <c r="N68" s="276"/>
      <c r="O68" s="276"/>
      <c r="Q68" t="str">
        <f>B68</f>
        <v>Crane - Medium</v>
      </c>
      <c r="R68" s="4">
        <f>IF('NEW POOL'!A28="Crane - Medium",1,0)</f>
        <v>0</v>
      </c>
      <c r="S68" s="4"/>
      <c r="T68" s="4">
        <f>IF(F$66=1,0,1)</f>
        <v>0</v>
      </c>
      <c r="U68" s="4">
        <f>R68*T68</f>
        <v>0</v>
      </c>
    </row>
    <row r="69" spans="2:23">
      <c r="B69" s="264" t="s">
        <v>741</v>
      </c>
      <c r="C69" s="101">
        <v>2300</v>
      </c>
      <c r="D69" s="101">
        <f t="shared" si="29"/>
        <v>2300</v>
      </c>
      <c r="E69" s="101">
        <v>2600</v>
      </c>
      <c r="F69" s="119">
        <f>U69</f>
        <v>0</v>
      </c>
      <c r="G69" s="242">
        <f t="shared" si="30"/>
        <v>0</v>
      </c>
      <c r="H69" s="276"/>
      <c r="I69" s="276"/>
      <c r="J69" s="276"/>
      <c r="K69" s="276"/>
      <c r="L69" s="276"/>
      <c r="M69" s="276"/>
      <c r="N69" s="276"/>
      <c r="O69" s="276"/>
      <c r="Q69" t="str">
        <f>B69</f>
        <v>Crane - Large</v>
      </c>
      <c r="R69" s="4">
        <f>IF('NEW POOL'!A28="Crane - Large",1,0)</f>
        <v>0</v>
      </c>
      <c r="S69" s="4"/>
      <c r="T69" s="4">
        <f>IF(F$66=1,0,1)</f>
        <v>0</v>
      </c>
      <c r="U69" s="4">
        <f>R69*T69</f>
        <v>0</v>
      </c>
    </row>
    <row r="70" spans="2:23">
      <c r="B70" s="264" t="s">
        <v>788</v>
      </c>
      <c r="C70" s="101">
        <v>150</v>
      </c>
      <c r="D70" s="101">
        <f t="shared" si="29"/>
        <v>150</v>
      </c>
      <c r="E70" s="101">
        <f t="shared" si="29"/>
        <v>150</v>
      </c>
      <c r="F70" s="119">
        <f>'NEW POOL'!B25</f>
        <v>0</v>
      </c>
      <c r="G70" s="242">
        <f t="shared" si="30"/>
        <v>0</v>
      </c>
      <c r="H70" s="276"/>
      <c r="I70" s="276"/>
      <c r="J70" s="276"/>
      <c r="K70" s="276"/>
      <c r="L70" s="276"/>
      <c r="M70" s="276"/>
      <c r="N70" s="276"/>
      <c r="O70" s="276"/>
      <c r="R70" s="4"/>
      <c r="S70" s="4"/>
      <c r="T70" s="4"/>
      <c r="U70" s="4"/>
    </row>
    <row r="71" spans="2:23">
      <c r="B71" s="264" t="s">
        <v>742</v>
      </c>
      <c r="C71" s="101">
        <v>9000</v>
      </c>
      <c r="D71" s="101">
        <f t="shared" si="29"/>
        <v>9000</v>
      </c>
      <c r="E71" s="101">
        <v>9000</v>
      </c>
      <c r="F71" s="119">
        <f>F62</f>
        <v>0</v>
      </c>
      <c r="G71" s="242">
        <f t="shared" si="30"/>
        <v>0</v>
      </c>
      <c r="H71" s="276"/>
      <c r="I71" s="276"/>
      <c r="J71" s="276"/>
      <c r="K71" s="276"/>
      <c r="L71" s="276"/>
      <c r="M71" s="276"/>
      <c r="N71" s="276"/>
      <c r="O71" s="276"/>
    </row>
    <row r="72" spans="2:23">
      <c r="B72" s="264" t="s">
        <v>744</v>
      </c>
      <c r="C72" s="101">
        <v>9000</v>
      </c>
      <c r="D72" s="101">
        <f t="shared" si="29"/>
        <v>9000</v>
      </c>
      <c r="E72" s="101">
        <v>9000</v>
      </c>
      <c r="F72" s="119">
        <f>F63</f>
        <v>0</v>
      </c>
      <c r="G72" s="242">
        <f t="shared" si="30"/>
        <v>0</v>
      </c>
      <c r="H72" s="276"/>
      <c r="I72" s="276"/>
      <c r="J72" s="276"/>
      <c r="K72" s="276"/>
      <c r="L72" s="276"/>
      <c r="M72" s="276"/>
      <c r="N72" s="276"/>
      <c r="O72" s="276"/>
    </row>
    <row r="73" spans="2:23">
      <c r="B73" s="264" t="s">
        <v>743</v>
      </c>
      <c r="C73" s="101">
        <v>9000</v>
      </c>
      <c r="D73" s="101">
        <f t="shared" si="29"/>
        <v>9000</v>
      </c>
      <c r="E73" s="101">
        <f t="shared" si="29"/>
        <v>9000</v>
      </c>
      <c r="F73" s="119">
        <f>F64</f>
        <v>0</v>
      </c>
      <c r="G73" s="242">
        <f t="shared" si="30"/>
        <v>0</v>
      </c>
      <c r="H73" s="276"/>
      <c r="I73" s="276"/>
      <c r="J73" s="276"/>
      <c r="K73" s="276"/>
      <c r="L73" s="276"/>
      <c r="M73" s="276"/>
      <c r="N73" s="276"/>
      <c r="O73" s="276"/>
    </row>
    <row r="74" spans="2:23">
      <c r="B74" s="264" t="s">
        <v>771</v>
      </c>
      <c r="C74" s="101">
        <v>2600</v>
      </c>
      <c r="D74" s="101">
        <f t="shared" si="29"/>
        <v>2600</v>
      </c>
      <c r="E74" s="101">
        <v>2600</v>
      </c>
      <c r="F74" s="119">
        <f>SUM(F38:F41)</f>
        <v>0</v>
      </c>
      <c r="G74" s="242">
        <f t="shared" si="30"/>
        <v>0</v>
      </c>
      <c r="H74" s="276"/>
      <c r="I74" s="276"/>
      <c r="J74" s="276"/>
      <c r="K74" s="276"/>
      <c r="L74" s="276"/>
      <c r="M74" s="276"/>
      <c r="N74" s="276"/>
      <c r="O74" s="276"/>
    </row>
    <row r="75" spans="2:23">
      <c r="B75" s="264" t="s">
        <v>745</v>
      </c>
      <c r="C75" s="101">
        <v>1900</v>
      </c>
      <c r="D75" s="101">
        <f t="shared" si="29"/>
        <v>1900</v>
      </c>
      <c r="E75" s="101">
        <v>1900</v>
      </c>
      <c r="F75" s="119">
        <f>F71</f>
        <v>0</v>
      </c>
      <c r="G75" s="242">
        <f t="shared" si="30"/>
        <v>0</v>
      </c>
      <c r="H75" s="276"/>
      <c r="I75" s="276"/>
      <c r="J75" s="276"/>
      <c r="K75" s="276"/>
      <c r="L75" s="276"/>
      <c r="M75" s="276"/>
      <c r="N75" s="276"/>
      <c r="O75" s="276"/>
    </row>
    <row r="76" spans="2:23">
      <c r="B76" s="264" t="s">
        <v>747</v>
      </c>
      <c r="C76" s="232">
        <v>2650</v>
      </c>
      <c r="D76" s="232">
        <f t="shared" si="29"/>
        <v>2650</v>
      </c>
      <c r="E76" s="232">
        <f t="shared" si="29"/>
        <v>2650</v>
      </c>
      <c r="F76" s="119">
        <f>F72</f>
        <v>0</v>
      </c>
      <c r="G76" s="242">
        <f t="shared" si="30"/>
        <v>0</v>
      </c>
      <c r="H76" s="276"/>
      <c r="I76" s="276"/>
      <c r="J76" s="276"/>
      <c r="K76" s="276"/>
      <c r="L76" s="276"/>
      <c r="M76" s="276"/>
      <c r="N76" s="276"/>
      <c r="O76" s="276"/>
      <c r="R76" t="s">
        <v>888</v>
      </c>
      <c r="T76" t="s">
        <v>889</v>
      </c>
      <c r="U76" t="s">
        <v>890</v>
      </c>
      <c r="V76" t="s">
        <v>891</v>
      </c>
      <c r="W76" t="s">
        <v>892</v>
      </c>
    </row>
    <row r="77" spans="2:23">
      <c r="B77" s="235" t="s">
        <v>746</v>
      </c>
      <c r="C77" s="232">
        <v>3110</v>
      </c>
      <c r="D77" s="232">
        <f t="shared" si="29"/>
        <v>3110</v>
      </c>
      <c r="E77" s="232">
        <f t="shared" si="29"/>
        <v>3110</v>
      </c>
      <c r="F77" s="119">
        <f>F73</f>
        <v>0</v>
      </c>
      <c r="G77" s="242">
        <f t="shared" si="30"/>
        <v>0</v>
      </c>
      <c r="H77" s="276"/>
      <c r="I77" s="276"/>
      <c r="J77" s="276"/>
      <c r="K77" s="276"/>
      <c r="L77" s="276"/>
      <c r="M77" s="276"/>
      <c r="N77" s="276"/>
      <c r="O77" s="276"/>
      <c r="Q77" t="s">
        <v>893</v>
      </c>
      <c r="R77">
        <v>1306</v>
      </c>
      <c r="T77">
        <v>2058</v>
      </c>
      <c r="U77">
        <v>396</v>
      </c>
      <c r="V77">
        <v>7000</v>
      </c>
      <c r="W77">
        <v>450</v>
      </c>
    </row>
    <row r="78" spans="2:23">
      <c r="B78" s="235" t="s">
        <v>896</v>
      </c>
      <c r="C78" s="101">
        <v>980</v>
      </c>
      <c r="D78" s="101">
        <f t="shared" si="29"/>
        <v>980</v>
      </c>
      <c r="E78" s="101">
        <f t="shared" si="29"/>
        <v>980</v>
      </c>
      <c r="F78" s="119">
        <f>F62</f>
        <v>0</v>
      </c>
      <c r="G78" s="242">
        <f t="shared" si="30"/>
        <v>0</v>
      </c>
      <c r="H78" s="60"/>
      <c r="I78" s="60"/>
      <c r="J78" s="60"/>
      <c r="K78" s="60"/>
      <c r="L78" s="60"/>
      <c r="M78" s="60"/>
      <c r="N78" s="60"/>
      <c r="O78" s="60"/>
      <c r="Q78" t="s">
        <v>893</v>
      </c>
      <c r="R78">
        <v>1190</v>
      </c>
      <c r="T78">
        <v>1467</v>
      </c>
      <c r="U78">
        <v>375</v>
      </c>
      <c r="V78">
        <v>7000</v>
      </c>
      <c r="W78">
        <v>600</v>
      </c>
    </row>
    <row r="79" spans="2:23">
      <c r="B79" s="365" t="s">
        <v>897</v>
      </c>
      <c r="C79" s="366">
        <v>1470</v>
      </c>
      <c r="D79" s="101">
        <f t="shared" si="29"/>
        <v>1470</v>
      </c>
      <c r="E79" s="101">
        <f t="shared" si="29"/>
        <v>1470</v>
      </c>
      <c r="F79" s="119">
        <f>F63</f>
        <v>0</v>
      </c>
      <c r="G79" s="242">
        <f t="shared" si="30"/>
        <v>0</v>
      </c>
      <c r="H79" s="60"/>
      <c r="I79" s="60"/>
      <c r="J79" s="60"/>
      <c r="K79" s="60"/>
      <c r="L79" s="60"/>
      <c r="M79" s="60"/>
      <c r="N79" s="60"/>
      <c r="O79" s="60"/>
    </row>
    <row r="80" spans="2:23">
      <c r="B80" s="365" t="s">
        <v>898</v>
      </c>
      <c r="C80" s="366">
        <v>1470</v>
      </c>
      <c r="D80" s="101">
        <f t="shared" si="29"/>
        <v>1470</v>
      </c>
      <c r="E80" s="101">
        <f t="shared" si="29"/>
        <v>1470</v>
      </c>
      <c r="F80" s="119">
        <f>F64</f>
        <v>0</v>
      </c>
      <c r="G80" s="242">
        <f t="shared" si="30"/>
        <v>0</v>
      </c>
      <c r="H80" s="60"/>
      <c r="I80" s="60"/>
      <c r="J80" s="60"/>
      <c r="K80" s="60"/>
      <c r="L80" s="60"/>
      <c r="M80" s="60"/>
      <c r="N80" s="60"/>
      <c r="O80" s="60"/>
    </row>
    <row r="81" spans="2:24">
      <c r="B81" s="365" t="s">
        <v>816</v>
      </c>
      <c r="C81" s="366">
        <v>8</v>
      </c>
      <c r="D81" s="101">
        <f t="shared" si="29"/>
        <v>8</v>
      </c>
      <c r="E81" s="101">
        <f t="shared" si="29"/>
        <v>8</v>
      </c>
      <c r="F81" s="367"/>
      <c r="G81" s="242">
        <f t="shared" si="30"/>
        <v>0</v>
      </c>
      <c r="H81" s="60"/>
      <c r="I81" s="5">
        <f>IF(('NEW POOL'!B85+'NEW POOL'!B87+'NEW POOL'!B90)&gt;1,0,1)</f>
        <v>1</v>
      </c>
      <c r="J81" s="60"/>
      <c r="K81" s="60"/>
      <c r="L81" s="60"/>
      <c r="M81" s="60"/>
      <c r="N81" s="60"/>
      <c r="O81" s="60"/>
      <c r="Q81" t="s">
        <v>893</v>
      </c>
      <c r="R81">
        <v>1177</v>
      </c>
      <c r="T81">
        <v>2154</v>
      </c>
      <c r="U81">
        <v>405</v>
      </c>
      <c r="V81">
        <v>7000</v>
      </c>
      <c r="W81">
        <v>620</v>
      </c>
      <c r="X81" t="s">
        <v>895</v>
      </c>
    </row>
    <row r="82" spans="2:24" ht="15" thickBot="1">
      <c r="B82" s="266" t="s">
        <v>798</v>
      </c>
      <c r="C82" s="251">
        <v>250</v>
      </c>
      <c r="D82" s="251">
        <f>C82</f>
        <v>250</v>
      </c>
      <c r="E82" s="251">
        <f>D82</f>
        <v>250</v>
      </c>
      <c r="F82" s="353"/>
      <c r="G82" s="354"/>
      <c r="Q82" t="s">
        <v>893</v>
      </c>
      <c r="R82">
        <v>738</v>
      </c>
      <c r="T82">
        <v>1324</v>
      </c>
      <c r="U82">
        <v>375</v>
      </c>
      <c r="V82">
        <v>7000</v>
      </c>
      <c r="W82">
        <v>600</v>
      </c>
    </row>
    <row r="86" spans="2:24">
      <c r="Q86" t="s">
        <v>894</v>
      </c>
      <c r="R86">
        <v>900</v>
      </c>
      <c r="T86">
        <v>2922</v>
      </c>
      <c r="U86">
        <v>705</v>
      </c>
      <c r="V86">
        <v>7000</v>
      </c>
      <c r="W86">
        <v>0</v>
      </c>
    </row>
  </sheetData>
  <sortState xmlns:xlrd2="http://schemas.microsoft.com/office/spreadsheetml/2017/richdata2" ref="B50:G55">
    <sortCondition ref="B50:B55"/>
  </sortState>
  <mergeCells count="6">
    <mergeCell ref="A1:O1"/>
    <mergeCell ref="A49:A55"/>
    <mergeCell ref="A11:A18"/>
    <mergeCell ref="A4:A9"/>
    <mergeCell ref="A20:A30"/>
    <mergeCell ref="A36:A42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0348-D16A-4567-9B14-E9BDC301C17B}">
  <sheetPr codeName="Sheet19"/>
  <dimension ref="A1:P23"/>
  <sheetViews>
    <sheetView workbookViewId="0">
      <selection activeCell="B16" sqref="B16"/>
    </sheetView>
  </sheetViews>
  <sheetFormatPr defaultRowHeight="14.4"/>
  <cols>
    <col min="1" max="1" width="20.88671875" customWidth="1"/>
    <col min="2" max="2" width="11.44140625" customWidth="1"/>
    <col min="3" max="3" width="8.5546875" style="4"/>
    <col min="4" max="4" width="11.44140625" customWidth="1"/>
    <col min="5" max="5" width="8.5546875" style="4"/>
    <col min="6" max="6" width="10.109375" style="4" customWidth="1"/>
    <col min="7" max="8" width="8.5546875" style="4"/>
    <col min="10" max="10" width="10.44140625" customWidth="1"/>
    <col min="11" max="11" width="13.109375" customWidth="1"/>
    <col min="13" max="13" width="10.109375" bestFit="1" customWidth="1"/>
    <col min="16" max="16" width="12" customWidth="1"/>
  </cols>
  <sheetData>
    <row r="1" spans="1:16" ht="18.600000000000001" thickBot="1">
      <c r="A1" s="631" t="s">
        <v>936</v>
      </c>
      <c r="B1" s="632"/>
      <c r="C1" s="632"/>
      <c r="D1" s="633"/>
    </row>
    <row r="3" spans="1:16" ht="18">
      <c r="A3" s="664" t="s">
        <v>794</v>
      </c>
      <c r="B3" s="665"/>
      <c r="C3" s="665"/>
      <c r="D3" s="666"/>
    </row>
    <row r="4" spans="1:16">
      <c r="J4" s="4"/>
    </row>
    <row r="5" spans="1:16">
      <c r="A5" s="110" t="s">
        <v>795</v>
      </c>
      <c r="B5" s="142">
        <v>700</v>
      </c>
      <c r="C5" s="35">
        <v>1</v>
      </c>
      <c r="D5" s="30">
        <f>B5*C5</f>
        <v>700</v>
      </c>
    </row>
    <row r="6" spans="1:16">
      <c r="A6" s="110" t="s">
        <v>863</v>
      </c>
      <c r="B6" s="67">
        <v>300</v>
      </c>
      <c r="C6" s="119">
        <f>'NEW POOL'!B131</f>
        <v>1</v>
      </c>
      <c r="D6" s="30">
        <f>B6*C6</f>
        <v>300</v>
      </c>
    </row>
    <row r="7" spans="1:16">
      <c r="A7" s="110" t="s">
        <v>864</v>
      </c>
      <c r="B7" s="67">
        <v>800</v>
      </c>
      <c r="C7" s="119">
        <f>'NEW POOL'!B179</f>
        <v>0</v>
      </c>
      <c r="D7" s="30">
        <f>B7*C7</f>
        <v>0</v>
      </c>
    </row>
    <row r="8" spans="1:16" s="4" customFormat="1" ht="15" thickBot="1">
      <c r="A8"/>
      <c r="B8"/>
      <c r="D8"/>
      <c r="I8"/>
      <c r="J8"/>
    </row>
    <row r="9" spans="1:16" s="4" customFormat="1" ht="15" thickBot="1">
      <c r="A9" s="106" t="s">
        <v>760</v>
      </c>
      <c r="B9" s="3"/>
      <c r="D9" s="107">
        <f>SUM(D5:D8)</f>
        <v>1000</v>
      </c>
      <c r="I9"/>
      <c r="J9"/>
    </row>
    <row r="11" spans="1:16" ht="18">
      <c r="A11" s="664" t="s">
        <v>841</v>
      </c>
      <c r="B11" s="665"/>
      <c r="C11" s="665"/>
      <c r="D11" s="666"/>
    </row>
    <row r="12" spans="1:16">
      <c r="F12" s="4" t="s">
        <v>3</v>
      </c>
      <c r="G12" s="4" t="s">
        <v>468</v>
      </c>
      <c r="H12" s="4" t="s">
        <v>815</v>
      </c>
      <c r="I12" s="4" t="s">
        <v>3</v>
      </c>
      <c r="J12" s="4" t="s">
        <v>1062</v>
      </c>
      <c r="K12" s="4" t="s">
        <v>571</v>
      </c>
      <c r="M12" s="667" t="s">
        <v>1063</v>
      </c>
      <c r="N12" s="667"/>
      <c r="O12" s="667"/>
      <c r="P12" s="667"/>
    </row>
    <row r="13" spans="1:16">
      <c r="A13" s="110" t="str">
        <f>'NEW POOL'!A104</f>
        <v xml:space="preserve">Downspout Total LF from all </v>
      </c>
      <c r="B13" s="483"/>
      <c r="C13" s="119">
        <f>G13</f>
        <v>0</v>
      </c>
      <c r="D13" s="30">
        <f>K13</f>
        <v>0</v>
      </c>
      <c r="F13" s="4">
        <f>IF('NEW POOL'!B104&gt;0,1,0)</f>
        <v>0</v>
      </c>
      <c r="G13" s="5">
        <f>'NEW POOL'!B104</f>
        <v>0</v>
      </c>
      <c r="H13" s="4">
        <f>IF(G13&lt;11,0,G13-$O$13)</f>
        <v>0</v>
      </c>
      <c r="I13" s="276">
        <f>F13*$M$13</f>
        <v>0</v>
      </c>
      <c r="J13" s="276">
        <f>H13*$M$14</f>
        <v>0</v>
      </c>
      <c r="K13" s="276">
        <f>I13+J13</f>
        <v>0</v>
      </c>
      <c r="M13" s="187">
        <v>150</v>
      </c>
      <c r="N13" t="s">
        <v>3</v>
      </c>
      <c r="O13" s="480">
        <v>10</v>
      </c>
      <c r="P13" t="s">
        <v>1061</v>
      </c>
    </row>
    <row r="14" spans="1:16">
      <c r="A14" s="110" t="str">
        <f>'NEW POOL'!A105</f>
        <v xml:space="preserve">Deck Drain Total LF </v>
      </c>
      <c r="B14" s="483"/>
      <c r="C14" s="119">
        <f t="shared" ref="C14:C16" si="0">G14</f>
        <v>0</v>
      </c>
      <c r="D14" s="30">
        <f t="shared" ref="D14:D16" si="1">K14</f>
        <v>0</v>
      </c>
      <c r="F14" s="4">
        <f>IF('NEW POOL'!B105&gt;0,1,0)</f>
        <v>0</v>
      </c>
      <c r="G14" s="5">
        <f>'NEW POOL'!B105</f>
        <v>0</v>
      </c>
      <c r="H14" s="4">
        <f t="shared" ref="H14:H16" si="2">IF(G14&lt;11,0,G14-$O$13)</f>
        <v>0</v>
      </c>
      <c r="I14" s="276">
        <f t="shared" ref="I14:I16" si="3">F14*$M$13</f>
        <v>0</v>
      </c>
      <c r="J14" s="276">
        <f t="shared" ref="J14:J16" si="4">H14*$M$14</f>
        <v>0</v>
      </c>
      <c r="K14" s="276">
        <f t="shared" ref="K14:K16" si="5">I14+J14</f>
        <v>0</v>
      </c>
      <c r="M14" s="187">
        <v>12.5</v>
      </c>
    </row>
    <row r="15" spans="1:16">
      <c r="A15" s="110" t="str">
        <f>'NEW POOL'!A106</f>
        <v>French Drain Total LF</v>
      </c>
      <c r="B15" s="483"/>
      <c r="C15" s="119">
        <f t="shared" si="0"/>
        <v>0</v>
      </c>
      <c r="D15" s="30">
        <f t="shared" si="1"/>
        <v>0</v>
      </c>
      <c r="F15" s="4">
        <f>IF('NEW POOL'!B106&gt;0,1,0)</f>
        <v>0</v>
      </c>
      <c r="G15" s="5">
        <f>'NEW POOL'!B106</f>
        <v>0</v>
      </c>
      <c r="H15" s="4">
        <f t="shared" si="2"/>
        <v>0</v>
      </c>
      <c r="I15" s="276">
        <f t="shared" si="3"/>
        <v>0</v>
      </c>
      <c r="J15" s="276">
        <f t="shared" si="4"/>
        <v>0</v>
      </c>
      <c r="K15" s="276">
        <f t="shared" si="5"/>
        <v>0</v>
      </c>
    </row>
    <row r="16" spans="1:16">
      <c r="A16" s="110" t="str">
        <f>'NEW POOL'!A107</f>
        <v>Box Drain Total LF</v>
      </c>
      <c r="B16" s="483"/>
      <c r="C16" s="119">
        <f t="shared" si="0"/>
        <v>0</v>
      </c>
      <c r="D16" s="30">
        <f t="shared" si="1"/>
        <v>0</v>
      </c>
      <c r="F16" s="4">
        <f>IF('NEW POOL'!B107&gt;0,1,0)</f>
        <v>0</v>
      </c>
      <c r="G16" s="5">
        <f>'NEW POOL'!B107</f>
        <v>0</v>
      </c>
      <c r="H16" s="4">
        <f t="shared" si="2"/>
        <v>0</v>
      </c>
      <c r="I16" s="276">
        <f t="shared" si="3"/>
        <v>0</v>
      </c>
      <c r="J16" s="276">
        <f t="shared" si="4"/>
        <v>0</v>
      </c>
      <c r="K16" s="276">
        <f t="shared" si="5"/>
        <v>0</v>
      </c>
    </row>
    <row r="17" spans="1:11" ht="15" thickBot="1"/>
    <row r="18" spans="1:11" ht="15" thickBot="1">
      <c r="A18" s="106" t="s">
        <v>760</v>
      </c>
      <c r="B18" s="3"/>
      <c r="D18" s="107">
        <f>SUM(D13:D15)</f>
        <v>0</v>
      </c>
      <c r="I18" s="4"/>
      <c r="J18" s="4"/>
      <c r="K18" s="4"/>
    </row>
    <row r="20" spans="1:11" ht="18">
      <c r="A20" s="664" t="s">
        <v>833</v>
      </c>
      <c r="B20" s="665"/>
      <c r="C20" s="665"/>
      <c r="D20" s="666"/>
    </row>
    <row r="22" spans="1:11">
      <c r="A22" s="110" t="s">
        <v>917</v>
      </c>
      <c r="B22" s="142">
        <v>490</v>
      </c>
      <c r="C22" s="35">
        <v>1</v>
      </c>
      <c r="D22" s="30">
        <f>B22*C22</f>
        <v>490</v>
      </c>
    </row>
    <row r="23" spans="1:11">
      <c r="A23" s="110" t="s">
        <v>918</v>
      </c>
      <c r="B23" s="136">
        <f>B22</f>
        <v>490</v>
      </c>
      <c r="C23" s="119">
        <f>'NEW POOL'!B177</f>
        <v>2</v>
      </c>
      <c r="D23" s="30">
        <f>B23*C23</f>
        <v>980</v>
      </c>
    </row>
  </sheetData>
  <mergeCells count="5">
    <mergeCell ref="A3:D3"/>
    <mergeCell ref="A11:D11"/>
    <mergeCell ref="A20:D20"/>
    <mergeCell ref="A1:D1"/>
    <mergeCell ref="M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3</vt:i4>
      </vt:variant>
    </vt:vector>
  </HeadingPairs>
  <TitlesOfParts>
    <vt:vector size="27" baseType="lpstr">
      <vt:lpstr>NEW POOL</vt:lpstr>
      <vt:lpstr>CUSTOM</vt:lpstr>
      <vt:lpstr>PROPOSAL</vt:lpstr>
      <vt:lpstr>COST - NEW</vt:lpstr>
      <vt:lpstr>SUMMARY - NEW</vt:lpstr>
      <vt:lpstr>OTHER</vt:lpstr>
      <vt:lpstr>BILLING</vt:lpstr>
      <vt:lpstr>PLANS</vt:lpstr>
      <vt:lpstr>EXC</vt:lpstr>
      <vt:lpstr>PLUM</vt:lpstr>
      <vt:lpstr>STEEL</vt:lpstr>
      <vt:lpstr>ELEC</vt:lpstr>
      <vt:lpstr>SHOT</vt:lpstr>
      <vt:lpstr>TILE COPING</vt:lpstr>
      <vt:lpstr>MASONRY</vt:lpstr>
      <vt:lpstr>DEMO</vt:lpstr>
      <vt:lpstr>INT</vt:lpstr>
      <vt:lpstr>REMODEL</vt:lpstr>
      <vt:lpstr>COST - REMODEL</vt:lpstr>
      <vt:lpstr>SUMMARY - REMODEL</vt:lpstr>
      <vt:lpstr>EQUIP</vt:lpstr>
      <vt:lpstr>CLEAN</vt:lpstr>
      <vt:lpstr>FIBER</vt:lpstr>
      <vt:lpstr>MISC</vt:lpstr>
      <vt:lpstr>OTHER!Print_Area</vt:lpstr>
      <vt:lpstr>'SUMMARY - NEW'!Print_Area</vt:lpstr>
      <vt:lpstr>'SUMMARY - REMODEL'!Print_Area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Gurley</dc:creator>
  <cp:lastModifiedBy>Brian Kummer</cp:lastModifiedBy>
  <cp:lastPrinted>2025-08-19T15:57:13Z</cp:lastPrinted>
  <dcterms:created xsi:type="dcterms:W3CDTF">2019-04-04T17:36:02Z</dcterms:created>
  <dcterms:modified xsi:type="dcterms:W3CDTF">2025-12-04T06:56:50Z</dcterms:modified>
</cp:coreProperties>
</file>